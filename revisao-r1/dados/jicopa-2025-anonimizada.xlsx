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0" sheetId="1" state="visible" r:id="rId1"/>
    <sheet xmlns:r="http://schemas.openxmlformats.org/officeDocument/2006/relationships" name="Alunos" sheetId="2" state="visible" r:id="rId2"/>
    <sheet xmlns:r="http://schemas.openxmlformats.org/officeDocument/2006/relationships" name="Descontos" sheetId="3" state="visible" r:id="rId3"/>
    <sheet xmlns:r="http://schemas.openxmlformats.org/officeDocument/2006/relationships" name="Individual Taekwondo" sheetId="4" state="visible" r:id="rId4"/>
    <sheet xmlns:r="http://schemas.openxmlformats.org/officeDocument/2006/relationships" name="Individual Ginastica" sheetId="5" state="visible" r:id="rId5"/>
    <sheet xmlns:r="http://schemas.openxmlformats.org/officeDocument/2006/relationships" name="Categorias" sheetId="6" state="visible" r:id="rId6"/>
    <sheet xmlns:r="http://schemas.openxmlformats.org/officeDocument/2006/relationships" name="Futebol" sheetId="7" state="visible" r:id="rId7"/>
    <sheet xmlns:r="http://schemas.openxmlformats.org/officeDocument/2006/relationships" name="Futsal" sheetId="8" state="visible" r:id="rId8"/>
    <sheet xmlns:r="http://schemas.openxmlformats.org/officeDocument/2006/relationships" name="Queimada" sheetId="9" state="visible" r:id="rId9"/>
    <sheet xmlns:r="http://schemas.openxmlformats.org/officeDocument/2006/relationships" name="Rouba-Bandeira" sheetId="10" state="visible" r:id="rId10"/>
    <sheet xmlns:r="http://schemas.openxmlformats.org/officeDocument/2006/relationships" name="Basquete" sheetId="11" state="visible" r:id="rId11"/>
    <sheet xmlns:r="http://schemas.openxmlformats.org/officeDocument/2006/relationships" name="Volêi" sheetId="12" state="visible" r:id="rId12"/>
    <sheet xmlns:r="http://schemas.openxmlformats.org/officeDocument/2006/relationships" name="Calendário" sheetId="13" state="visible" r:id="rId13"/>
    <sheet xmlns:r="http://schemas.openxmlformats.org/officeDocument/2006/relationships" name="Bandeiras" sheetId="14" state="visible" r:id="rId14"/>
  </sheets>
  <definedNames>
    <definedName name="_xlnm._FilterDatabase" localSheetId="1" hidden="1">'Alunos'!$A$1:$Z$276</definedName>
    <definedName name="_xlnm._FilterDatabase" localSheetId="2" hidden="1">'Descontos'!$A$2:$D$17</definedName>
    <definedName name="_xlnm._FilterDatabase" localSheetId="3" hidden="1">'Individual Taekwondo'!$A$1:$F$65</definedName>
    <definedName name="_xlnm._FilterDatabase" localSheetId="6" hidden="1">'Futebol'!$A$1:$D$142</definedName>
    <definedName name="_xlnm._FilterDatabase" localSheetId="7" hidden="1">'Futsal'!$A$1:$D$112</definedName>
    <definedName name="_xlnm._FilterDatabase" localSheetId="8" hidden="1">'Queimada'!$A$1:$D$157</definedName>
    <definedName name="_xlnm._FilterDatabase" localSheetId="9" hidden="1">'Rouba-Bandeira'!$A$1:$D$150</definedName>
    <definedName name="_xlnm._FilterDatabase" localSheetId="10" hidden="1">'Basquete'!$A$1:$D$74</definedName>
    <definedName name="_xlnm._FilterDatabase" localSheetId="11" hidden="1">'Volêi'!$A$1:$D$137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FFFFFF"/>
      <scheme val="minor"/>
    </font>
    <font>
      <name val="Arial"/>
      <b val="1"/>
      <color rgb="FFFFFFFF"/>
      <scheme val="minor"/>
    </font>
    <font>
      <name val="Arial"/>
      <b val="1"/>
      <color rgb="FF000000"/>
      <scheme val="minor"/>
    </font>
    <font>
      <name val="Arial"/>
      <b val="1"/>
      <color rgb="FFFF0000"/>
      <scheme val="minor"/>
    </font>
    <font>
      <name val="Arial"/>
      <color rgb="FFFF0000"/>
      <scheme val="minor"/>
    </font>
    <font>
      <name val="Arial"/>
      <b val="1"/>
      <color theme="1"/>
    </font>
    <font/>
    <font>
      <name val="Arial"/>
      <color theme="1"/>
    </font>
    <font>
      <name val="Arial"/>
      <color rgb="FF980000"/>
      <scheme val="minor"/>
    </font>
  </fonts>
  <fills count="29">
    <fill>
      <patternFill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990000"/>
        <bgColor rgb="FF99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46524"/>
        <bgColor rgb="FFF4652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14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bottom"/>
    </xf>
    <xf numFmtId="0" fontId="9" fillId="0" borderId="2" pivotButton="0" quotePrefix="0" xfId="0"/>
    <xf numFmtId="0" fontId="9" fillId="0" borderId="3" pivotButton="0" quotePrefix="0" xfId="0"/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2" fillId="0" borderId="0" pivotButton="0" quotePrefix="0" xfId="0"/>
    <xf numFmtId="0" fontId="10" fillId="0" borderId="4" applyAlignment="1" pivotButton="0" quotePrefix="0" xfId="0">
      <alignment vertical="bottom"/>
    </xf>
    <xf numFmtId="0" fontId="8" fillId="13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14" borderId="4" applyAlignment="1" pivotButton="0" quotePrefix="0" xfId="0">
      <alignment vertical="bottom"/>
    </xf>
    <xf numFmtId="0" fontId="2" fillId="15" borderId="4" applyAlignment="1" pivotButton="0" quotePrefix="0" xfId="0">
      <alignment horizontal="center" vertical="center"/>
    </xf>
    <xf numFmtId="0" fontId="2" fillId="15" borderId="4" applyAlignment="1" pivotButton="0" quotePrefix="0" xfId="0">
      <alignment vertical="center" wrapText="1"/>
    </xf>
    <xf numFmtId="0" fontId="2" fillId="15" borderId="4" applyAlignment="1" pivotButton="0" quotePrefix="0" xfId="0">
      <alignment horizontal="center" vertical="center" wrapText="1"/>
    </xf>
    <xf numFmtId="0" fontId="2" fillId="16" borderId="4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7" borderId="5" applyAlignment="1" pivotButton="0" quotePrefix="0" xfId="0">
      <alignment horizontal="center" vertical="center" textRotation="45"/>
    </xf>
    <xf numFmtId="0" fontId="2" fillId="17" borderId="4" pivotButton="0" quotePrefix="0" xfId="0"/>
    <xf numFmtId="0" fontId="2" fillId="17" borderId="5" applyAlignment="1" pivotButton="0" quotePrefix="0" xfId="0">
      <alignment horizontal="center" vertical="center" wrapText="1"/>
    </xf>
    <xf numFmtId="0" fontId="2" fillId="17" borderId="4" pivotButton="0" quotePrefix="0" xfId="0"/>
    <xf numFmtId="0" fontId="2" fillId="17" borderId="0" applyAlignment="1" pivotButton="0" quotePrefix="0" xfId="0">
      <alignment horizontal="center" vertical="center"/>
    </xf>
    <xf numFmtId="0" fontId="9" fillId="18" borderId="6" pivotButton="0" quotePrefix="0" xfId="0"/>
    <xf numFmtId="0" fontId="2" fillId="18" borderId="4" pivotButton="0" quotePrefix="0" xfId="0"/>
    <xf numFmtId="0" fontId="2" fillId="18" borderId="4" pivotButton="0" quotePrefix="0" xfId="0"/>
    <xf numFmtId="0" fontId="9" fillId="17" borderId="6" pivotButton="0" quotePrefix="0" xfId="0"/>
    <xf numFmtId="0" fontId="9" fillId="17" borderId="7" pivotButton="0" quotePrefix="0" xfId="0"/>
    <xf numFmtId="0" fontId="2" fillId="17" borderId="0" pivotButton="0" quotePrefix="0" xfId="0"/>
    <xf numFmtId="0" fontId="2" fillId="1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textRotation="45"/>
    </xf>
    <xf numFmtId="0" fontId="2" fillId="4" borderId="1" applyAlignment="1" pivotButton="0" quotePrefix="0" xfId="0">
      <alignment horizontal="center" vertical="center"/>
    </xf>
    <xf numFmtId="0" fontId="2" fillId="19" borderId="4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textRotation="45"/>
    </xf>
    <xf numFmtId="0" fontId="2" fillId="0" borderId="4" applyAlignment="1" pivotButton="0" quotePrefix="0" xfId="0">
      <alignment horizontal="center" vertical="center"/>
    </xf>
    <xf numFmtId="0" fontId="2" fillId="20" borderId="4" applyAlignment="1" pivotButton="0" quotePrefix="0" xfId="0">
      <alignment horizontal="center" vertical="center"/>
    </xf>
    <xf numFmtId="0" fontId="9" fillId="0" borderId="6" pivotButton="0" quotePrefix="0" xfId="0"/>
    <xf numFmtId="0" fontId="2" fillId="0" borderId="5" applyAlignment="1" pivotButton="0" quotePrefix="0" xfId="0">
      <alignment horizontal="center" vertical="center" textRotation="45"/>
    </xf>
    <xf numFmtId="0" fontId="9" fillId="0" borderId="7" pivotButton="0" quotePrefix="0" xfId="0"/>
    <xf numFmtId="0" fontId="2" fillId="4" borderId="4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" fillId="19" borderId="4" pivotButton="0" quotePrefix="0" xfId="0"/>
    <xf numFmtId="0" fontId="2" fillId="0" borderId="0" applyAlignment="1" pivotButton="0" quotePrefix="0" xfId="0">
      <alignment wrapText="1"/>
    </xf>
    <xf numFmtId="0" fontId="1" fillId="21" borderId="1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2" fillId="22" borderId="0" pivotButton="0" quotePrefix="0" xfId="0"/>
    <xf numFmtId="0" fontId="10" fillId="23" borderId="4" applyAlignment="1" pivotButton="0" quotePrefix="0" xfId="0">
      <alignment horizontal="center" vertical="center"/>
    </xf>
    <xf numFmtId="0" fontId="10" fillId="23" borderId="0" applyAlignment="1" pivotButton="0" quotePrefix="0" xfId="0">
      <alignment horizontal="center" vertical="center"/>
    </xf>
    <xf numFmtId="0" fontId="10" fillId="23" borderId="4" applyAlignment="1" pivotButton="0" quotePrefix="0" xfId="0">
      <alignment horizontal="center"/>
    </xf>
    <xf numFmtId="0" fontId="10" fillId="23" borderId="0" applyAlignment="1" pivotButton="0" quotePrefix="0" xfId="0">
      <alignment horizontal="center"/>
    </xf>
    <xf numFmtId="0" fontId="10" fillId="23" borderId="4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0" fontId="2" fillId="17" borderId="0" pivotButton="0" quotePrefix="0" xfId="0"/>
    <xf numFmtId="0" fontId="10" fillId="17" borderId="0" applyAlignment="1" pivotButton="0" quotePrefix="0" xfId="0">
      <alignment horizontal="center"/>
    </xf>
    <xf numFmtId="0" fontId="2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10" fillId="22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2" fillId="24" borderId="4" applyAlignment="1" pivotButton="0" quotePrefix="0" xfId="0">
      <alignment horizontal="center" vertical="center"/>
    </xf>
    <xf numFmtId="0" fontId="2" fillId="24" borderId="0" pivotButton="0" quotePrefix="0" xfId="0"/>
    <xf numFmtId="0" fontId="2" fillId="24" borderId="0" applyAlignment="1" pivotButton="0" quotePrefix="0" xfId="0">
      <alignment horizontal="center" vertical="center"/>
    </xf>
    <xf numFmtId="0" fontId="10" fillId="24" borderId="0" applyAlignment="1" pivotButton="0" quotePrefix="0" xfId="0">
      <alignment horizontal="center"/>
    </xf>
    <xf numFmtId="0" fontId="2" fillId="24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10" fillId="24" borderId="0" applyAlignment="1" pivotButton="0" quotePrefix="0" xfId="0">
      <alignment horizontal="center"/>
    </xf>
    <xf numFmtId="0" fontId="10" fillId="24" borderId="0" applyAlignment="1" pivotButton="0" quotePrefix="0" xfId="0">
      <alignment horizontal="center"/>
    </xf>
    <xf numFmtId="0" fontId="10" fillId="25" borderId="1" applyAlignment="1" pivotButton="0" quotePrefix="0" xfId="0">
      <alignment horizontal="center"/>
    </xf>
    <xf numFmtId="0" fontId="9" fillId="24" borderId="2" pivotButton="0" quotePrefix="0" xfId="0"/>
    <xf numFmtId="0" fontId="9" fillId="24" borderId="3" pivotButton="0" quotePrefix="0" xfId="0"/>
    <xf numFmtId="0" fontId="10" fillId="25" borderId="0" applyAlignment="1" pivotButton="0" quotePrefix="0" xfId="0">
      <alignment horizontal="center"/>
    </xf>
    <xf numFmtId="0" fontId="2" fillId="11" borderId="4" applyAlignment="1" pivotButton="0" quotePrefix="0" xfId="0">
      <alignment horizontal="center" vertical="center"/>
    </xf>
    <xf numFmtId="0" fontId="2" fillId="17" borderId="5" applyAlignment="1" pivotButton="0" quotePrefix="0" xfId="0">
      <alignment horizontal="center" vertical="center"/>
    </xf>
    <xf numFmtId="0" fontId="9" fillId="24" borderId="6" pivotButton="0" quotePrefix="0" xfId="0"/>
    <xf numFmtId="0" fontId="10" fillId="25" borderId="0" applyAlignment="1" pivotButton="0" quotePrefix="0" xfId="0">
      <alignment horizontal="center" vertical="center"/>
    </xf>
    <xf numFmtId="0" fontId="11" fillId="24" borderId="0" applyAlignment="1" pivotButton="0" quotePrefix="0" xfId="0">
      <alignment horizontal="center" vertical="center"/>
    </xf>
    <xf numFmtId="0" fontId="2" fillId="24" borderId="4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0" fontId="10" fillId="22" borderId="0" applyAlignment="1" pivotButton="0" quotePrefix="0" xfId="0">
      <alignment horizontal="center"/>
    </xf>
    <xf numFmtId="0" fontId="2" fillId="24" borderId="0" pivotButton="0" quotePrefix="0" xfId="0"/>
    <xf numFmtId="0" fontId="2" fillId="12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26" borderId="0" applyAlignment="1" pivotButton="0" quotePrefix="0" xfId="0">
      <alignment vertical="center"/>
    </xf>
    <xf numFmtId="0" fontId="2" fillId="26" borderId="0" applyAlignment="1" pivotButton="0" quotePrefix="0" xfId="0">
      <alignment vertical="center"/>
    </xf>
    <xf numFmtId="0" fontId="2" fillId="26" borderId="0" applyAlignment="1" pivotButton="0" quotePrefix="0" xfId="0">
      <alignment vertical="center"/>
    </xf>
    <xf numFmtId="0" fontId="2" fillId="27" borderId="0" applyAlignment="1" pivotButton="0" quotePrefix="0" xfId="0">
      <alignment vertical="center"/>
    </xf>
    <xf numFmtId="0" fontId="2" fillId="27" borderId="0" applyAlignment="1" pivotButton="0" quotePrefix="0" xfId="0">
      <alignment vertical="center"/>
    </xf>
    <xf numFmtId="0" fontId="2" fillId="27" borderId="0" applyAlignment="1" pivotButton="0" quotePrefix="0" xfId="0">
      <alignment vertical="center"/>
    </xf>
    <xf numFmtId="0" fontId="2" fillId="28" borderId="0" applyAlignment="1" pivotButton="0" quotePrefix="0" xfId="0">
      <alignment vertical="center"/>
    </xf>
    <xf numFmtId="0" fontId="2" fillId="28" borderId="0" applyAlignment="1" pivotButton="0" quotePrefix="0" xfId="0">
      <alignment vertical="center"/>
    </xf>
    <xf numFmtId="0" fontId="2" fillId="28" borderId="0" applyAlignment="1" pivotButton="0" quotePrefix="0" xfId="0">
      <alignment vertical="center"/>
    </xf>
    <xf numFmtId="0" fontId="0" fillId="0" borderId="0" pivotButton="0" quotePrefix="0" xfId="0"/>
    <xf numFmtId="0" fontId="8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0" fillId="0" borderId="4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17" borderId="4" applyAlignment="1" pivotButton="0" quotePrefix="0" xfId="0">
      <alignment horizontal="center" vertical="center" textRotation="45"/>
    </xf>
    <xf numFmtId="0" fontId="2" fillId="0" borderId="4" applyAlignment="1" pivotButton="0" quotePrefix="0" xfId="0">
      <alignment horizontal="center" vertical="center" textRotation="45"/>
    </xf>
    <xf numFmtId="0" fontId="1" fillId="21" borderId="4" applyAlignment="1" pivotButton="0" quotePrefix="0" xfId="0">
      <alignment horizontal="center" vertical="center"/>
    </xf>
    <xf numFmtId="0" fontId="10" fillId="25" borderId="4" applyAlignment="1" pivotButton="0" quotePrefix="0" xfId="0">
      <alignment horizontal="center"/>
    </xf>
  </cellXfs>
  <cellStyles count="1">
    <cellStyle name="Normal" xfId="0" builtinId="0"/>
  </cellStyles>
  <dxfs count="19">
    <dxf>
      <font/>
      <fill>
        <patternFill patternType="solid">
          <fgColor rgb="FFB7E1CD"/>
          <bgColor rgb="FFB7E1CD"/>
        </patternFill>
      </fill>
      <border/>
    </dxf>
    <dxf>
      <font/>
      <fill>
        <patternFill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>
        <color theme="0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7F6000"/>
          <bgColor rgb="FF7F6000"/>
        </patternFill>
      </fill>
      <border/>
    </dxf>
    <dxf>
      <font>
        <color theme="0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Bandeiras-style" pivot="0" count="4">
      <tableStyleElement type="headerRow" dxfId="15"/>
      <tableStyleElement type="firstRowStripe" dxfId="16"/>
      <tableStyleElement type="secondRowStripe" dxfId="17"/>
      <tableStyleElement type="wholeTable" size="0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abela_1" displayName="Tabela_1" ref="A1:F14" headerRowCount="1">
  <autoFilter ref="$A$1:$F$14"/>
  <tableColumns count="6">
    <tableColumn id="1" name="Turmas"/>
    <tableColumn id="2" name="Jurado 1"/>
    <tableColumn id="3" name="Jurado 2"/>
    <tableColumn id="4" name="Jurado 3"/>
    <tableColumn id="5" name="Jurado 4"/>
    <tableColumn id="6" name="Total"/>
  </tableColumns>
  <tableStyleInfo name="Bandeira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8.38" customWidth="1" style="128" min="1" max="1"/>
    <col width="19.63" customWidth="1" style="128" min="5" max="5"/>
  </cols>
  <sheetData>
    <row r="1">
      <c r="A1" s="1" t="inlineStr">
        <is>
          <t>Nome</t>
        </is>
      </c>
      <c r="B1" s="1" t="inlineStr">
        <is>
          <t>Turma</t>
        </is>
      </c>
      <c r="C1" s="1" t="inlineStr">
        <is>
          <t>Período</t>
        </is>
      </c>
      <c r="D1" s="4" t="n"/>
      <c r="E1" s="3" t="inlineStr">
        <is>
          <t>Não Vai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4" t="inlineStr">
        <is>
          <t>Aluno 047</t>
        </is>
      </c>
      <c r="B2" s="4" t="inlineStr">
        <is>
          <t>Turma B1</t>
        </is>
      </c>
      <c r="C2" s="4" t="inlineStr">
        <is>
          <t>Matutino</t>
        </is>
      </c>
      <c r="D2" s="4" t="n"/>
      <c r="E2" s="5" t="inlineStr">
        <is>
          <t>Aluno (n/d)</t>
        </is>
      </c>
      <c r="F2" s="5" t="inlineStr">
        <is>
          <t>Turma</t>
        </is>
      </c>
      <c r="G2" s="5" t="inlineStr">
        <is>
          <t>O que fez ?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inlineStr">
        <is>
          <t>Aluno 051</t>
        </is>
      </c>
      <c r="B3" s="4" t="inlineStr">
        <is>
          <t>Turma B1</t>
        </is>
      </c>
      <c r="C3" s="4" t="inlineStr">
        <is>
          <t>Matutino</t>
        </is>
      </c>
      <c r="D3" s="4" t="n"/>
      <c r="E3" s="4" t="inlineStr">
        <is>
          <t>Aluno (n/d)</t>
        </is>
      </c>
      <c r="F3" s="4" t="inlineStr">
        <is>
          <t>B1 M</t>
        </is>
      </c>
      <c r="G3" s="4" t="inlineStr">
        <is>
          <t>Andando em cima da mureta mesmo após ser alertado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4" t="inlineStr">
        <is>
          <t>Aluno 066</t>
        </is>
      </c>
      <c r="B4" s="4" t="inlineStr">
        <is>
          <t>Turma B1</t>
        </is>
      </c>
      <c r="C4" s="4" t="inlineStr">
        <is>
          <t>Matutino</t>
        </is>
      </c>
      <c r="D4" s="4" t="n"/>
      <c r="E4" s="4" t="inlineStr">
        <is>
          <t>Aluno (n/d)</t>
        </is>
      </c>
      <c r="F4" s="4" t="inlineStr">
        <is>
          <t xml:space="preserve">D V </t>
        </is>
      </c>
      <c r="G4" s="4" t="inlineStr">
        <is>
          <t>Prática Anti-Desportiva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4" t="inlineStr">
        <is>
          <t>Aluno 067</t>
        </is>
      </c>
      <c r="B5" s="4" t="inlineStr">
        <is>
          <t>Turma B1</t>
        </is>
      </c>
      <c r="C5" s="4" t="inlineStr">
        <is>
          <t>Matutino</t>
        </is>
      </c>
      <c r="D5" s="4" t="n"/>
      <c r="E5" s="4" t="inlineStr">
        <is>
          <t>Aluno (n/d)</t>
        </is>
      </c>
      <c r="F5" s="4" t="inlineStr">
        <is>
          <t>D V</t>
        </is>
      </c>
      <c r="G5" s="4" t="inlineStr">
        <is>
          <t>Prática Anti-Desportiva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inlineStr">
        <is>
          <t>Aluno 072</t>
        </is>
      </c>
      <c r="B6" s="4" t="inlineStr">
        <is>
          <t>Turma B1</t>
        </is>
      </c>
      <c r="C6" s="4" t="inlineStr">
        <is>
          <t>Matutino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inlineStr">
        <is>
          <t>Aluno 075</t>
        </is>
      </c>
      <c r="B7" s="4" t="inlineStr">
        <is>
          <t>Turma B1</t>
        </is>
      </c>
      <c r="C7" s="4" t="inlineStr">
        <is>
          <t>Matutino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inlineStr">
        <is>
          <t>Aluno 087</t>
        </is>
      </c>
      <c r="B8" s="4" t="inlineStr">
        <is>
          <t>Turma B1</t>
        </is>
      </c>
      <c r="C8" s="4" t="inlineStr">
        <is>
          <t>Matutino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inlineStr">
        <is>
          <t>Aluno 133</t>
        </is>
      </c>
      <c r="B9" s="4" t="inlineStr">
        <is>
          <t>Turma B1</t>
        </is>
      </c>
      <c r="C9" s="4" t="inlineStr">
        <is>
          <t>Matutino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inlineStr">
        <is>
          <t>Aluno 138</t>
        </is>
      </c>
      <c r="B10" s="4" t="inlineStr">
        <is>
          <t>Turma B1</t>
        </is>
      </c>
      <c r="C10" s="4" t="inlineStr">
        <is>
          <t>Matutino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inlineStr">
        <is>
          <t>Aluno 127</t>
        </is>
      </c>
      <c r="B11" s="4" t="inlineStr">
        <is>
          <t>Turma B1</t>
        </is>
      </c>
      <c r="C11" s="4" t="inlineStr">
        <is>
          <t>Matutino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inlineStr">
        <is>
          <t>Aluno 169</t>
        </is>
      </c>
      <c r="B12" s="4" t="inlineStr">
        <is>
          <t>Turma B1</t>
        </is>
      </c>
      <c r="C12" s="4" t="inlineStr">
        <is>
          <t>Matutino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inlineStr">
        <is>
          <t>Aluno 224</t>
        </is>
      </c>
      <c r="B13" s="4" t="inlineStr">
        <is>
          <t>Turma B1</t>
        </is>
      </c>
      <c r="C13" s="4" t="inlineStr">
        <is>
          <t>Matutino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inlineStr">
        <is>
          <t>Aluno 228</t>
        </is>
      </c>
      <c r="B14" s="4" t="inlineStr">
        <is>
          <t>Turma B1</t>
        </is>
      </c>
      <c r="C14" s="4" t="inlineStr">
        <is>
          <t>Matutino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34" t="inlineStr">
        <is>
          <t>Aluno 020</t>
        </is>
      </c>
      <c r="B15" s="34" t="inlineStr">
        <is>
          <t>Turma D</t>
        </is>
      </c>
      <c r="C15" s="34" t="inlineStr">
        <is>
          <t>Vespertino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34" t="inlineStr">
        <is>
          <t>Aluno 040</t>
        </is>
      </c>
      <c r="B16" s="34" t="inlineStr">
        <is>
          <t>Turma D</t>
        </is>
      </c>
      <c r="C16" s="34" t="inlineStr">
        <is>
          <t>Vespertino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34" t="inlineStr">
        <is>
          <t>Aluno 048</t>
        </is>
      </c>
      <c r="B17" s="34" t="inlineStr">
        <is>
          <t>Turma D</t>
        </is>
      </c>
      <c r="C17" s="34" t="inlineStr">
        <is>
          <t>Vespertino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34" t="inlineStr">
        <is>
          <t>Aluno 049</t>
        </is>
      </c>
      <c r="B18" s="34" t="inlineStr">
        <is>
          <t>Turma D</t>
        </is>
      </c>
      <c r="C18" s="34" t="inlineStr">
        <is>
          <t>Vespertino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34" t="inlineStr">
        <is>
          <t>Aluno 053</t>
        </is>
      </c>
      <c r="B19" s="34" t="inlineStr">
        <is>
          <t>Turma D</t>
        </is>
      </c>
      <c r="C19" s="34" t="inlineStr">
        <is>
          <t>Vespertino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34" t="inlineStr">
        <is>
          <t>Aluno 065</t>
        </is>
      </c>
      <c r="B20" s="34" t="inlineStr">
        <is>
          <t>Turma D</t>
        </is>
      </c>
      <c r="C20" s="34" t="inlineStr">
        <is>
          <t>Vespertino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34" t="inlineStr">
        <is>
          <t>Aluno 107</t>
        </is>
      </c>
      <c r="B21" s="34" t="inlineStr">
        <is>
          <t>Turma D</t>
        </is>
      </c>
      <c r="C21" s="34" t="inlineStr">
        <is>
          <t>Vespertino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34" t="inlineStr">
        <is>
          <t>Aluno 163</t>
        </is>
      </c>
      <c r="B22" s="34" t="inlineStr">
        <is>
          <t>Turma D</t>
        </is>
      </c>
      <c r="C22" s="34" t="inlineStr">
        <is>
          <t>Vespertino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34" t="inlineStr">
        <is>
          <t>Aluno 165</t>
        </is>
      </c>
      <c r="B23" s="34" t="inlineStr">
        <is>
          <t>Turma D</t>
        </is>
      </c>
      <c r="C23" s="34" t="inlineStr">
        <is>
          <t>Vespertino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34" t="inlineStr">
        <is>
          <t>Aluno 176</t>
        </is>
      </c>
      <c r="B24" s="34" t="inlineStr">
        <is>
          <t>Turma D</t>
        </is>
      </c>
      <c r="C24" s="34" t="inlineStr">
        <is>
          <t>Vespertino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34" t="inlineStr">
        <is>
          <t>Aluno 197</t>
        </is>
      </c>
      <c r="B25" s="34" t="inlineStr">
        <is>
          <t>Turma D</t>
        </is>
      </c>
      <c r="C25" s="34" t="inlineStr">
        <is>
          <t>Vespertino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34" t="inlineStr">
        <is>
          <t>Aluno 199</t>
        </is>
      </c>
      <c r="B26" s="34" t="inlineStr">
        <is>
          <t>Turma D</t>
        </is>
      </c>
      <c r="C26" s="34" t="inlineStr">
        <is>
          <t>Vespertino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34" t="inlineStr">
        <is>
          <t>Aluno 202</t>
        </is>
      </c>
      <c r="B27" s="34" t="inlineStr">
        <is>
          <t>Turma D</t>
        </is>
      </c>
      <c r="C27" s="34" t="inlineStr">
        <is>
          <t>Vespertino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34" t="inlineStr">
        <is>
          <t>Aluno 215</t>
        </is>
      </c>
      <c r="B28" s="34" t="inlineStr">
        <is>
          <t>Turma D</t>
        </is>
      </c>
      <c r="C28" s="34" t="inlineStr">
        <is>
          <t>Vespertino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34" t="inlineStr">
        <is>
          <t>Aluno 219</t>
        </is>
      </c>
      <c r="B29" s="34" t="inlineStr">
        <is>
          <t>Turma D</t>
        </is>
      </c>
      <c r="C29" s="34" t="inlineStr">
        <is>
          <t>Vespertino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34" t="inlineStr">
        <is>
          <t>Aluno 235</t>
        </is>
      </c>
      <c r="B30" s="34" t="inlineStr">
        <is>
          <t>Turma D</t>
        </is>
      </c>
      <c r="C30" s="34" t="inlineStr">
        <is>
          <t>Vespertino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34" t="inlineStr">
        <is>
          <t>Aluno 240</t>
        </is>
      </c>
      <c r="B31" s="34" t="inlineStr">
        <is>
          <t>Turma D</t>
        </is>
      </c>
      <c r="C31" s="34" t="inlineStr">
        <is>
          <t>Vespertino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34" t="inlineStr">
        <is>
          <t>Aluno 252</t>
        </is>
      </c>
      <c r="B32" s="34" t="inlineStr">
        <is>
          <t>Turma D</t>
        </is>
      </c>
      <c r="C32" s="34" t="inlineStr">
        <is>
          <t>Vespertino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34" t="inlineStr">
        <is>
          <t>Aluno 256</t>
        </is>
      </c>
      <c r="B33" s="34" t="inlineStr">
        <is>
          <t>Turma D</t>
        </is>
      </c>
      <c r="C33" s="34" t="inlineStr">
        <is>
          <t>Vespertino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inlineStr">
        <is>
          <t>Aluno 001</t>
        </is>
      </c>
      <c r="B34" s="4" t="inlineStr">
        <is>
          <t>Turma E</t>
        </is>
      </c>
      <c r="C34" s="4" t="inlineStr">
        <is>
          <t>Matutino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inlineStr">
        <is>
          <t>Aluno 017</t>
        </is>
      </c>
      <c r="B35" s="4" t="inlineStr">
        <is>
          <t>Turma E</t>
        </is>
      </c>
      <c r="C35" s="4" t="inlineStr">
        <is>
          <t>Matutino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inlineStr">
        <is>
          <t>Aluno 034</t>
        </is>
      </c>
      <c r="B36" s="4" t="inlineStr">
        <is>
          <t>Turma E</t>
        </is>
      </c>
      <c r="C36" s="4" t="inlineStr">
        <is>
          <t>Matutino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inlineStr">
        <is>
          <t>Aluno 035</t>
        </is>
      </c>
      <c r="B37" s="4" t="inlineStr">
        <is>
          <t>Turma E</t>
        </is>
      </c>
      <c r="C37" s="4" t="inlineStr">
        <is>
          <t>Matutino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inlineStr">
        <is>
          <t>Aluno 058</t>
        </is>
      </c>
      <c r="B38" s="4" t="inlineStr">
        <is>
          <t>Turma E</t>
        </is>
      </c>
      <c r="C38" s="4" t="inlineStr">
        <is>
          <t>Matutino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34" t="inlineStr">
        <is>
          <t>Aluno 091</t>
        </is>
      </c>
      <c r="B39" s="34" t="inlineStr">
        <is>
          <t>Turma E</t>
        </is>
      </c>
      <c r="C39" s="34" t="inlineStr">
        <is>
          <t>Matutino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34" t="inlineStr">
        <is>
          <t>Aluno 102</t>
        </is>
      </c>
      <c r="B40" s="34" t="inlineStr">
        <is>
          <t>Turma E</t>
        </is>
      </c>
      <c r="C40" s="34" t="inlineStr">
        <is>
          <t>Matutino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34" t="inlineStr">
        <is>
          <t>Aluno 109</t>
        </is>
      </c>
      <c r="B41" s="34" t="inlineStr">
        <is>
          <t>Turma E</t>
        </is>
      </c>
      <c r="C41" s="34" t="inlineStr">
        <is>
          <t>Matutino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34" t="inlineStr">
        <is>
          <t>Aluno 137</t>
        </is>
      </c>
      <c r="B42" s="34" t="inlineStr">
        <is>
          <t>Turma E</t>
        </is>
      </c>
      <c r="C42" s="34" t="inlineStr">
        <is>
          <t>Matutino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34" t="inlineStr">
        <is>
          <t>Aluno 156</t>
        </is>
      </c>
      <c r="B43" s="34" t="inlineStr">
        <is>
          <t>Turma E</t>
        </is>
      </c>
      <c r="C43" s="34" t="inlineStr">
        <is>
          <t>Matutino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34" t="inlineStr">
        <is>
          <t>Aluno 157</t>
        </is>
      </c>
      <c r="B44" s="34" t="inlineStr">
        <is>
          <t>Turma E</t>
        </is>
      </c>
      <c r="C44" s="34" t="inlineStr">
        <is>
          <t>Matutino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34" t="inlineStr">
        <is>
          <t>Aluno 189</t>
        </is>
      </c>
      <c r="B45" s="34" t="inlineStr">
        <is>
          <t>Turma E</t>
        </is>
      </c>
      <c r="C45" s="34" t="inlineStr">
        <is>
          <t>Matutino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E1:G1"/>
  </mergeCells>
  <conditionalFormatting sqref="A1 A8 A12 A14 A21 A33 A45">
    <cfRule type="containsText" priority="1" operator="containsText" dxfId="0" text="M:M">
      <formula>NOT(ISERROR(SEARCH(("M:M"),(A1))))</formula>
    </cfRule>
    <cfRule type="expression" priority="2" dxfId="0">
      <formula>(M:M)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276"/>
  <sheetViews>
    <sheetView workbookViewId="0">
      <selection activeCell="A1" sqref="A1"/>
    </sheetView>
  </sheetViews>
  <sheetFormatPr baseColWidth="8" defaultColWidth="12.63" defaultRowHeight="15.75" customHeight="1"/>
  <cols>
    <col width="42.75" customWidth="1" style="128" min="1" max="1"/>
    <col width="17.13" customWidth="1" style="128" min="4" max="4"/>
    <col width="15.88" customWidth="1" style="128" min="5" max="11"/>
    <col width="27" customWidth="1" style="128" min="13" max="13"/>
  </cols>
  <sheetData>
    <row r="1">
      <c r="A1" s="7" t="inlineStr">
        <is>
          <t>Nome</t>
        </is>
      </c>
      <c r="B1" s="7" t="inlineStr">
        <is>
          <t>Turma</t>
        </is>
      </c>
      <c r="C1" s="7" t="inlineStr">
        <is>
          <t>Período</t>
        </is>
      </c>
      <c r="D1" s="8" t="inlineStr">
        <is>
          <t>Futebol</t>
        </is>
      </c>
      <c r="E1" s="9" t="inlineStr">
        <is>
          <t>Futsal</t>
        </is>
      </c>
      <c r="F1" s="10" t="inlineStr">
        <is>
          <t>Queimada</t>
        </is>
      </c>
      <c r="G1" s="11" t="inlineStr">
        <is>
          <t>Rouba Bandeira</t>
        </is>
      </c>
      <c r="H1" s="12" t="inlineStr">
        <is>
          <t>Basquete</t>
        </is>
      </c>
      <c r="I1" s="13" t="inlineStr">
        <is>
          <t>Vôlei</t>
        </is>
      </c>
      <c r="J1" s="14" t="inlineStr">
        <is>
          <t>Taekwondo</t>
        </is>
      </c>
      <c r="K1" s="15" t="inlineStr">
        <is>
          <t>Ginastica</t>
        </is>
      </c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34" t="inlineStr">
        <is>
          <t>Aluno 001</t>
        </is>
      </c>
      <c r="B2" s="34" t="inlineStr">
        <is>
          <t>Turma E</t>
        </is>
      </c>
      <c r="C2" s="34" t="inlineStr">
        <is>
          <t>Matutino</t>
        </is>
      </c>
      <c r="D2" s="34" t="inlineStr">
        <is>
          <t>Participa</t>
        </is>
      </c>
      <c r="E2" s="34" t="inlineStr">
        <is>
          <t>Participa</t>
        </is>
      </c>
      <c r="F2" s="34" t="inlineStr">
        <is>
          <t>Participa</t>
        </is>
      </c>
      <c r="G2" s="34" t="inlineStr">
        <is>
          <t>Participa</t>
        </is>
      </c>
      <c r="H2" s="34" t="inlineStr">
        <is>
          <t>Participa</t>
        </is>
      </c>
      <c r="I2" s="34" t="inlineStr">
        <is>
          <t>Participa</t>
        </is>
      </c>
      <c r="J2" s="34" t="inlineStr">
        <is>
          <t>Não Participa</t>
        </is>
      </c>
      <c r="K2" s="34" t="inlineStr">
        <is>
          <t>Não Participa</t>
        </is>
      </c>
    </row>
    <row r="3">
      <c r="A3" s="18" t="inlineStr">
        <is>
          <t>Aluno 272</t>
        </is>
      </c>
      <c r="B3" s="34" t="inlineStr">
        <is>
          <t>Turma C</t>
        </is>
      </c>
      <c r="C3" s="34" t="inlineStr">
        <is>
          <t>Matutino</t>
        </is>
      </c>
      <c r="D3" s="34" t="inlineStr">
        <is>
          <t>Não Participa</t>
        </is>
      </c>
      <c r="E3" s="34" t="inlineStr">
        <is>
          <t>Não Participa</t>
        </is>
      </c>
      <c r="F3" s="34" t="inlineStr">
        <is>
          <t>Não Participa</t>
        </is>
      </c>
      <c r="G3" s="34" t="inlineStr">
        <is>
          <t>Não Participa</t>
        </is>
      </c>
      <c r="H3" s="34" t="inlineStr">
        <is>
          <t>Não Participa</t>
        </is>
      </c>
      <c r="I3" s="34" t="inlineStr">
        <is>
          <t>Não Participa</t>
        </is>
      </c>
      <c r="J3" s="34" t="inlineStr">
        <is>
          <t>Não Participa</t>
        </is>
      </c>
      <c r="K3" s="34" t="inlineStr">
        <is>
          <t>Não Participa</t>
        </is>
      </c>
    </row>
    <row r="4">
      <c r="A4" s="34" t="inlineStr">
        <is>
          <t>Aluno 002</t>
        </is>
      </c>
      <c r="B4" s="34" t="inlineStr">
        <is>
          <t>Turma A</t>
        </is>
      </c>
      <c r="C4" s="34" t="inlineStr">
        <is>
          <t>Vespertino</t>
        </is>
      </c>
      <c r="D4" s="34" t="inlineStr">
        <is>
          <t>Não Participa</t>
        </is>
      </c>
      <c r="E4" s="34" t="inlineStr">
        <is>
          <t>Não Participa</t>
        </is>
      </c>
      <c r="F4" s="34" t="inlineStr">
        <is>
          <t>Não Participa</t>
        </is>
      </c>
      <c r="G4" s="34" t="inlineStr">
        <is>
          <t>Participa</t>
        </is>
      </c>
      <c r="H4" s="34" t="inlineStr">
        <is>
          <t>Não Participa</t>
        </is>
      </c>
      <c r="I4" s="34" t="inlineStr">
        <is>
          <t>Não Participa</t>
        </is>
      </c>
      <c r="J4" s="34" t="inlineStr">
        <is>
          <t>Participa</t>
        </is>
      </c>
      <c r="K4" s="34" t="inlineStr">
        <is>
          <t>Participa</t>
        </is>
      </c>
    </row>
    <row r="5">
      <c r="A5" s="18" t="inlineStr">
        <is>
          <t>Aluno 273</t>
        </is>
      </c>
      <c r="B5" s="34" t="inlineStr">
        <is>
          <t>Turma C</t>
        </is>
      </c>
      <c r="C5" s="34" t="inlineStr">
        <is>
          <t>Vespertino</t>
        </is>
      </c>
      <c r="D5" s="34" t="inlineStr">
        <is>
          <t>Não Participa</t>
        </is>
      </c>
      <c r="E5" s="34" t="inlineStr">
        <is>
          <t>Não Participa</t>
        </is>
      </c>
      <c r="F5" s="34" t="inlineStr">
        <is>
          <t>Não Participa</t>
        </is>
      </c>
      <c r="G5" s="34" t="inlineStr">
        <is>
          <t>Não Participa</t>
        </is>
      </c>
      <c r="H5" s="34" t="inlineStr">
        <is>
          <t>Não Participa</t>
        </is>
      </c>
      <c r="I5" s="34" t="inlineStr">
        <is>
          <t>Não Participa</t>
        </is>
      </c>
      <c r="J5" s="34" t="inlineStr">
        <is>
          <t>Não Participa</t>
        </is>
      </c>
      <c r="K5" s="34" t="inlineStr">
        <is>
          <t>Não Participa</t>
        </is>
      </c>
    </row>
    <row r="6">
      <c r="A6" s="18" t="inlineStr">
        <is>
          <t>Aluno 003</t>
        </is>
      </c>
      <c r="B6" s="34" t="inlineStr">
        <is>
          <t>Turma A</t>
        </is>
      </c>
      <c r="C6" s="34" t="inlineStr">
        <is>
          <t>Vespertino</t>
        </is>
      </c>
      <c r="D6" s="34" t="inlineStr">
        <is>
          <t>Não Participa</t>
        </is>
      </c>
      <c r="E6" s="34" t="inlineStr">
        <is>
          <t>Não Participa</t>
        </is>
      </c>
      <c r="F6" s="34" t="inlineStr">
        <is>
          <t>Não Participa</t>
        </is>
      </c>
      <c r="G6" s="34" t="inlineStr">
        <is>
          <t>Não Participa</t>
        </is>
      </c>
      <c r="H6" s="34" t="inlineStr">
        <is>
          <t>Não Participa</t>
        </is>
      </c>
      <c r="I6" s="34" t="inlineStr">
        <is>
          <t>Não Participa</t>
        </is>
      </c>
      <c r="J6" s="34" t="inlineStr">
        <is>
          <t>Não Participa</t>
        </is>
      </c>
      <c r="K6" s="34" t="inlineStr">
        <is>
          <t>Não Participa</t>
        </is>
      </c>
    </row>
    <row r="7">
      <c r="A7" s="34" t="inlineStr">
        <is>
          <t>Aluno 274</t>
        </is>
      </c>
      <c r="B7" s="34" t="inlineStr">
        <is>
          <t>Turma A</t>
        </is>
      </c>
      <c r="C7" s="34" t="inlineStr">
        <is>
          <t>Matutino</t>
        </is>
      </c>
      <c r="D7" s="34" t="inlineStr">
        <is>
          <t>Não Participa</t>
        </is>
      </c>
      <c r="E7" s="34" t="inlineStr">
        <is>
          <t>Não Participa</t>
        </is>
      </c>
      <c r="F7" s="34" t="inlineStr">
        <is>
          <t>Participa</t>
        </is>
      </c>
      <c r="G7" s="34" t="inlineStr">
        <is>
          <t>Participa</t>
        </is>
      </c>
      <c r="H7" s="34" t="inlineStr">
        <is>
          <t>Não Participa</t>
        </is>
      </c>
      <c r="I7" s="34" t="inlineStr">
        <is>
          <t>Não Participa</t>
        </is>
      </c>
      <c r="J7" s="34" t="inlineStr">
        <is>
          <t>Não Participa</t>
        </is>
      </c>
      <c r="K7" s="34" t="inlineStr">
        <is>
          <t>Participa</t>
        </is>
      </c>
    </row>
    <row r="8">
      <c r="A8" s="18" t="inlineStr">
        <is>
          <t>Aluno 004</t>
        </is>
      </c>
      <c r="B8" s="34" t="inlineStr">
        <is>
          <t>Turma B1</t>
        </is>
      </c>
      <c r="C8" s="34" t="inlineStr">
        <is>
          <t>Vespertino</t>
        </is>
      </c>
      <c r="D8" s="34" t="inlineStr">
        <is>
          <t>Não Participa</t>
        </is>
      </c>
      <c r="E8" s="34" t="inlineStr">
        <is>
          <t>Não Participa</t>
        </is>
      </c>
      <c r="F8" s="34" t="inlineStr">
        <is>
          <t>Não Participa</t>
        </is>
      </c>
      <c r="G8" s="34" t="inlineStr">
        <is>
          <t>Não Participa</t>
        </is>
      </c>
      <c r="H8" s="34" t="inlineStr">
        <is>
          <t>Não Participa</t>
        </is>
      </c>
      <c r="I8" s="34" t="inlineStr">
        <is>
          <t>Não Participa</t>
        </is>
      </c>
      <c r="J8" s="34" t="inlineStr">
        <is>
          <t>Não Participa</t>
        </is>
      </c>
      <c r="K8" s="34" t="inlineStr">
        <is>
          <t>Não Participa</t>
        </is>
      </c>
    </row>
    <row r="9">
      <c r="A9" s="34" t="inlineStr">
        <is>
          <t>Aluno 005</t>
        </is>
      </c>
      <c r="B9" s="34" t="inlineStr">
        <is>
          <t>Turma B2</t>
        </is>
      </c>
      <c r="C9" s="34" t="inlineStr">
        <is>
          <t>Vespertino</t>
        </is>
      </c>
      <c r="D9" s="34" t="inlineStr">
        <is>
          <t>Participa</t>
        </is>
      </c>
      <c r="E9" s="34" t="inlineStr">
        <is>
          <t>Participa</t>
        </is>
      </c>
      <c r="F9" s="34" t="inlineStr">
        <is>
          <t>Não Participa</t>
        </is>
      </c>
      <c r="G9" s="34" t="inlineStr">
        <is>
          <t>Não Participa</t>
        </is>
      </c>
      <c r="H9" s="34" t="inlineStr">
        <is>
          <t>Não Participa</t>
        </is>
      </c>
      <c r="I9" s="34" t="inlineStr">
        <is>
          <t>Não Participa</t>
        </is>
      </c>
      <c r="J9" s="34" t="inlineStr">
        <is>
          <t>Não Participa</t>
        </is>
      </c>
      <c r="K9" s="34" t="inlineStr">
        <is>
          <t>Não Participa</t>
        </is>
      </c>
    </row>
    <row r="10">
      <c r="A10" s="34" t="inlineStr">
        <is>
          <t>Aluno 006</t>
        </is>
      </c>
      <c r="B10" s="34" t="inlineStr">
        <is>
          <t>Turma E</t>
        </is>
      </c>
      <c r="C10" s="34" t="inlineStr">
        <is>
          <t>Vespertino</t>
        </is>
      </c>
      <c r="D10" s="34" t="inlineStr">
        <is>
          <t>Participa</t>
        </is>
      </c>
      <c r="E10" s="34" t="inlineStr">
        <is>
          <t>Participa</t>
        </is>
      </c>
      <c r="F10" s="34" t="inlineStr">
        <is>
          <t>Participa</t>
        </is>
      </c>
      <c r="G10" s="34" t="inlineStr">
        <is>
          <t>Participa</t>
        </is>
      </c>
      <c r="H10" s="34" t="inlineStr">
        <is>
          <t>Participa</t>
        </is>
      </c>
      <c r="I10" s="34" t="inlineStr">
        <is>
          <t>Participa</t>
        </is>
      </c>
      <c r="J10" s="34" t="inlineStr">
        <is>
          <t>Participa</t>
        </is>
      </c>
      <c r="K10" s="34" t="inlineStr">
        <is>
          <t>Não Participa</t>
        </is>
      </c>
    </row>
    <row r="11">
      <c r="A11" s="34" t="inlineStr">
        <is>
          <t>Aluno 007</t>
        </is>
      </c>
      <c r="B11" s="34" t="inlineStr">
        <is>
          <t>Turma B1</t>
        </is>
      </c>
      <c r="C11" s="34" t="inlineStr">
        <is>
          <t>Vespertino</t>
        </is>
      </c>
      <c r="D11" s="34" t="inlineStr">
        <is>
          <t>Não Participa</t>
        </is>
      </c>
      <c r="E11" s="34" t="inlineStr">
        <is>
          <t>Não Participa</t>
        </is>
      </c>
      <c r="F11" s="34" t="inlineStr">
        <is>
          <t>Participa</t>
        </is>
      </c>
      <c r="G11" s="34" t="inlineStr">
        <is>
          <t>Participa</t>
        </is>
      </c>
      <c r="H11" s="34" t="inlineStr">
        <is>
          <t>Não Participa</t>
        </is>
      </c>
      <c r="I11" s="34" t="inlineStr">
        <is>
          <t>Não Participa</t>
        </is>
      </c>
      <c r="J11" s="34" t="inlineStr">
        <is>
          <t>Participa</t>
        </is>
      </c>
      <c r="K11" s="34" t="inlineStr">
        <is>
          <t>Participa</t>
        </is>
      </c>
    </row>
    <row r="12">
      <c r="A12" s="34" t="inlineStr">
        <is>
          <t>Aluno 008</t>
        </is>
      </c>
      <c r="B12" s="34" t="inlineStr">
        <is>
          <t>Turma C</t>
        </is>
      </c>
      <c r="C12" s="34" t="inlineStr">
        <is>
          <t>Matutino</t>
        </is>
      </c>
      <c r="D12" s="34" t="inlineStr">
        <is>
          <t>Participa</t>
        </is>
      </c>
      <c r="E12" s="34" t="inlineStr">
        <is>
          <t>Não Participa</t>
        </is>
      </c>
      <c r="F12" s="34" t="inlineStr">
        <is>
          <t>Participa</t>
        </is>
      </c>
      <c r="G12" s="34" t="inlineStr">
        <is>
          <t>Participa</t>
        </is>
      </c>
      <c r="H12" s="34" t="inlineStr">
        <is>
          <t>Não Participa</t>
        </is>
      </c>
      <c r="I12" s="34" t="inlineStr">
        <is>
          <t>Não Participa</t>
        </is>
      </c>
      <c r="J12" s="34" t="inlineStr">
        <is>
          <t>Participa</t>
        </is>
      </c>
      <c r="K12" s="34" t="inlineStr">
        <is>
          <t>Não Participa</t>
        </is>
      </c>
    </row>
    <row r="13">
      <c r="A13" s="18" t="inlineStr">
        <is>
          <t>Aluno 009</t>
        </is>
      </c>
      <c r="B13" s="34" t="inlineStr">
        <is>
          <t>Turma D</t>
        </is>
      </c>
      <c r="C13" s="34" t="inlineStr">
        <is>
          <t>Vespertino</t>
        </is>
      </c>
      <c r="D13" s="34" t="inlineStr">
        <is>
          <t>Não Participa</t>
        </is>
      </c>
      <c r="E13" s="34" t="inlineStr">
        <is>
          <t>Não Participa</t>
        </is>
      </c>
      <c r="F13" s="34" t="inlineStr">
        <is>
          <t>Não Participa</t>
        </is>
      </c>
      <c r="G13" s="34" t="inlineStr">
        <is>
          <t>Não Participa</t>
        </is>
      </c>
      <c r="H13" s="34" t="inlineStr">
        <is>
          <t>Não Participa</t>
        </is>
      </c>
      <c r="I13" s="34" t="inlineStr">
        <is>
          <t>Não Participa</t>
        </is>
      </c>
      <c r="J13" s="34" t="inlineStr">
        <is>
          <t>Não Participa</t>
        </is>
      </c>
      <c r="K13" s="34" t="inlineStr">
        <is>
          <t>Não Participa</t>
        </is>
      </c>
    </row>
    <row r="14">
      <c r="A14" s="34" t="inlineStr">
        <is>
          <t>Aluno 010</t>
        </is>
      </c>
      <c r="B14" s="34" t="inlineStr">
        <is>
          <t>Turma A</t>
        </is>
      </c>
      <c r="C14" s="34" t="inlineStr">
        <is>
          <t>Vespertino</t>
        </is>
      </c>
      <c r="D14" s="34" t="inlineStr">
        <is>
          <t>Não Participa</t>
        </is>
      </c>
      <c r="E14" s="34" t="inlineStr">
        <is>
          <t>Não Participa</t>
        </is>
      </c>
      <c r="F14" s="34" t="inlineStr">
        <is>
          <t>Participa</t>
        </is>
      </c>
      <c r="G14" s="34" t="inlineStr">
        <is>
          <t>Participa</t>
        </is>
      </c>
      <c r="H14" s="34" t="inlineStr">
        <is>
          <t>Não Participa</t>
        </is>
      </c>
      <c r="I14" s="34" t="inlineStr">
        <is>
          <t>Não Participa</t>
        </is>
      </c>
      <c r="J14" s="34" t="inlineStr">
        <is>
          <t>Não Participa</t>
        </is>
      </c>
      <c r="K14" s="34" t="inlineStr">
        <is>
          <t>Não Participa</t>
        </is>
      </c>
    </row>
    <row r="15">
      <c r="A15" s="18" t="inlineStr">
        <is>
          <t>Aluno 011</t>
        </is>
      </c>
      <c r="B15" s="34" t="inlineStr">
        <is>
          <t>Turma D</t>
        </is>
      </c>
      <c r="C15" s="34" t="inlineStr">
        <is>
          <t>Vespertino</t>
        </is>
      </c>
      <c r="D15" s="34" t="inlineStr">
        <is>
          <t>Não Participa</t>
        </is>
      </c>
      <c r="E15" s="34" t="inlineStr">
        <is>
          <t>Não Participa</t>
        </is>
      </c>
      <c r="F15" s="34" t="inlineStr">
        <is>
          <t>Não Participa</t>
        </is>
      </c>
      <c r="G15" s="34" t="inlineStr">
        <is>
          <t>Não Participa</t>
        </is>
      </c>
      <c r="H15" s="34" t="inlineStr">
        <is>
          <t>Não Participa</t>
        </is>
      </c>
      <c r="I15" s="34" t="inlineStr">
        <is>
          <t>Não Participa</t>
        </is>
      </c>
      <c r="J15" s="34" t="inlineStr">
        <is>
          <t>Não Participa</t>
        </is>
      </c>
      <c r="K15" s="34" t="inlineStr">
        <is>
          <t>Não Participa</t>
        </is>
      </c>
    </row>
    <row r="16">
      <c r="A16" s="34" t="inlineStr">
        <is>
          <t>Aluno 012</t>
        </is>
      </c>
      <c r="B16" s="34" t="inlineStr">
        <is>
          <t>Turma GR</t>
        </is>
      </c>
      <c r="C16" s="34" t="inlineStr">
        <is>
          <t>Vespertino</t>
        </is>
      </c>
      <c r="D16" s="34" t="inlineStr">
        <is>
          <t>Participa</t>
        </is>
      </c>
      <c r="E16" s="34" t="inlineStr">
        <is>
          <t>Participa</t>
        </is>
      </c>
      <c r="F16" s="34" t="inlineStr">
        <is>
          <t>Participa</t>
        </is>
      </c>
      <c r="G16" s="34" t="inlineStr">
        <is>
          <t>Participa</t>
        </is>
      </c>
      <c r="H16" s="34" t="inlineStr">
        <is>
          <t>Participa</t>
        </is>
      </c>
      <c r="I16" s="34" t="inlineStr">
        <is>
          <t>Participa</t>
        </is>
      </c>
      <c r="J16" s="34" t="inlineStr">
        <is>
          <t>Não Participa</t>
        </is>
      </c>
      <c r="K16" s="34" t="inlineStr">
        <is>
          <t>Participa</t>
        </is>
      </c>
    </row>
    <row r="17">
      <c r="A17" s="18" t="inlineStr">
        <is>
          <t>Aluno 013</t>
        </is>
      </c>
      <c r="B17" s="34" t="inlineStr">
        <is>
          <t>Turma GR</t>
        </is>
      </c>
      <c r="C17" s="34" t="inlineStr">
        <is>
          <t>Vespertino</t>
        </is>
      </c>
      <c r="D17" s="34" t="inlineStr">
        <is>
          <t>Não Participa</t>
        </is>
      </c>
      <c r="E17" s="34" t="inlineStr">
        <is>
          <t>Não Participa</t>
        </is>
      </c>
      <c r="F17" s="34" t="inlineStr">
        <is>
          <t>Não Participa</t>
        </is>
      </c>
      <c r="G17" s="34" t="inlineStr">
        <is>
          <t>Não Participa</t>
        </is>
      </c>
      <c r="H17" s="34" t="inlineStr">
        <is>
          <t>Não Participa</t>
        </is>
      </c>
      <c r="I17" s="34" t="inlineStr">
        <is>
          <t>Não Participa</t>
        </is>
      </c>
      <c r="J17" s="34" t="inlineStr">
        <is>
          <t>Não Participa</t>
        </is>
      </c>
      <c r="K17" s="34" t="inlineStr">
        <is>
          <t>Não Participa</t>
        </is>
      </c>
    </row>
    <row r="18">
      <c r="A18" s="34" t="inlineStr">
        <is>
          <t>Aluno 014</t>
        </is>
      </c>
      <c r="B18" s="34" t="inlineStr">
        <is>
          <t>Turma E</t>
        </is>
      </c>
      <c r="C18" s="34" t="inlineStr">
        <is>
          <t>Vespertino</t>
        </is>
      </c>
      <c r="D18" s="34" t="inlineStr">
        <is>
          <t>Participa</t>
        </is>
      </c>
      <c r="E18" s="34" t="inlineStr">
        <is>
          <t>Participa</t>
        </is>
      </c>
      <c r="F18" s="34" t="inlineStr">
        <is>
          <t>Não Participa</t>
        </is>
      </c>
      <c r="G18" s="34" t="inlineStr">
        <is>
          <t>Não Participa</t>
        </is>
      </c>
      <c r="H18" s="34" t="inlineStr">
        <is>
          <t>Não Participa</t>
        </is>
      </c>
      <c r="I18" s="34" t="inlineStr">
        <is>
          <t>Participa</t>
        </is>
      </c>
      <c r="J18" s="34" t="inlineStr">
        <is>
          <t>Não Participa</t>
        </is>
      </c>
      <c r="K18" s="34" t="inlineStr">
        <is>
          <t>Não Participa</t>
        </is>
      </c>
    </row>
    <row r="19">
      <c r="A19" s="34" t="inlineStr">
        <is>
          <t>Aluno 015</t>
        </is>
      </c>
      <c r="B19" s="34" t="inlineStr">
        <is>
          <t>Turma A</t>
        </is>
      </c>
      <c r="C19" s="34" t="inlineStr">
        <is>
          <t>Matutino</t>
        </is>
      </c>
      <c r="D19" s="34" t="inlineStr">
        <is>
          <t>Participa</t>
        </is>
      </c>
      <c r="E19" s="34" t="inlineStr">
        <is>
          <t>Não Participa</t>
        </is>
      </c>
      <c r="F19" s="34" t="inlineStr">
        <is>
          <t>Participa</t>
        </is>
      </c>
      <c r="G19" s="34" t="inlineStr">
        <is>
          <t>Participa</t>
        </is>
      </c>
      <c r="H19" s="34" t="inlineStr">
        <is>
          <t>Não Participa</t>
        </is>
      </c>
      <c r="I19" s="34" t="inlineStr">
        <is>
          <t>Não Participa</t>
        </is>
      </c>
      <c r="J19" s="34" t="inlineStr">
        <is>
          <t>Participa</t>
        </is>
      </c>
      <c r="K19" s="34" t="inlineStr">
        <is>
          <t>Participa</t>
        </is>
      </c>
    </row>
    <row r="20">
      <c r="A20" s="18" t="inlineStr">
        <is>
          <t>Aluno 016</t>
        </is>
      </c>
      <c r="B20" s="34" t="inlineStr">
        <is>
          <t>Turma A</t>
        </is>
      </c>
      <c r="C20" s="34" t="inlineStr">
        <is>
          <t>Matutino</t>
        </is>
      </c>
      <c r="D20" s="34" t="inlineStr">
        <is>
          <t>Não Participa</t>
        </is>
      </c>
      <c r="E20" s="34" t="inlineStr">
        <is>
          <t>Não Participa</t>
        </is>
      </c>
      <c r="F20" s="34" t="inlineStr">
        <is>
          <t>Não Participa</t>
        </is>
      </c>
      <c r="G20" s="34" t="inlineStr">
        <is>
          <t>Não Participa</t>
        </is>
      </c>
      <c r="H20" s="34" t="inlineStr">
        <is>
          <t>Não Participa</t>
        </is>
      </c>
      <c r="I20" s="34" t="inlineStr">
        <is>
          <t>Não Participa</t>
        </is>
      </c>
      <c r="J20" s="34" t="inlineStr">
        <is>
          <t>Não Participa</t>
        </is>
      </c>
      <c r="K20" s="34" t="inlineStr">
        <is>
          <t>Não Participa</t>
        </is>
      </c>
    </row>
    <row r="21">
      <c r="A21" s="34" t="inlineStr">
        <is>
          <t>Aluno 017</t>
        </is>
      </c>
      <c r="B21" s="34" t="inlineStr">
        <is>
          <t>Turma E</t>
        </is>
      </c>
      <c r="C21" s="34" t="inlineStr">
        <is>
          <t>Matutino</t>
        </is>
      </c>
      <c r="D21" s="34" t="inlineStr">
        <is>
          <t>Participa</t>
        </is>
      </c>
      <c r="E21" s="34" t="inlineStr">
        <is>
          <t>Participa</t>
        </is>
      </c>
      <c r="F21" s="34" t="inlineStr">
        <is>
          <t>Participa</t>
        </is>
      </c>
      <c r="G21" s="34" t="inlineStr">
        <is>
          <t>Participa</t>
        </is>
      </c>
      <c r="H21" s="34" t="inlineStr">
        <is>
          <t>Participa</t>
        </is>
      </c>
      <c r="I21" s="34" t="inlineStr">
        <is>
          <t>Participa</t>
        </is>
      </c>
      <c r="J21" s="34" t="inlineStr">
        <is>
          <t>Não Participa</t>
        </is>
      </c>
      <c r="K21" s="34" t="inlineStr">
        <is>
          <t>Não Participa</t>
        </is>
      </c>
    </row>
    <row r="22">
      <c r="A22" s="34" t="inlineStr">
        <is>
          <t>Aluno 018</t>
        </is>
      </c>
      <c r="B22" s="34" t="inlineStr">
        <is>
          <t>Turma E</t>
        </is>
      </c>
      <c r="C22" s="34" t="inlineStr">
        <is>
          <t>Vespertino</t>
        </is>
      </c>
      <c r="D22" s="34" t="inlineStr">
        <is>
          <t>Não Participa</t>
        </is>
      </c>
      <c r="E22" s="34" t="inlineStr">
        <is>
          <t>Não Participa</t>
        </is>
      </c>
      <c r="F22" s="34" t="inlineStr">
        <is>
          <t>Não Participa</t>
        </is>
      </c>
      <c r="G22" s="34" t="inlineStr">
        <is>
          <t>Não Participa</t>
        </is>
      </c>
      <c r="H22" s="34" t="inlineStr">
        <is>
          <t>Participa</t>
        </is>
      </c>
      <c r="I22" s="34" t="inlineStr">
        <is>
          <t>Participa</t>
        </is>
      </c>
      <c r="J22" s="34" t="inlineStr">
        <is>
          <t>Não Participa</t>
        </is>
      </c>
      <c r="K22" s="34" t="inlineStr">
        <is>
          <t>Não Participa</t>
        </is>
      </c>
    </row>
    <row r="23">
      <c r="A23" s="34" t="inlineStr">
        <is>
          <t>Aluno 019</t>
        </is>
      </c>
      <c r="B23" s="34" t="inlineStr">
        <is>
          <t>Turma A</t>
        </is>
      </c>
      <c r="C23" s="34" t="inlineStr">
        <is>
          <t>Matutino</t>
        </is>
      </c>
      <c r="D23" s="34" t="inlineStr">
        <is>
          <t>Participa</t>
        </is>
      </c>
      <c r="E23" s="34" t="inlineStr">
        <is>
          <t>Não Participa</t>
        </is>
      </c>
      <c r="F23" s="34" t="inlineStr">
        <is>
          <t>Participa</t>
        </is>
      </c>
      <c r="G23" s="34" t="inlineStr">
        <is>
          <t>Participa</t>
        </is>
      </c>
      <c r="H23" s="34" t="inlineStr">
        <is>
          <t>Não Participa</t>
        </is>
      </c>
      <c r="I23" s="34" t="inlineStr">
        <is>
          <t>Não Participa</t>
        </is>
      </c>
      <c r="J23" s="34" t="inlineStr">
        <is>
          <t>Não Participa</t>
        </is>
      </c>
      <c r="K23" s="34" t="inlineStr">
        <is>
          <t>Participa</t>
        </is>
      </c>
    </row>
    <row r="24">
      <c r="A24" s="34" t="inlineStr">
        <is>
          <t>Aluno 020</t>
        </is>
      </c>
      <c r="B24" s="34" t="inlineStr">
        <is>
          <t>Turma D</t>
        </is>
      </c>
      <c r="C24" s="34" t="inlineStr">
        <is>
          <t>Vespertino</t>
        </is>
      </c>
      <c r="D24" s="34" t="inlineStr">
        <is>
          <t>Participa</t>
        </is>
      </c>
      <c r="E24" s="34" t="inlineStr">
        <is>
          <t>Participa</t>
        </is>
      </c>
      <c r="F24" s="34" t="inlineStr">
        <is>
          <t>Participa</t>
        </is>
      </c>
      <c r="G24" s="34" t="inlineStr">
        <is>
          <t>Participa</t>
        </is>
      </c>
      <c r="H24" s="34" t="inlineStr">
        <is>
          <t>Participa</t>
        </is>
      </c>
      <c r="I24" s="34" t="inlineStr">
        <is>
          <t>Não Participa</t>
        </is>
      </c>
      <c r="J24" s="34" t="inlineStr">
        <is>
          <t>Não Participa</t>
        </is>
      </c>
      <c r="K24" s="34" t="inlineStr">
        <is>
          <t>Não Participa</t>
        </is>
      </c>
    </row>
    <row r="25">
      <c r="A25" s="18" t="inlineStr">
        <is>
          <t>Aluno 022</t>
        </is>
      </c>
      <c r="B25" s="34" t="inlineStr">
        <is>
          <t>Turma B2</t>
        </is>
      </c>
      <c r="C25" s="34" t="inlineStr">
        <is>
          <t>Matutino</t>
        </is>
      </c>
      <c r="D25" s="34" t="inlineStr">
        <is>
          <t>Não Participa</t>
        </is>
      </c>
      <c r="E25" s="34" t="inlineStr">
        <is>
          <t>Não Participa</t>
        </is>
      </c>
      <c r="F25" s="34" t="inlineStr">
        <is>
          <t>Não Participa</t>
        </is>
      </c>
      <c r="G25" s="34" t="inlineStr">
        <is>
          <t>Não Participa</t>
        </is>
      </c>
      <c r="H25" s="34" t="inlineStr">
        <is>
          <t>Não Participa</t>
        </is>
      </c>
      <c r="I25" s="34" t="inlineStr">
        <is>
          <t>Não Participa</t>
        </is>
      </c>
      <c r="J25" s="34" t="inlineStr">
        <is>
          <t>Não Participa</t>
        </is>
      </c>
      <c r="K25" s="34" t="inlineStr">
        <is>
          <t>Não Participa</t>
        </is>
      </c>
    </row>
    <row r="26">
      <c r="A26" s="34" t="inlineStr">
        <is>
          <t>Aluno 021</t>
        </is>
      </c>
      <c r="B26" s="34" t="inlineStr">
        <is>
          <t>Turma B2</t>
        </is>
      </c>
      <c r="C26" s="34" t="inlineStr">
        <is>
          <t>Vespertino</t>
        </is>
      </c>
      <c r="D26" s="34" t="inlineStr">
        <is>
          <t>Participa</t>
        </is>
      </c>
      <c r="E26" s="34" t="inlineStr">
        <is>
          <t>Participa</t>
        </is>
      </c>
      <c r="F26" s="34" t="inlineStr">
        <is>
          <t>Participa</t>
        </is>
      </c>
      <c r="G26" s="34" t="inlineStr">
        <is>
          <t>Participa</t>
        </is>
      </c>
      <c r="H26" s="34" t="inlineStr">
        <is>
          <t>Não Participa</t>
        </is>
      </c>
      <c r="I26" s="34" t="inlineStr">
        <is>
          <t>Não Participa</t>
        </is>
      </c>
      <c r="J26" s="34" t="inlineStr">
        <is>
          <t>Não Participa</t>
        </is>
      </c>
      <c r="K26" s="34" t="inlineStr">
        <is>
          <t>Participa</t>
        </is>
      </c>
    </row>
    <row r="27">
      <c r="A27" s="18" t="inlineStr">
        <is>
          <t>Aluno 023</t>
        </is>
      </c>
      <c r="B27" s="34" t="inlineStr">
        <is>
          <t>Turma A</t>
        </is>
      </c>
      <c r="C27" s="34" t="inlineStr">
        <is>
          <t>Matutino</t>
        </is>
      </c>
      <c r="D27" s="34" t="inlineStr">
        <is>
          <t>Não Participa</t>
        </is>
      </c>
      <c r="E27" s="34" t="inlineStr">
        <is>
          <t>Não Participa</t>
        </is>
      </c>
      <c r="F27" s="34" t="inlineStr">
        <is>
          <t>Não Participa</t>
        </is>
      </c>
      <c r="G27" s="34" t="inlineStr">
        <is>
          <t>Não Participa</t>
        </is>
      </c>
      <c r="H27" s="34" t="inlineStr">
        <is>
          <t>Não Participa</t>
        </is>
      </c>
      <c r="I27" s="34" t="inlineStr">
        <is>
          <t>Não Participa</t>
        </is>
      </c>
      <c r="J27" s="34" t="inlineStr">
        <is>
          <t>Não Participa</t>
        </is>
      </c>
      <c r="K27" s="34" t="inlineStr">
        <is>
          <t>Não Participa</t>
        </is>
      </c>
    </row>
    <row r="28">
      <c r="A28" s="18" t="inlineStr">
        <is>
          <t>Aluno 024</t>
        </is>
      </c>
      <c r="B28" s="34" t="inlineStr">
        <is>
          <t>Turma B2</t>
        </is>
      </c>
      <c r="C28" s="34" t="inlineStr">
        <is>
          <t>Matutino</t>
        </is>
      </c>
      <c r="D28" s="34" t="inlineStr">
        <is>
          <t>Não Participa</t>
        </is>
      </c>
      <c r="E28" s="34" t="inlineStr">
        <is>
          <t>Não Participa</t>
        </is>
      </c>
      <c r="F28" s="34" t="inlineStr">
        <is>
          <t>Não Participa</t>
        </is>
      </c>
      <c r="G28" s="34" t="inlineStr">
        <is>
          <t>Não Participa</t>
        </is>
      </c>
      <c r="H28" s="34" t="inlineStr">
        <is>
          <t>Não Participa</t>
        </is>
      </c>
      <c r="I28" s="34" t="inlineStr">
        <is>
          <t>Não Participa</t>
        </is>
      </c>
      <c r="J28" s="34" t="inlineStr">
        <is>
          <t>Não Participa</t>
        </is>
      </c>
      <c r="K28" s="34" t="inlineStr">
        <is>
          <t>Não Participa</t>
        </is>
      </c>
    </row>
    <row r="29">
      <c r="A29" s="34" t="inlineStr">
        <is>
          <t>Aluno 025</t>
        </is>
      </c>
      <c r="B29" s="34" t="inlineStr">
        <is>
          <t>Turma E</t>
        </is>
      </c>
      <c r="C29" s="34" t="inlineStr">
        <is>
          <t>Vespertino</t>
        </is>
      </c>
      <c r="D29" s="34" t="inlineStr">
        <is>
          <t>Não Participa</t>
        </is>
      </c>
      <c r="E29" s="34" t="inlineStr">
        <is>
          <t>Não Participa</t>
        </is>
      </c>
      <c r="F29" s="34" t="inlineStr">
        <is>
          <t>Participa</t>
        </is>
      </c>
      <c r="G29" s="34" t="inlineStr">
        <is>
          <t>Não Participa</t>
        </is>
      </c>
      <c r="H29" s="34" t="inlineStr">
        <is>
          <t>Participa</t>
        </is>
      </c>
      <c r="I29" s="34" t="inlineStr">
        <is>
          <t>Não Participa</t>
        </is>
      </c>
      <c r="J29" s="34" t="inlineStr">
        <is>
          <t>Não Participa</t>
        </is>
      </c>
      <c r="K29" s="34" t="inlineStr">
        <is>
          <t>Não Participa</t>
        </is>
      </c>
    </row>
    <row r="30">
      <c r="A30" s="34" t="inlineStr">
        <is>
          <t>Aluno 026</t>
        </is>
      </c>
      <c r="B30" s="34" t="inlineStr">
        <is>
          <t>Turma C</t>
        </is>
      </c>
      <c r="C30" s="34" t="inlineStr">
        <is>
          <t>Vespertino</t>
        </is>
      </c>
      <c r="D30" s="34" t="inlineStr">
        <is>
          <t>Participa</t>
        </is>
      </c>
      <c r="E30" s="34" t="inlineStr">
        <is>
          <t>Participa</t>
        </is>
      </c>
      <c r="F30" s="34" t="inlineStr">
        <is>
          <t>Participa</t>
        </is>
      </c>
      <c r="G30" s="34" t="inlineStr">
        <is>
          <t>Participa</t>
        </is>
      </c>
      <c r="H30" s="34" t="inlineStr">
        <is>
          <t>Participa</t>
        </is>
      </c>
      <c r="I30" s="34" t="inlineStr">
        <is>
          <t>Não Participa</t>
        </is>
      </c>
      <c r="J30" s="34" t="inlineStr">
        <is>
          <t>Participa</t>
        </is>
      </c>
      <c r="K30" s="34" t="inlineStr">
        <is>
          <t>Não Participa</t>
        </is>
      </c>
    </row>
    <row r="31">
      <c r="A31" s="34" t="inlineStr">
        <is>
          <t>Aluno 027</t>
        </is>
      </c>
      <c r="B31" s="34" t="inlineStr">
        <is>
          <t>Turma B2</t>
        </is>
      </c>
      <c r="C31" s="34" t="inlineStr">
        <is>
          <t>Matutino</t>
        </is>
      </c>
      <c r="D31" s="34" t="inlineStr">
        <is>
          <t>Participa</t>
        </is>
      </c>
      <c r="E31" s="34" t="inlineStr">
        <is>
          <t>Não Participa</t>
        </is>
      </c>
      <c r="F31" s="34" t="inlineStr">
        <is>
          <t>Não Participa</t>
        </is>
      </c>
      <c r="G31" s="34" t="inlineStr">
        <is>
          <t>Não Participa</t>
        </is>
      </c>
      <c r="H31" s="34" t="inlineStr">
        <is>
          <t>Não Participa</t>
        </is>
      </c>
      <c r="I31" s="34" t="inlineStr">
        <is>
          <t>Não Participa</t>
        </is>
      </c>
      <c r="J31" s="34" t="inlineStr">
        <is>
          <t>Não Participa</t>
        </is>
      </c>
      <c r="K31" s="34" t="inlineStr">
        <is>
          <t>Não Participa</t>
        </is>
      </c>
    </row>
    <row r="32">
      <c r="A32" s="34" t="inlineStr">
        <is>
          <t>Aluno 028</t>
        </is>
      </c>
      <c r="B32" s="34" t="inlineStr">
        <is>
          <t>Turma D</t>
        </is>
      </c>
      <c r="C32" s="34" t="inlineStr">
        <is>
          <t>Matutino</t>
        </is>
      </c>
      <c r="D32" s="34" t="inlineStr">
        <is>
          <t>Participa</t>
        </is>
      </c>
      <c r="E32" s="34" t="inlineStr">
        <is>
          <t>Participa</t>
        </is>
      </c>
      <c r="F32" s="34" t="inlineStr">
        <is>
          <t>Participa</t>
        </is>
      </c>
      <c r="G32" s="34" t="inlineStr">
        <is>
          <t>Participa</t>
        </is>
      </c>
      <c r="H32" s="34" t="inlineStr">
        <is>
          <t>Participa</t>
        </is>
      </c>
      <c r="I32" s="34" t="inlineStr">
        <is>
          <t>Não Participa</t>
        </is>
      </c>
      <c r="J32" s="34" t="inlineStr">
        <is>
          <t>Não Participa</t>
        </is>
      </c>
      <c r="K32" s="34" t="inlineStr">
        <is>
          <t>Não Participa</t>
        </is>
      </c>
    </row>
    <row r="33">
      <c r="A33" s="34" t="inlineStr">
        <is>
          <t>Aluno 029</t>
        </is>
      </c>
      <c r="B33" s="34" t="inlineStr">
        <is>
          <t>Turma B2</t>
        </is>
      </c>
      <c r="C33" s="34" t="inlineStr">
        <is>
          <t>Vespertino</t>
        </is>
      </c>
      <c r="D33" s="34" t="inlineStr">
        <is>
          <t>Participa</t>
        </is>
      </c>
      <c r="E33" s="34" t="inlineStr">
        <is>
          <t>Participa</t>
        </is>
      </c>
      <c r="F33" s="34" t="inlineStr">
        <is>
          <t>Participa</t>
        </is>
      </c>
      <c r="G33" s="34" t="inlineStr">
        <is>
          <t>Participa</t>
        </is>
      </c>
      <c r="H33" s="34" t="inlineStr">
        <is>
          <t>Participa</t>
        </is>
      </c>
      <c r="I33" s="34" t="inlineStr">
        <is>
          <t>Não Participa</t>
        </is>
      </c>
      <c r="J33" s="34" t="inlineStr">
        <is>
          <t>Não Participa</t>
        </is>
      </c>
      <c r="K33" s="34" t="inlineStr">
        <is>
          <t>Não Participa</t>
        </is>
      </c>
    </row>
    <row r="34">
      <c r="A34" s="34" t="inlineStr">
        <is>
          <t>Aluno 030</t>
        </is>
      </c>
      <c r="B34" s="34" t="inlineStr">
        <is>
          <t>Turma A</t>
        </is>
      </c>
      <c r="C34" s="34" t="inlineStr">
        <is>
          <t>Vespertino</t>
        </is>
      </c>
      <c r="D34" s="34" t="inlineStr">
        <is>
          <t>Participa</t>
        </is>
      </c>
      <c r="E34" s="34" t="inlineStr">
        <is>
          <t>Participa</t>
        </is>
      </c>
      <c r="F34" s="34" t="inlineStr">
        <is>
          <t>Participa</t>
        </is>
      </c>
      <c r="G34" s="34" t="inlineStr">
        <is>
          <t>Participa</t>
        </is>
      </c>
      <c r="H34" s="34" t="inlineStr">
        <is>
          <t>Não Participa</t>
        </is>
      </c>
      <c r="I34" s="34" t="inlineStr">
        <is>
          <t>Não Participa</t>
        </is>
      </c>
      <c r="J34" s="34" t="inlineStr">
        <is>
          <t>Não Participa</t>
        </is>
      </c>
      <c r="K34" s="34" t="inlineStr">
        <is>
          <t>Não Participa</t>
        </is>
      </c>
    </row>
    <row r="35">
      <c r="A35" s="34" t="inlineStr">
        <is>
          <t>Aluno 031</t>
        </is>
      </c>
      <c r="B35" s="34" t="inlineStr">
        <is>
          <t>Turma B2</t>
        </is>
      </c>
      <c r="C35" s="34" t="inlineStr">
        <is>
          <t>Matutino</t>
        </is>
      </c>
      <c r="D35" s="34" t="inlineStr">
        <is>
          <t>Participa</t>
        </is>
      </c>
      <c r="E35" s="34" t="inlineStr">
        <is>
          <t>Participa</t>
        </is>
      </c>
      <c r="F35" s="34" t="inlineStr">
        <is>
          <t>Participa</t>
        </is>
      </c>
      <c r="G35" s="34" t="inlineStr">
        <is>
          <t>Participa</t>
        </is>
      </c>
      <c r="H35" s="34" t="inlineStr">
        <is>
          <t>Não Participa</t>
        </is>
      </c>
      <c r="I35" s="34" t="inlineStr">
        <is>
          <t>Não Participa</t>
        </is>
      </c>
      <c r="J35" s="34" t="inlineStr">
        <is>
          <t>Não Participa</t>
        </is>
      </c>
      <c r="K35" s="34" t="inlineStr">
        <is>
          <t>Não Participa</t>
        </is>
      </c>
    </row>
    <row r="36">
      <c r="A36" s="34" t="inlineStr">
        <is>
          <t>Aluno 032</t>
        </is>
      </c>
      <c r="B36" s="34" t="inlineStr">
        <is>
          <t>Turma GR</t>
        </is>
      </c>
      <c r="C36" s="34" t="inlineStr">
        <is>
          <t>Vespertino</t>
        </is>
      </c>
      <c r="D36" s="34" t="inlineStr">
        <is>
          <t>Não Participa</t>
        </is>
      </c>
      <c r="E36" s="34" t="inlineStr">
        <is>
          <t>Não Participa</t>
        </is>
      </c>
      <c r="F36" s="34" t="inlineStr">
        <is>
          <t>Participa</t>
        </is>
      </c>
      <c r="G36" s="34" t="inlineStr">
        <is>
          <t>Participa</t>
        </is>
      </c>
      <c r="H36" s="34" t="inlineStr">
        <is>
          <t>Não Participa</t>
        </is>
      </c>
      <c r="I36" s="34" t="inlineStr">
        <is>
          <t>Não Participa</t>
        </is>
      </c>
      <c r="J36" s="34" t="inlineStr">
        <is>
          <t>Não Participa</t>
        </is>
      </c>
      <c r="K36" s="34" t="inlineStr">
        <is>
          <t>Participa</t>
        </is>
      </c>
    </row>
    <row r="37">
      <c r="A37" s="34" t="inlineStr">
        <is>
          <t>Aluno 033</t>
        </is>
      </c>
      <c r="B37" s="34" t="inlineStr">
        <is>
          <t>Turma C</t>
        </is>
      </c>
      <c r="C37" s="34" t="inlineStr">
        <is>
          <t>Matutino</t>
        </is>
      </c>
      <c r="D37" s="34" t="inlineStr">
        <is>
          <t>Participa</t>
        </is>
      </c>
      <c r="E37" s="34" t="inlineStr">
        <is>
          <t>Participa</t>
        </is>
      </c>
      <c r="F37" s="34" t="inlineStr">
        <is>
          <t>Não Participa</t>
        </is>
      </c>
      <c r="G37" s="34" t="inlineStr">
        <is>
          <t>Não Participa</t>
        </is>
      </c>
      <c r="H37" s="34" t="inlineStr">
        <is>
          <t>Não Participa</t>
        </is>
      </c>
      <c r="I37" s="34" t="inlineStr">
        <is>
          <t>Não Participa</t>
        </is>
      </c>
      <c r="J37" s="34" t="inlineStr">
        <is>
          <t>Participa</t>
        </is>
      </c>
      <c r="K37" s="34" t="inlineStr">
        <is>
          <t>Não Participa</t>
        </is>
      </c>
    </row>
    <row r="38">
      <c r="A38" s="34" t="inlineStr">
        <is>
          <t>Aluno 034</t>
        </is>
      </c>
      <c r="B38" s="34" t="inlineStr">
        <is>
          <t>Turma E</t>
        </is>
      </c>
      <c r="C38" s="34" t="inlineStr">
        <is>
          <t>Matutino</t>
        </is>
      </c>
      <c r="D38" s="34" t="inlineStr">
        <is>
          <t>Participa</t>
        </is>
      </c>
      <c r="E38" s="34" t="inlineStr">
        <is>
          <t>Participa</t>
        </is>
      </c>
      <c r="F38" s="34" t="inlineStr">
        <is>
          <t>Participa</t>
        </is>
      </c>
      <c r="G38" s="34" t="inlineStr">
        <is>
          <t>Participa</t>
        </is>
      </c>
      <c r="H38" s="34" t="inlineStr">
        <is>
          <t>Participa</t>
        </is>
      </c>
      <c r="I38" s="34" t="inlineStr">
        <is>
          <t>Participa</t>
        </is>
      </c>
      <c r="J38" s="34" t="inlineStr">
        <is>
          <t>Não Participa</t>
        </is>
      </c>
      <c r="K38" s="34" t="inlineStr">
        <is>
          <t>Não Participa</t>
        </is>
      </c>
    </row>
    <row r="39">
      <c r="A39" s="34" t="inlineStr">
        <is>
          <t>Aluno 035</t>
        </is>
      </c>
      <c r="B39" s="34" t="inlineStr">
        <is>
          <t>Turma E</t>
        </is>
      </c>
      <c r="C39" s="34" t="inlineStr">
        <is>
          <t>Matutino</t>
        </is>
      </c>
      <c r="D39" s="34" t="inlineStr">
        <is>
          <t>Participa</t>
        </is>
      </c>
      <c r="E39" s="34" t="inlineStr">
        <is>
          <t>Participa</t>
        </is>
      </c>
      <c r="F39" s="34" t="inlineStr">
        <is>
          <t>Participa</t>
        </is>
      </c>
      <c r="G39" s="34" t="inlineStr">
        <is>
          <t>Participa</t>
        </is>
      </c>
      <c r="H39" s="34" t="inlineStr">
        <is>
          <t>Participa</t>
        </is>
      </c>
      <c r="I39" s="34" t="inlineStr">
        <is>
          <t>Participa</t>
        </is>
      </c>
      <c r="J39" s="34" t="inlineStr">
        <is>
          <t>Não Participa</t>
        </is>
      </c>
      <c r="K39" s="34" t="inlineStr">
        <is>
          <t>Não Participa</t>
        </is>
      </c>
    </row>
    <row r="40">
      <c r="A40" s="18" t="inlineStr">
        <is>
          <t>Aluno 036</t>
        </is>
      </c>
      <c r="B40" s="34" t="inlineStr">
        <is>
          <t>Turma B1</t>
        </is>
      </c>
      <c r="C40" s="34" t="inlineStr">
        <is>
          <t>Vespertino</t>
        </is>
      </c>
      <c r="D40" s="34" t="inlineStr">
        <is>
          <t>Não Participa</t>
        </is>
      </c>
      <c r="E40" s="34" t="inlineStr">
        <is>
          <t>Não Participa</t>
        </is>
      </c>
      <c r="F40" s="34" t="inlineStr">
        <is>
          <t>Não Participa</t>
        </is>
      </c>
      <c r="G40" s="34" t="inlineStr">
        <is>
          <t>Não Participa</t>
        </is>
      </c>
      <c r="H40" s="34" t="inlineStr">
        <is>
          <t>Não Participa</t>
        </is>
      </c>
      <c r="I40" s="34" t="inlineStr">
        <is>
          <t>Não Participa</t>
        </is>
      </c>
      <c r="J40" s="34" t="inlineStr">
        <is>
          <t>Não Participa</t>
        </is>
      </c>
      <c r="K40" s="34" t="inlineStr">
        <is>
          <t>Não Participa</t>
        </is>
      </c>
    </row>
    <row r="41">
      <c r="A41" s="34" t="inlineStr">
        <is>
          <t>Aluno 037</t>
        </is>
      </c>
      <c r="B41" s="34" t="inlineStr">
        <is>
          <t>Turma A</t>
        </is>
      </c>
      <c r="C41" s="34" t="inlineStr">
        <is>
          <t>Vespertino</t>
        </is>
      </c>
      <c r="D41" s="34" t="inlineStr">
        <is>
          <t>Não Participa</t>
        </is>
      </c>
      <c r="E41" s="34" t="inlineStr">
        <is>
          <t>Não Participa</t>
        </is>
      </c>
      <c r="F41" s="34" t="inlineStr">
        <is>
          <t>Não Participa</t>
        </is>
      </c>
      <c r="G41" s="34" t="inlineStr">
        <is>
          <t>Não Participa</t>
        </is>
      </c>
      <c r="H41" s="34" t="inlineStr">
        <is>
          <t>Não Participa</t>
        </is>
      </c>
      <c r="I41" s="34" t="inlineStr">
        <is>
          <t>Não Participa</t>
        </is>
      </c>
      <c r="J41" s="34" t="inlineStr">
        <is>
          <t>Não Participa</t>
        </is>
      </c>
      <c r="K41" s="34" t="inlineStr">
        <is>
          <t>Não Participa</t>
        </is>
      </c>
    </row>
    <row r="42">
      <c r="A42" s="18" t="inlineStr">
        <is>
          <t>Aluno 038</t>
        </is>
      </c>
      <c r="B42" s="34" t="inlineStr">
        <is>
          <t>Turma GR</t>
        </is>
      </c>
      <c r="C42" s="34" t="inlineStr">
        <is>
          <t>Vespertino</t>
        </is>
      </c>
      <c r="D42" s="34" t="inlineStr">
        <is>
          <t>Não Participa</t>
        </is>
      </c>
      <c r="E42" s="34" t="inlineStr">
        <is>
          <t>Não Participa</t>
        </is>
      </c>
      <c r="F42" s="34" t="inlineStr">
        <is>
          <t>Não Participa</t>
        </is>
      </c>
      <c r="G42" s="34" t="inlineStr">
        <is>
          <t>Não Participa</t>
        </is>
      </c>
      <c r="H42" s="34" t="inlineStr">
        <is>
          <t>Não Participa</t>
        </is>
      </c>
      <c r="I42" s="34" t="inlineStr">
        <is>
          <t>Não Participa</t>
        </is>
      </c>
      <c r="J42" s="34" t="inlineStr">
        <is>
          <t>Não Participa</t>
        </is>
      </c>
      <c r="K42" s="34" t="inlineStr">
        <is>
          <t>Não Participa</t>
        </is>
      </c>
    </row>
    <row r="43">
      <c r="A43" s="34" t="inlineStr">
        <is>
          <t>Aluno 038</t>
        </is>
      </c>
      <c r="B43" s="34" t="inlineStr">
        <is>
          <t>Turma B2</t>
        </is>
      </c>
      <c r="C43" s="34" t="inlineStr">
        <is>
          <t>Vespertino</t>
        </is>
      </c>
      <c r="D43" s="34" t="inlineStr">
        <is>
          <t>Não Participa</t>
        </is>
      </c>
      <c r="E43" s="34" t="inlineStr">
        <is>
          <t>Não Participa</t>
        </is>
      </c>
      <c r="F43" s="34" t="inlineStr">
        <is>
          <t>Participa</t>
        </is>
      </c>
      <c r="G43" s="34" t="inlineStr">
        <is>
          <t>Participa</t>
        </is>
      </c>
      <c r="H43" s="34" t="inlineStr">
        <is>
          <t>Não Participa</t>
        </is>
      </c>
      <c r="I43" s="34" t="inlineStr">
        <is>
          <t>Não Participa</t>
        </is>
      </c>
      <c r="J43" s="34" t="inlineStr">
        <is>
          <t>Não Participa</t>
        </is>
      </c>
      <c r="K43" s="34" t="inlineStr">
        <is>
          <t>Não Participa</t>
        </is>
      </c>
    </row>
    <row r="44">
      <c r="A44" s="34" t="inlineStr">
        <is>
          <t>Aluno 039</t>
        </is>
      </c>
      <c r="B44" s="34" t="inlineStr">
        <is>
          <t>Turma C</t>
        </is>
      </c>
      <c r="C44" s="34" t="inlineStr">
        <is>
          <t>Vespertino</t>
        </is>
      </c>
      <c r="D44" s="34" t="inlineStr">
        <is>
          <t>Participa</t>
        </is>
      </c>
      <c r="E44" s="34" t="inlineStr">
        <is>
          <t>Participa</t>
        </is>
      </c>
      <c r="F44" s="34" t="inlineStr">
        <is>
          <t>Participa</t>
        </is>
      </c>
      <c r="G44" s="34" t="inlineStr">
        <is>
          <t>Participa</t>
        </is>
      </c>
      <c r="H44" s="34" t="inlineStr">
        <is>
          <t>Participa</t>
        </is>
      </c>
      <c r="I44" s="34" t="inlineStr">
        <is>
          <t>Não Participa</t>
        </is>
      </c>
      <c r="J44" s="34" t="inlineStr">
        <is>
          <t>Participa</t>
        </is>
      </c>
      <c r="K44" s="34" t="inlineStr">
        <is>
          <t>Não Participa</t>
        </is>
      </c>
    </row>
    <row r="45">
      <c r="A45" s="34" t="inlineStr">
        <is>
          <t>Aluno 040</t>
        </is>
      </c>
      <c r="B45" s="34" t="inlineStr">
        <is>
          <t>Turma D</t>
        </is>
      </c>
      <c r="C45" s="34" t="inlineStr">
        <is>
          <t>Vespertino</t>
        </is>
      </c>
      <c r="D45" s="34" t="inlineStr">
        <is>
          <t>Participa</t>
        </is>
      </c>
      <c r="E45" s="34" t="inlineStr">
        <is>
          <t>Participa</t>
        </is>
      </c>
      <c r="F45" s="34" t="inlineStr">
        <is>
          <t>Não Participa</t>
        </is>
      </c>
      <c r="G45" s="34" t="inlineStr">
        <is>
          <t>Não Participa</t>
        </is>
      </c>
      <c r="H45" s="34" t="inlineStr">
        <is>
          <t>Não Participa</t>
        </is>
      </c>
      <c r="I45" s="34" t="inlineStr">
        <is>
          <t>Não Participa</t>
        </is>
      </c>
      <c r="J45" s="34" t="inlineStr">
        <is>
          <t>Participa</t>
        </is>
      </c>
      <c r="K45" s="34" t="inlineStr">
        <is>
          <t>Não Participa</t>
        </is>
      </c>
    </row>
    <row r="46">
      <c r="A46" s="34" t="inlineStr">
        <is>
          <t>Aluno 041</t>
        </is>
      </c>
      <c r="B46" s="34" t="inlineStr">
        <is>
          <t>Turma C</t>
        </is>
      </c>
      <c r="C46" s="34" t="inlineStr">
        <is>
          <t>Vespertino</t>
        </is>
      </c>
      <c r="D46" s="34" t="inlineStr">
        <is>
          <t>Participa</t>
        </is>
      </c>
      <c r="E46" s="34" t="inlineStr">
        <is>
          <t>Participa</t>
        </is>
      </c>
      <c r="F46" s="34" t="inlineStr">
        <is>
          <t>Participa</t>
        </is>
      </c>
      <c r="G46" s="34" t="inlineStr">
        <is>
          <t>Participa</t>
        </is>
      </c>
      <c r="H46" s="34" t="inlineStr">
        <is>
          <t>Participa</t>
        </is>
      </c>
      <c r="I46" s="34" t="inlineStr">
        <is>
          <t>Não Participa</t>
        </is>
      </c>
      <c r="J46" s="34" t="inlineStr">
        <is>
          <t>Participa</t>
        </is>
      </c>
      <c r="K46" s="34" t="inlineStr">
        <is>
          <t>Não Participa</t>
        </is>
      </c>
    </row>
    <row r="47">
      <c r="A47" s="34" t="inlineStr">
        <is>
          <t>Aluno 042</t>
        </is>
      </c>
      <c r="B47" s="34" t="inlineStr">
        <is>
          <t>Turma D</t>
        </is>
      </c>
      <c r="C47" s="34" t="inlineStr">
        <is>
          <t>Matutino</t>
        </is>
      </c>
      <c r="D47" s="34" t="inlineStr">
        <is>
          <t>Não Participa</t>
        </is>
      </c>
      <c r="E47" s="34" t="inlineStr">
        <is>
          <t>Não Participa</t>
        </is>
      </c>
      <c r="F47" s="34" t="inlineStr">
        <is>
          <t>Participa</t>
        </is>
      </c>
      <c r="G47" s="34" t="inlineStr">
        <is>
          <t>Participa</t>
        </is>
      </c>
      <c r="H47" s="34" t="inlineStr">
        <is>
          <t>Participa</t>
        </is>
      </c>
      <c r="I47" s="34" t="inlineStr">
        <is>
          <t>Não Participa</t>
        </is>
      </c>
      <c r="J47" s="34" t="inlineStr">
        <is>
          <t>Não Participa</t>
        </is>
      </c>
      <c r="K47" s="34" t="inlineStr">
        <is>
          <t>Não Participa</t>
        </is>
      </c>
    </row>
    <row r="48">
      <c r="A48" s="34" t="inlineStr">
        <is>
          <t>Aluno 043</t>
        </is>
      </c>
      <c r="B48" s="34" t="inlineStr">
        <is>
          <t>Turma A</t>
        </is>
      </c>
      <c r="C48" s="34" t="inlineStr">
        <is>
          <t>Vespertino</t>
        </is>
      </c>
      <c r="D48" s="34" t="inlineStr">
        <is>
          <t>Participa</t>
        </is>
      </c>
      <c r="E48" s="34" t="inlineStr">
        <is>
          <t>Participa</t>
        </is>
      </c>
      <c r="F48" s="34" t="inlineStr">
        <is>
          <t>Participa</t>
        </is>
      </c>
      <c r="G48" s="34" t="inlineStr">
        <is>
          <t>Participa</t>
        </is>
      </c>
      <c r="H48" s="34" t="inlineStr">
        <is>
          <t>Não Participa</t>
        </is>
      </c>
      <c r="I48" s="34" t="inlineStr">
        <is>
          <t>Não Participa</t>
        </is>
      </c>
      <c r="J48" s="34" t="inlineStr">
        <is>
          <t>Participa</t>
        </is>
      </c>
      <c r="K48" s="34" t="inlineStr">
        <is>
          <t>Não Participa</t>
        </is>
      </c>
    </row>
    <row r="49">
      <c r="A49" s="34" t="inlineStr">
        <is>
          <t>Aluno 044</t>
        </is>
      </c>
      <c r="B49" s="34" t="inlineStr">
        <is>
          <t>Turma E</t>
        </is>
      </c>
      <c r="C49" s="34" t="inlineStr">
        <is>
          <t>Vespertino</t>
        </is>
      </c>
      <c r="D49" s="34" t="inlineStr">
        <is>
          <t>Participa</t>
        </is>
      </c>
      <c r="E49" s="34" t="inlineStr">
        <is>
          <t>Participa</t>
        </is>
      </c>
      <c r="F49" s="34" t="inlineStr">
        <is>
          <t>Participa</t>
        </is>
      </c>
      <c r="G49" s="34" t="inlineStr">
        <is>
          <t>Participa</t>
        </is>
      </c>
      <c r="H49" s="34" t="inlineStr">
        <is>
          <t>Participa</t>
        </is>
      </c>
      <c r="I49" s="34" t="inlineStr">
        <is>
          <t>Participa</t>
        </is>
      </c>
      <c r="J49" s="34" t="inlineStr">
        <is>
          <t>Não Participa</t>
        </is>
      </c>
      <c r="K49" s="34" t="inlineStr">
        <is>
          <t>Não Participa</t>
        </is>
      </c>
    </row>
    <row r="50">
      <c r="A50" s="34" t="inlineStr">
        <is>
          <t>Aluno 045</t>
        </is>
      </c>
      <c r="B50" s="34" t="inlineStr">
        <is>
          <t>Turma D</t>
        </is>
      </c>
      <c r="C50" s="34" t="inlineStr">
        <is>
          <t>Matutino</t>
        </is>
      </c>
      <c r="D50" s="34" t="inlineStr">
        <is>
          <t>Participa</t>
        </is>
      </c>
      <c r="E50" s="34" t="inlineStr">
        <is>
          <t>Participa</t>
        </is>
      </c>
      <c r="F50" s="34" t="inlineStr">
        <is>
          <t>Participa</t>
        </is>
      </c>
      <c r="G50" s="34" t="inlineStr">
        <is>
          <t>Participa</t>
        </is>
      </c>
      <c r="H50" s="34" t="inlineStr">
        <is>
          <t>Participa</t>
        </is>
      </c>
      <c r="I50" s="34" t="inlineStr">
        <is>
          <t>Não Participa</t>
        </is>
      </c>
      <c r="J50" s="34" t="inlineStr">
        <is>
          <t>Participa</t>
        </is>
      </c>
      <c r="K50" s="34" t="inlineStr">
        <is>
          <t>Não Participa</t>
        </is>
      </c>
    </row>
    <row r="51">
      <c r="A51" s="34" t="inlineStr">
        <is>
          <t>Aluno 046</t>
        </is>
      </c>
      <c r="B51" s="34" t="inlineStr">
        <is>
          <t>Turma A</t>
        </is>
      </c>
      <c r="C51" s="34" t="inlineStr">
        <is>
          <t>Matutino</t>
        </is>
      </c>
      <c r="D51" s="34" t="inlineStr">
        <is>
          <t>Participa</t>
        </is>
      </c>
      <c r="E51" s="34" t="inlineStr">
        <is>
          <t>Não Participa</t>
        </is>
      </c>
      <c r="F51" s="34" t="inlineStr">
        <is>
          <t>Participa</t>
        </is>
      </c>
      <c r="G51" s="34" t="inlineStr">
        <is>
          <t>Participa</t>
        </is>
      </c>
      <c r="H51" s="34" t="inlineStr">
        <is>
          <t>Não Participa</t>
        </is>
      </c>
      <c r="I51" s="34" t="inlineStr">
        <is>
          <t>Não Participa</t>
        </is>
      </c>
      <c r="J51" s="34" t="inlineStr">
        <is>
          <t>Não Participa</t>
        </is>
      </c>
      <c r="K51" s="34" t="inlineStr">
        <is>
          <t>Participa</t>
        </is>
      </c>
    </row>
    <row r="52">
      <c r="A52" s="34" t="inlineStr">
        <is>
          <t>Aluno 047</t>
        </is>
      </c>
      <c r="B52" s="34" t="inlineStr">
        <is>
          <t>Turma B1</t>
        </is>
      </c>
      <c r="C52" s="34" t="inlineStr">
        <is>
          <t>Matutino</t>
        </is>
      </c>
      <c r="D52" s="34" t="inlineStr">
        <is>
          <t>Participa</t>
        </is>
      </c>
      <c r="E52" s="34" t="inlineStr">
        <is>
          <t>Participa</t>
        </is>
      </c>
      <c r="F52" s="34" t="inlineStr">
        <is>
          <t>Participa</t>
        </is>
      </c>
      <c r="G52" s="34" t="inlineStr">
        <is>
          <t>Participa</t>
        </is>
      </c>
      <c r="H52" s="34" t="inlineStr">
        <is>
          <t>Não Participa</t>
        </is>
      </c>
      <c r="I52" s="34" t="inlineStr">
        <is>
          <t>Não Participa</t>
        </is>
      </c>
      <c r="J52" s="34" t="inlineStr">
        <is>
          <t>Participa</t>
        </is>
      </c>
      <c r="K52" s="34" t="inlineStr">
        <is>
          <t>Não Participa</t>
        </is>
      </c>
    </row>
    <row r="53">
      <c r="A53" s="34" t="inlineStr">
        <is>
          <t>Aluno 048</t>
        </is>
      </c>
      <c r="B53" s="34" t="inlineStr">
        <is>
          <t>Turma D</t>
        </is>
      </c>
      <c r="C53" s="34" t="inlineStr">
        <is>
          <t>Vespertino</t>
        </is>
      </c>
      <c r="D53" s="34" t="inlineStr">
        <is>
          <t>Participa</t>
        </is>
      </c>
      <c r="E53" s="34" t="inlineStr">
        <is>
          <t>Participa</t>
        </is>
      </c>
      <c r="F53" s="34" t="inlineStr">
        <is>
          <t>Não Participa</t>
        </is>
      </c>
      <c r="G53" s="34" t="inlineStr">
        <is>
          <t>Não Participa</t>
        </is>
      </c>
      <c r="H53" s="34" t="inlineStr">
        <is>
          <t>Não Participa</t>
        </is>
      </c>
      <c r="I53" s="34" t="inlineStr">
        <is>
          <t>Não Participa</t>
        </is>
      </c>
      <c r="J53" s="34" t="inlineStr">
        <is>
          <t>Participa</t>
        </is>
      </c>
      <c r="K53" s="34" t="inlineStr">
        <is>
          <t>Não Participa</t>
        </is>
      </c>
    </row>
    <row r="54">
      <c r="A54" s="34" t="inlineStr">
        <is>
          <t>Aluno 049</t>
        </is>
      </c>
      <c r="B54" s="34" t="inlineStr">
        <is>
          <t>Turma D</t>
        </is>
      </c>
      <c r="C54" s="34" t="inlineStr">
        <is>
          <t>Vespertino</t>
        </is>
      </c>
      <c r="D54" s="34" t="inlineStr">
        <is>
          <t>Participa</t>
        </is>
      </c>
      <c r="E54" s="34" t="inlineStr">
        <is>
          <t>Participa</t>
        </is>
      </c>
      <c r="F54" s="34" t="inlineStr">
        <is>
          <t>Não Participa</t>
        </is>
      </c>
      <c r="G54" s="34" t="inlineStr">
        <is>
          <t>Não Participa</t>
        </is>
      </c>
      <c r="H54" s="34" t="inlineStr">
        <is>
          <t>Não Participa</t>
        </is>
      </c>
      <c r="I54" s="34" t="inlineStr">
        <is>
          <t>Não Participa</t>
        </is>
      </c>
      <c r="J54" s="34" t="inlineStr">
        <is>
          <t>Participa</t>
        </is>
      </c>
      <c r="K54" s="34" t="inlineStr">
        <is>
          <t>Não Participa</t>
        </is>
      </c>
    </row>
    <row r="55">
      <c r="A55" s="34" t="inlineStr">
        <is>
          <t>Aluno 050</t>
        </is>
      </c>
      <c r="B55" s="34" t="inlineStr">
        <is>
          <t>Turma C</t>
        </is>
      </c>
      <c r="C55" s="34" t="inlineStr">
        <is>
          <t>Vespertino</t>
        </is>
      </c>
      <c r="D55" s="34" t="inlineStr">
        <is>
          <t>Participa</t>
        </is>
      </c>
      <c r="E55" s="34" t="inlineStr">
        <is>
          <t>Participa</t>
        </is>
      </c>
      <c r="F55" s="34" t="inlineStr">
        <is>
          <t>Participa</t>
        </is>
      </c>
      <c r="G55" s="34" t="inlineStr">
        <is>
          <t>Participa</t>
        </is>
      </c>
      <c r="H55" s="34" t="inlineStr">
        <is>
          <t>Participa</t>
        </is>
      </c>
      <c r="I55" s="34" t="inlineStr">
        <is>
          <t>Não Participa</t>
        </is>
      </c>
      <c r="J55" s="34" t="inlineStr">
        <is>
          <t>Participa</t>
        </is>
      </c>
      <c r="K55" s="34" t="inlineStr">
        <is>
          <t>Não Participa</t>
        </is>
      </c>
    </row>
    <row r="56">
      <c r="A56" s="34" t="inlineStr">
        <is>
          <t>Aluno 051</t>
        </is>
      </c>
      <c r="B56" s="34" t="inlineStr">
        <is>
          <t>Turma B1</t>
        </is>
      </c>
      <c r="C56" s="34" t="inlineStr">
        <is>
          <t>Matutino</t>
        </is>
      </c>
      <c r="D56" s="34" t="inlineStr">
        <is>
          <t>Participa</t>
        </is>
      </c>
      <c r="E56" s="34" t="inlineStr">
        <is>
          <t>Participa</t>
        </is>
      </c>
      <c r="F56" s="34" t="inlineStr">
        <is>
          <t>Participa</t>
        </is>
      </c>
      <c r="G56" s="34" t="inlineStr">
        <is>
          <t>Participa</t>
        </is>
      </c>
      <c r="H56" s="34" t="inlineStr">
        <is>
          <t>Não Participa</t>
        </is>
      </c>
      <c r="I56" s="34" t="inlineStr">
        <is>
          <t>Não Participa</t>
        </is>
      </c>
      <c r="J56" s="34" t="inlineStr">
        <is>
          <t>Não Participa</t>
        </is>
      </c>
      <c r="K56" s="34" t="inlineStr">
        <is>
          <t>Não Participa</t>
        </is>
      </c>
    </row>
    <row r="57">
      <c r="A57" s="34" t="inlineStr">
        <is>
          <t>Aluno 052</t>
        </is>
      </c>
      <c r="B57" s="34" t="inlineStr">
        <is>
          <t>Turma C</t>
        </is>
      </c>
      <c r="C57" s="34" t="inlineStr">
        <is>
          <t>Vespertino</t>
        </is>
      </c>
      <c r="D57" s="34" t="inlineStr">
        <is>
          <t>Participa</t>
        </is>
      </c>
      <c r="E57" s="34" t="inlineStr">
        <is>
          <t>Participa</t>
        </is>
      </c>
      <c r="F57" s="34" t="inlineStr">
        <is>
          <t>Participa</t>
        </is>
      </c>
      <c r="G57" s="34" t="inlineStr">
        <is>
          <t>Participa</t>
        </is>
      </c>
      <c r="H57" s="34" t="inlineStr">
        <is>
          <t>Não Participa</t>
        </is>
      </c>
      <c r="I57" s="34" t="inlineStr">
        <is>
          <t>Não Participa</t>
        </is>
      </c>
      <c r="J57" s="34" t="inlineStr">
        <is>
          <t>Não Participa</t>
        </is>
      </c>
      <c r="K57" s="34" t="inlineStr">
        <is>
          <t>Não Participa</t>
        </is>
      </c>
    </row>
    <row r="58">
      <c r="A58" s="34" t="inlineStr">
        <is>
          <t>Aluno 053</t>
        </is>
      </c>
      <c r="B58" s="34" t="inlineStr">
        <is>
          <t>Turma D</t>
        </is>
      </c>
      <c r="C58" s="34" t="inlineStr">
        <is>
          <t>Vespertino</t>
        </is>
      </c>
      <c r="D58" s="34" t="inlineStr">
        <is>
          <t>Participa</t>
        </is>
      </c>
      <c r="E58" s="34" t="inlineStr">
        <is>
          <t>Participa</t>
        </is>
      </c>
      <c r="F58" s="34" t="inlineStr">
        <is>
          <t>Participa</t>
        </is>
      </c>
      <c r="G58" s="34" t="inlineStr">
        <is>
          <t>Participa</t>
        </is>
      </c>
      <c r="H58" s="34" t="inlineStr">
        <is>
          <t>Não Participa</t>
        </is>
      </c>
      <c r="I58" s="34" t="inlineStr">
        <is>
          <t>Não Participa</t>
        </is>
      </c>
      <c r="J58" s="34" t="inlineStr">
        <is>
          <t>Não Participa</t>
        </is>
      </c>
      <c r="K58" s="34" t="inlineStr">
        <is>
          <t>Não Participa</t>
        </is>
      </c>
    </row>
    <row r="59">
      <c r="A59" s="34" t="inlineStr">
        <is>
          <t>Aluno 054</t>
        </is>
      </c>
      <c r="B59" s="34" t="inlineStr">
        <is>
          <t>Turma A</t>
        </is>
      </c>
      <c r="C59" s="34" t="inlineStr">
        <is>
          <t>Vespertino</t>
        </is>
      </c>
      <c r="D59" s="34" t="inlineStr">
        <is>
          <t>Participa</t>
        </is>
      </c>
      <c r="E59" s="34" t="inlineStr">
        <is>
          <t>Não Participa</t>
        </is>
      </c>
      <c r="F59" s="34" t="inlineStr">
        <is>
          <t>Participa</t>
        </is>
      </c>
      <c r="G59" s="34" t="inlineStr">
        <is>
          <t>Participa</t>
        </is>
      </c>
      <c r="H59" s="34" t="inlineStr">
        <is>
          <t>Não Participa</t>
        </is>
      </c>
      <c r="I59" s="34" t="inlineStr">
        <is>
          <t>Não Participa</t>
        </is>
      </c>
      <c r="J59" s="34" t="inlineStr">
        <is>
          <t>Não Participa</t>
        </is>
      </c>
      <c r="K59" s="34" t="inlineStr">
        <is>
          <t>Não Participa</t>
        </is>
      </c>
    </row>
    <row r="60">
      <c r="A60" s="34" t="inlineStr">
        <is>
          <t>Aluno 055</t>
        </is>
      </c>
      <c r="B60" s="34" t="inlineStr">
        <is>
          <t>Turma A</t>
        </is>
      </c>
      <c r="C60" s="34" t="inlineStr">
        <is>
          <t>Vespertino</t>
        </is>
      </c>
      <c r="D60" s="34" t="inlineStr">
        <is>
          <t>Participa</t>
        </is>
      </c>
      <c r="E60" s="34" t="inlineStr">
        <is>
          <t>Participa</t>
        </is>
      </c>
      <c r="F60" s="34" t="inlineStr">
        <is>
          <t>Participa</t>
        </is>
      </c>
      <c r="G60" s="34" t="inlineStr">
        <is>
          <t>Participa</t>
        </is>
      </c>
      <c r="H60" s="34" t="inlineStr">
        <is>
          <t>Não Participa</t>
        </is>
      </c>
      <c r="I60" s="34" t="inlineStr">
        <is>
          <t>Não Participa</t>
        </is>
      </c>
      <c r="J60" s="34" t="inlineStr">
        <is>
          <t>Participa</t>
        </is>
      </c>
      <c r="K60" s="34" t="inlineStr">
        <is>
          <t>Não Participa</t>
        </is>
      </c>
    </row>
    <row r="61">
      <c r="A61" s="18" t="inlineStr">
        <is>
          <t>Aluno 060</t>
        </is>
      </c>
      <c r="B61" s="34" t="inlineStr">
        <is>
          <t>Turma A</t>
        </is>
      </c>
      <c r="C61" s="34" t="inlineStr">
        <is>
          <t>Vespertino</t>
        </is>
      </c>
      <c r="D61" s="34" t="inlineStr">
        <is>
          <t>Não Participa</t>
        </is>
      </c>
      <c r="E61" s="34" t="inlineStr">
        <is>
          <t>Não Participa</t>
        </is>
      </c>
      <c r="F61" s="34" t="inlineStr">
        <is>
          <t>Não Participa</t>
        </is>
      </c>
      <c r="G61" s="34" t="inlineStr">
        <is>
          <t>Não Participa</t>
        </is>
      </c>
      <c r="H61" s="34" t="inlineStr">
        <is>
          <t>Não Participa</t>
        </is>
      </c>
      <c r="I61" s="34" t="inlineStr">
        <is>
          <t>Não Participa</t>
        </is>
      </c>
      <c r="J61" s="34" t="inlineStr">
        <is>
          <t>Não Participa</t>
        </is>
      </c>
      <c r="K61" s="34" t="inlineStr">
        <is>
          <t>Não Participa</t>
        </is>
      </c>
    </row>
    <row r="62">
      <c r="A62" s="34" t="inlineStr">
        <is>
          <t>Aluno 056</t>
        </is>
      </c>
      <c r="B62" s="34" t="inlineStr">
        <is>
          <t>Turma B2</t>
        </is>
      </c>
      <c r="C62" s="34" t="inlineStr">
        <is>
          <t>Vespertino</t>
        </is>
      </c>
      <c r="D62" s="34" t="inlineStr">
        <is>
          <t>Participa</t>
        </is>
      </c>
      <c r="E62" s="34" t="inlineStr">
        <is>
          <t>Participa</t>
        </is>
      </c>
      <c r="F62" s="34" t="inlineStr">
        <is>
          <t>Participa</t>
        </is>
      </c>
      <c r="G62" s="34" t="inlineStr">
        <is>
          <t>Participa</t>
        </is>
      </c>
      <c r="H62" s="34" t="inlineStr">
        <is>
          <t>Participa</t>
        </is>
      </c>
      <c r="I62" s="34" t="inlineStr">
        <is>
          <t>Não Participa</t>
        </is>
      </c>
      <c r="J62" s="34" t="inlineStr">
        <is>
          <t>Não Participa</t>
        </is>
      </c>
      <c r="K62" s="34" t="inlineStr">
        <is>
          <t>Não Participa</t>
        </is>
      </c>
    </row>
    <row r="63">
      <c r="A63" s="18" t="inlineStr">
        <is>
          <t>Aluno 057</t>
        </is>
      </c>
      <c r="B63" s="34" t="inlineStr">
        <is>
          <t>Turma C</t>
        </is>
      </c>
      <c r="C63" s="34" t="inlineStr">
        <is>
          <t>Matutino</t>
        </is>
      </c>
      <c r="D63" s="34" t="inlineStr">
        <is>
          <t>Não Participa</t>
        </is>
      </c>
      <c r="E63" s="34" t="inlineStr">
        <is>
          <t>Não Participa</t>
        </is>
      </c>
      <c r="F63" s="34" t="inlineStr">
        <is>
          <t>Não Participa</t>
        </is>
      </c>
      <c r="G63" s="34" t="inlineStr">
        <is>
          <t>Não Participa</t>
        </is>
      </c>
      <c r="H63" s="34" t="inlineStr">
        <is>
          <t>Não Participa</t>
        </is>
      </c>
      <c r="I63" s="34" t="inlineStr">
        <is>
          <t>Não Participa</t>
        </is>
      </c>
      <c r="J63" s="34" t="inlineStr">
        <is>
          <t>Não Participa</t>
        </is>
      </c>
      <c r="K63" s="34" t="inlineStr">
        <is>
          <t>Não Participa</t>
        </is>
      </c>
    </row>
    <row r="64">
      <c r="A64" s="34" t="inlineStr">
        <is>
          <t>Aluno 058</t>
        </is>
      </c>
      <c r="B64" s="34" t="inlineStr">
        <is>
          <t>Turma E</t>
        </is>
      </c>
      <c r="C64" s="34" t="inlineStr">
        <is>
          <t>Matutino</t>
        </is>
      </c>
      <c r="D64" s="34" t="inlineStr">
        <is>
          <t>Participa</t>
        </is>
      </c>
      <c r="E64" s="34" t="inlineStr">
        <is>
          <t>Participa</t>
        </is>
      </c>
      <c r="F64" s="34" t="inlineStr">
        <is>
          <t>Participa</t>
        </is>
      </c>
      <c r="G64" s="34" t="inlineStr">
        <is>
          <t>Participa</t>
        </is>
      </c>
      <c r="H64" s="34" t="inlineStr">
        <is>
          <t>Não Participa</t>
        </is>
      </c>
      <c r="I64" s="34" t="inlineStr">
        <is>
          <t>Não Participa</t>
        </is>
      </c>
      <c r="J64" s="34" t="inlineStr">
        <is>
          <t>Não Participa</t>
        </is>
      </c>
      <c r="K64" s="34" t="inlineStr">
        <is>
          <t>Não Participa</t>
        </is>
      </c>
    </row>
    <row r="65">
      <c r="A65" s="34" t="inlineStr">
        <is>
          <t>Aluno 059</t>
        </is>
      </c>
      <c r="B65" s="34" t="inlineStr">
        <is>
          <t>Turma E</t>
        </is>
      </c>
      <c r="C65" s="34" t="inlineStr">
        <is>
          <t>Vespertino</t>
        </is>
      </c>
      <c r="D65" s="34" t="inlineStr">
        <is>
          <t>Participa</t>
        </is>
      </c>
      <c r="E65" s="34" t="inlineStr">
        <is>
          <t>Participa</t>
        </is>
      </c>
      <c r="F65" s="34" t="inlineStr">
        <is>
          <t>Participa</t>
        </is>
      </c>
      <c r="G65" s="34" t="inlineStr">
        <is>
          <t>Participa</t>
        </is>
      </c>
      <c r="H65" s="34" t="inlineStr">
        <is>
          <t>Participa</t>
        </is>
      </c>
      <c r="I65" s="34" t="inlineStr">
        <is>
          <t>Participa</t>
        </is>
      </c>
      <c r="J65" s="34" t="inlineStr">
        <is>
          <t>Participa</t>
        </is>
      </c>
      <c r="K65" s="34" t="inlineStr">
        <is>
          <t>Não Participa</t>
        </is>
      </c>
    </row>
    <row r="66">
      <c r="A66" s="34" t="inlineStr">
        <is>
          <t>Aluno 061</t>
        </is>
      </c>
      <c r="B66" s="34" t="inlineStr">
        <is>
          <t>Turma B2</t>
        </is>
      </c>
      <c r="C66" s="34" t="inlineStr">
        <is>
          <t>Vespertino</t>
        </is>
      </c>
      <c r="D66" s="34" t="inlineStr">
        <is>
          <t>Participa</t>
        </is>
      </c>
      <c r="E66" s="34" t="inlineStr">
        <is>
          <t>Participa</t>
        </is>
      </c>
      <c r="F66" s="34" t="inlineStr">
        <is>
          <t>Participa</t>
        </is>
      </c>
      <c r="G66" s="34" t="inlineStr">
        <is>
          <t>Participa</t>
        </is>
      </c>
      <c r="H66" s="34" t="inlineStr">
        <is>
          <t>Não Participa</t>
        </is>
      </c>
      <c r="I66" s="34" t="inlineStr">
        <is>
          <t>Não Participa</t>
        </is>
      </c>
      <c r="J66" s="34" t="inlineStr">
        <is>
          <t>Não Participa</t>
        </is>
      </c>
      <c r="K66" s="34" t="inlineStr">
        <is>
          <t>Não Participa</t>
        </is>
      </c>
    </row>
    <row r="67">
      <c r="A67" s="34" t="inlineStr">
        <is>
          <t>Aluno 062</t>
        </is>
      </c>
      <c r="B67" s="34" t="inlineStr">
        <is>
          <t>Turma C</t>
        </is>
      </c>
      <c r="C67" s="34" t="inlineStr">
        <is>
          <t>Vespertino</t>
        </is>
      </c>
      <c r="D67" s="34" t="inlineStr">
        <is>
          <t>Não Participa</t>
        </is>
      </c>
      <c r="E67" s="34" t="inlineStr">
        <is>
          <t>Não Participa</t>
        </is>
      </c>
      <c r="F67" s="34" t="inlineStr">
        <is>
          <t>Participa</t>
        </is>
      </c>
      <c r="G67" s="34" t="inlineStr">
        <is>
          <t>Participa</t>
        </is>
      </c>
      <c r="H67" s="34" t="inlineStr">
        <is>
          <t>Participa</t>
        </is>
      </c>
      <c r="I67" s="34" t="inlineStr">
        <is>
          <t>Não Participa</t>
        </is>
      </c>
      <c r="J67" s="34" t="inlineStr">
        <is>
          <t>Não Participa</t>
        </is>
      </c>
      <c r="K67" s="34" t="inlineStr">
        <is>
          <t>Participa</t>
        </is>
      </c>
    </row>
    <row r="68">
      <c r="A68" s="34" t="inlineStr">
        <is>
          <t>Aluno 063</t>
        </is>
      </c>
      <c r="B68" s="34" t="inlineStr">
        <is>
          <t>Turma E</t>
        </is>
      </c>
      <c r="C68" s="34" t="inlineStr">
        <is>
          <t>Vespertino</t>
        </is>
      </c>
      <c r="D68" s="34" t="inlineStr">
        <is>
          <t>Participa</t>
        </is>
      </c>
      <c r="E68" s="34" t="inlineStr">
        <is>
          <t>Participa</t>
        </is>
      </c>
      <c r="F68" s="34" t="inlineStr">
        <is>
          <t>Não Participa</t>
        </is>
      </c>
      <c r="G68" s="34" t="inlineStr">
        <is>
          <t>Participa</t>
        </is>
      </c>
      <c r="H68" s="34" t="inlineStr">
        <is>
          <t>Participa</t>
        </is>
      </c>
      <c r="I68" s="34" t="inlineStr">
        <is>
          <t>Não Participa</t>
        </is>
      </c>
      <c r="J68" s="34" t="inlineStr">
        <is>
          <t>Não Participa</t>
        </is>
      </c>
      <c r="K68" s="34" t="inlineStr">
        <is>
          <t>Não Participa</t>
        </is>
      </c>
    </row>
    <row r="69">
      <c r="A69" s="18" t="inlineStr">
        <is>
          <t>Aluno 064</t>
        </is>
      </c>
      <c r="B69" s="34" t="inlineStr">
        <is>
          <t>Turma E</t>
        </is>
      </c>
      <c r="C69" s="34" t="inlineStr">
        <is>
          <t>Matutino</t>
        </is>
      </c>
      <c r="D69" s="34" t="inlineStr">
        <is>
          <t>Não Participa</t>
        </is>
      </c>
      <c r="E69" s="34" t="inlineStr">
        <is>
          <t>Não Participa</t>
        </is>
      </c>
      <c r="F69" s="34" t="inlineStr">
        <is>
          <t>Não Participa</t>
        </is>
      </c>
      <c r="G69" s="34" t="inlineStr">
        <is>
          <t>Não Participa</t>
        </is>
      </c>
      <c r="H69" s="34" t="inlineStr">
        <is>
          <t>Não Participa</t>
        </is>
      </c>
      <c r="I69" s="34" t="inlineStr">
        <is>
          <t>Não Participa</t>
        </is>
      </c>
      <c r="J69" s="34" t="inlineStr">
        <is>
          <t>Não Participa</t>
        </is>
      </c>
      <c r="K69" s="34" t="inlineStr">
        <is>
          <t>Não Participa</t>
        </is>
      </c>
    </row>
    <row r="70">
      <c r="A70" s="34" t="inlineStr">
        <is>
          <t>Aluno 065</t>
        </is>
      </c>
      <c r="B70" s="34" t="inlineStr">
        <is>
          <t>Turma D</t>
        </is>
      </c>
      <c r="C70" s="34" t="inlineStr">
        <is>
          <t>Vespertino</t>
        </is>
      </c>
      <c r="D70" s="34" t="inlineStr">
        <is>
          <t>Não Participa</t>
        </is>
      </c>
      <c r="E70" s="34" t="inlineStr">
        <is>
          <t>Não Participa</t>
        </is>
      </c>
      <c r="F70" s="34" t="inlineStr">
        <is>
          <t>Não Participa</t>
        </is>
      </c>
      <c r="G70" s="34" t="inlineStr">
        <is>
          <t>Não Participa</t>
        </is>
      </c>
      <c r="H70" s="34" t="inlineStr">
        <is>
          <t>Não Participa</t>
        </is>
      </c>
      <c r="I70" s="34" t="inlineStr">
        <is>
          <t>Não Participa</t>
        </is>
      </c>
      <c r="J70" s="34" t="inlineStr">
        <is>
          <t>Não Participa</t>
        </is>
      </c>
      <c r="K70" s="34" t="inlineStr">
        <is>
          <t>Não Participa</t>
        </is>
      </c>
    </row>
    <row r="71">
      <c r="A71" s="34" t="inlineStr">
        <is>
          <t>Aluno 066</t>
        </is>
      </c>
      <c r="B71" s="34" t="inlineStr">
        <is>
          <t>Turma B1</t>
        </is>
      </c>
      <c r="C71" s="34" t="inlineStr">
        <is>
          <t>Matutino</t>
        </is>
      </c>
      <c r="D71" s="34" t="inlineStr">
        <is>
          <t>Não Participa</t>
        </is>
      </c>
      <c r="E71" s="34" t="inlineStr">
        <is>
          <t>Não Participa</t>
        </is>
      </c>
      <c r="F71" s="34" t="inlineStr">
        <is>
          <t>Não Participa</t>
        </is>
      </c>
      <c r="G71" s="34" t="inlineStr">
        <is>
          <t>Não Participa</t>
        </is>
      </c>
      <c r="H71" s="34" t="inlineStr">
        <is>
          <t>Não Participa</t>
        </is>
      </c>
      <c r="I71" s="34" t="inlineStr">
        <is>
          <t>Não Participa</t>
        </is>
      </c>
      <c r="J71" s="34" t="inlineStr">
        <is>
          <t>Não Participa</t>
        </is>
      </c>
      <c r="K71" s="34" t="inlineStr">
        <is>
          <t>Não Participa</t>
        </is>
      </c>
    </row>
    <row r="72">
      <c r="A72" s="34" t="inlineStr">
        <is>
          <t>Aluno 067</t>
        </is>
      </c>
      <c r="B72" s="34" t="inlineStr">
        <is>
          <t>Turma B1</t>
        </is>
      </c>
      <c r="C72" s="34" t="inlineStr">
        <is>
          <t>Matutino</t>
        </is>
      </c>
      <c r="D72" s="34" t="inlineStr">
        <is>
          <t>Participa</t>
        </is>
      </c>
      <c r="E72" s="34" t="inlineStr">
        <is>
          <t>Participa</t>
        </is>
      </c>
      <c r="F72" s="34" t="inlineStr">
        <is>
          <t>Participa</t>
        </is>
      </c>
      <c r="G72" s="34" t="inlineStr">
        <is>
          <t>Participa</t>
        </is>
      </c>
      <c r="H72" s="34" t="inlineStr">
        <is>
          <t>Não Participa</t>
        </is>
      </c>
      <c r="I72" s="34" t="inlineStr">
        <is>
          <t>Não Participa</t>
        </is>
      </c>
      <c r="J72" s="34" t="inlineStr">
        <is>
          <t>Não Participa</t>
        </is>
      </c>
      <c r="K72" s="34" t="inlineStr">
        <is>
          <t>Não Participa</t>
        </is>
      </c>
    </row>
    <row r="73">
      <c r="A73" s="18" t="inlineStr">
        <is>
          <t>Aluno 068</t>
        </is>
      </c>
      <c r="B73" s="34" t="inlineStr">
        <is>
          <t>Turma A</t>
        </is>
      </c>
      <c r="C73" s="34" t="inlineStr">
        <is>
          <t>Vespertino</t>
        </is>
      </c>
      <c r="D73" s="34" t="inlineStr">
        <is>
          <t>Não Participa</t>
        </is>
      </c>
      <c r="E73" s="34" t="inlineStr">
        <is>
          <t>Não Participa</t>
        </is>
      </c>
      <c r="F73" s="34" t="inlineStr">
        <is>
          <t>Não Participa</t>
        </is>
      </c>
      <c r="G73" s="34" t="inlineStr">
        <is>
          <t>Não Participa</t>
        </is>
      </c>
      <c r="H73" s="34" t="inlineStr">
        <is>
          <t>Não Participa</t>
        </is>
      </c>
      <c r="I73" s="34" t="inlineStr">
        <is>
          <t>Não Participa</t>
        </is>
      </c>
      <c r="J73" s="34" t="inlineStr">
        <is>
          <t>Não Participa</t>
        </is>
      </c>
      <c r="K73" s="34" t="inlineStr">
        <is>
          <t>Não Participa</t>
        </is>
      </c>
    </row>
    <row r="74">
      <c r="A74" s="34" t="inlineStr">
        <is>
          <t>Aluno 069</t>
        </is>
      </c>
      <c r="B74" s="34" t="inlineStr">
        <is>
          <t>Turma A</t>
        </is>
      </c>
      <c r="C74" s="34" t="inlineStr">
        <is>
          <t>Vespertino</t>
        </is>
      </c>
      <c r="D74" s="34" t="inlineStr">
        <is>
          <t>Não Participa</t>
        </is>
      </c>
      <c r="E74" s="34" t="inlineStr">
        <is>
          <t>Não Participa</t>
        </is>
      </c>
      <c r="F74" s="34" t="inlineStr">
        <is>
          <t>Participa</t>
        </is>
      </c>
      <c r="G74" s="34" t="inlineStr">
        <is>
          <t>Não Participa</t>
        </is>
      </c>
      <c r="H74" s="34" t="inlineStr">
        <is>
          <t>Não Participa</t>
        </is>
      </c>
      <c r="I74" s="34" t="inlineStr">
        <is>
          <t>Não Participa</t>
        </is>
      </c>
      <c r="J74" s="34" t="inlineStr">
        <is>
          <t>Não Participa</t>
        </is>
      </c>
      <c r="K74" s="34" t="inlineStr">
        <is>
          <t>Participa</t>
        </is>
      </c>
    </row>
    <row r="75">
      <c r="A75" s="34" t="inlineStr">
        <is>
          <t>Aluno 070</t>
        </is>
      </c>
      <c r="B75" s="34" t="inlineStr">
        <is>
          <t>Turma B2</t>
        </is>
      </c>
      <c r="C75" s="34" t="inlineStr">
        <is>
          <t>Vespertino</t>
        </is>
      </c>
      <c r="D75" s="34" t="inlineStr">
        <is>
          <t>Participa</t>
        </is>
      </c>
      <c r="E75" s="34" t="inlineStr">
        <is>
          <t>Não Participa</t>
        </is>
      </c>
      <c r="F75" s="34" t="inlineStr">
        <is>
          <t>Participa</t>
        </is>
      </c>
      <c r="G75" s="34" t="inlineStr">
        <is>
          <t>Participa</t>
        </is>
      </c>
      <c r="H75" s="34" t="inlineStr">
        <is>
          <t>Participa</t>
        </is>
      </c>
      <c r="I75" s="34" t="inlineStr">
        <is>
          <t>Não Participa</t>
        </is>
      </c>
      <c r="J75" s="34" t="inlineStr">
        <is>
          <t>Participa</t>
        </is>
      </c>
      <c r="K75" s="34" t="inlineStr">
        <is>
          <t>Não Participa</t>
        </is>
      </c>
    </row>
    <row r="76">
      <c r="A76" s="34" t="inlineStr">
        <is>
          <t>Aluno 071</t>
        </is>
      </c>
      <c r="B76" s="34" t="inlineStr">
        <is>
          <t>Turma GR</t>
        </is>
      </c>
      <c r="C76" s="34" t="inlineStr">
        <is>
          <t>Vespertino</t>
        </is>
      </c>
      <c r="D76" s="34" t="inlineStr">
        <is>
          <t>Participa</t>
        </is>
      </c>
      <c r="E76" s="34" t="inlineStr">
        <is>
          <t>Participa</t>
        </is>
      </c>
      <c r="F76" s="34" t="inlineStr">
        <is>
          <t>Participa</t>
        </is>
      </c>
      <c r="G76" s="34" t="inlineStr">
        <is>
          <t>Participa</t>
        </is>
      </c>
      <c r="H76" s="34" t="inlineStr">
        <is>
          <t>Participa</t>
        </is>
      </c>
      <c r="I76" s="34" t="inlineStr">
        <is>
          <t>Participa</t>
        </is>
      </c>
      <c r="J76" s="34" t="inlineStr">
        <is>
          <t>Não Participa</t>
        </is>
      </c>
      <c r="K76" s="34" t="inlineStr">
        <is>
          <t>Participa</t>
        </is>
      </c>
    </row>
    <row r="77">
      <c r="A77" s="34" t="inlineStr">
        <is>
          <t>Aluno 072</t>
        </is>
      </c>
      <c r="B77" s="34" t="inlineStr">
        <is>
          <t>Turma B1</t>
        </is>
      </c>
      <c r="C77" s="34" t="inlineStr">
        <is>
          <t>Matutino</t>
        </is>
      </c>
      <c r="D77" s="34" t="inlineStr">
        <is>
          <t>Participa</t>
        </is>
      </c>
      <c r="E77" s="34" t="inlineStr">
        <is>
          <t>Não Participa</t>
        </is>
      </c>
      <c r="F77" s="34" t="inlineStr">
        <is>
          <t>Participa</t>
        </is>
      </c>
      <c r="G77" s="34" t="inlineStr">
        <is>
          <t>Participa</t>
        </is>
      </c>
      <c r="H77" s="34" t="inlineStr">
        <is>
          <t>Não Participa</t>
        </is>
      </c>
      <c r="I77" s="34" t="inlineStr">
        <is>
          <t>Não Participa</t>
        </is>
      </c>
      <c r="J77" s="34" t="inlineStr">
        <is>
          <t>Não Participa</t>
        </is>
      </c>
      <c r="K77" s="34" t="inlineStr">
        <is>
          <t>Não Participa</t>
        </is>
      </c>
    </row>
    <row r="78">
      <c r="A78" s="34" t="inlineStr">
        <is>
          <t>Aluno 073</t>
        </is>
      </c>
      <c r="B78" s="34" t="inlineStr">
        <is>
          <t>Turma B2</t>
        </is>
      </c>
      <c r="C78" s="34" t="inlineStr">
        <is>
          <t>Matutino</t>
        </is>
      </c>
      <c r="D78" s="34" t="inlineStr">
        <is>
          <t>Não Participa</t>
        </is>
      </c>
      <c r="E78" s="34" t="inlineStr">
        <is>
          <t>Não Participa</t>
        </is>
      </c>
      <c r="F78" s="34" t="inlineStr">
        <is>
          <t>Participa</t>
        </is>
      </c>
      <c r="G78" s="34" t="inlineStr">
        <is>
          <t>Não Participa</t>
        </is>
      </c>
      <c r="H78" s="34" t="inlineStr">
        <is>
          <t>Não Participa</t>
        </is>
      </c>
      <c r="I78" s="34" t="inlineStr">
        <is>
          <t>Não Participa</t>
        </is>
      </c>
      <c r="J78" s="34" t="inlineStr">
        <is>
          <t>Não Participa</t>
        </is>
      </c>
      <c r="K78" s="34" t="inlineStr">
        <is>
          <t>Não Participa</t>
        </is>
      </c>
    </row>
    <row r="79">
      <c r="A79" s="34" t="inlineStr">
        <is>
          <t>Aluno 074</t>
        </is>
      </c>
      <c r="B79" s="34" t="inlineStr">
        <is>
          <t>Turma B2</t>
        </is>
      </c>
      <c r="C79" s="34" t="inlineStr">
        <is>
          <t>Vespertino</t>
        </is>
      </c>
      <c r="D79" s="34" t="inlineStr">
        <is>
          <t>Participa</t>
        </is>
      </c>
      <c r="E79" s="34" t="inlineStr">
        <is>
          <t>Participa</t>
        </is>
      </c>
      <c r="F79" s="34" t="inlineStr">
        <is>
          <t>Participa</t>
        </is>
      </c>
      <c r="G79" s="34" t="inlineStr">
        <is>
          <t>Participa</t>
        </is>
      </c>
      <c r="H79" s="34" t="inlineStr">
        <is>
          <t>Participa</t>
        </is>
      </c>
      <c r="I79" s="34" t="inlineStr">
        <is>
          <t>Não Participa</t>
        </is>
      </c>
      <c r="J79" s="34" t="inlineStr">
        <is>
          <t>Participa</t>
        </is>
      </c>
      <c r="K79" s="34" t="inlineStr">
        <is>
          <t>Não Participa</t>
        </is>
      </c>
    </row>
    <row r="80">
      <c r="A80" s="34" t="inlineStr">
        <is>
          <t>Aluno 075</t>
        </is>
      </c>
      <c r="B80" s="34" t="inlineStr">
        <is>
          <t>Turma B1</t>
        </is>
      </c>
      <c r="C80" s="34" t="inlineStr">
        <is>
          <t>Matutino</t>
        </is>
      </c>
      <c r="D80" s="34" t="inlineStr">
        <is>
          <t>Participa</t>
        </is>
      </c>
      <c r="E80" s="34" t="inlineStr">
        <is>
          <t>Participa</t>
        </is>
      </c>
      <c r="F80" s="34" t="inlineStr">
        <is>
          <t>Participa</t>
        </is>
      </c>
      <c r="G80" s="34" t="inlineStr">
        <is>
          <t>Participa</t>
        </is>
      </c>
      <c r="H80" s="34" t="inlineStr">
        <is>
          <t>Não Participa</t>
        </is>
      </c>
      <c r="I80" s="34" t="inlineStr">
        <is>
          <t>Não Participa</t>
        </is>
      </c>
      <c r="J80" s="34" t="inlineStr">
        <is>
          <t>Participa</t>
        </is>
      </c>
      <c r="K80" s="34" t="inlineStr">
        <is>
          <t>Não Participa</t>
        </is>
      </c>
    </row>
    <row r="81">
      <c r="A81" s="34" t="inlineStr">
        <is>
          <t>Aluno 076</t>
        </is>
      </c>
      <c r="B81" s="34" t="inlineStr">
        <is>
          <t>Turma GR</t>
        </is>
      </c>
      <c r="C81" s="34" t="inlineStr">
        <is>
          <t>Vespertino</t>
        </is>
      </c>
      <c r="D81" s="34" t="inlineStr">
        <is>
          <t>Participa</t>
        </is>
      </c>
      <c r="E81" s="34" t="inlineStr">
        <is>
          <t>Participa</t>
        </is>
      </c>
      <c r="F81" s="34" t="inlineStr">
        <is>
          <t>Participa</t>
        </is>
      </c>
      <c r="G81" s="34" t="inlineStr">
        <is>
          <t>Participa</t>
        </is>
      </c>
      <c r="H81" s="34" t="inlineStr">
        <is>
          <t>Participa</t>
        </is>
      </c>
      <c r="I81" s="34" t="inlineStr">
        <is>
          <t>Participa</t>
        </is>
      </c>
      <c r="J81" s="34" t="inlineStr">
        <is>
          <t>Não Participa</t>
        </is>
      </c>
      <c r="K81" s="34" t="inlineStr">
        <is>
          <t>Não Participa</t>
        </is>
      </c>
    </row>
    <row r="82">
      <c r="A82" s="34" t="inlineStr">
        <is>
          <t>Aluno 077</t>
        </is>
      </c>
      <c r="B82" s="34" t="inlineStr">
        <is>
          <t>Turma A</t>
        </is>
      </c>
      <c r="C82" s="34" t="inlineStr">
        <is>
          <t>Matutino</t>
        </is>
      </c>
      <c r="D82" s="34" t="inlineStr">
        <is>
          <t>Participa</t>
        </is>
      </c>
      <c r="E82" s="34" t="inlineStr">
        <is>
          <t>Não Participa</t>
        </is>
      </c>
      <c r="F82" s="34" t="inlineStr">
        <is>
          <t>Participa</t>
        </is>
      </c>
      <c r="G82" s="34" t="inlineStr">
        <is>
          <t>Participa</t>
        </is>
      </c>
      <c r="H82" s="34" t="inlineStr">
        <is>
          <t>Não Participa</t>
        </is>
      </c>
      <c r="I82" s="34" t="inlineStr">
        <is>
          <t>Não Participa</t>
        </is>
      </c>
      <c r="J82" s="34" t="inlineStr">
        <is>
          <t>Participa</t>
        </is>
      </c>
      <c r="K82" s="34" t="inlineStr">
        <is>
          <t>Participa</t>
        </is>
      </c>
    </row>
    <row r="83">
      <c r="A83" s="34" t="inlineStr">
        <is>
          <t>Aluno 078</t>
        </is>
      </c>
      <c r="B83" s="34" t="inlineStr">
        <is>
          <t>Turma GR</t>
        </is>
      </c>
      <c r="C83" s="34" t="inlineStr">
        <is>
          <t>Vespertino</t>
        </is>
      </c>
      <c r="D83" s="34" t="inlineStr">
        <is>
          <t>Participa</t>
        </is>
      </c>
      <c r="E83" s="34" t="inlineStr">
        <is>
          <t>Participa</t>
        </is>
      </c>
      <c r="F83" s="34" t="inlineStr">
        <is>
          <t>Participa</t>
        </is>
      </c>
      <c r="G83" s="34" t="inlineStr">
        <is>
          <t>Participa</t>
        </is>
      </c>
      <c r="H83" s="34" t="inlineStr">
        <is>
          <t>Participa</t>
        </is>
      </c>
      <c r="I83" s="34" t="inlineStr">
        <is>
          <t>Participa</t>
        </is>
      </c>
      <c r="J83" s="34" t="inlineStr">
        <is>
          <t>Não Participa</t>
        </is>
      </c>
      <c r="K83" s="34" t="inlineStr">
        <is>
          <t>Não Participa</t>
        </is>
      </c>
    </row>
    <row r="84">
      <c r="A84" s="34" t="inlineStr">
        <is>
          <t>Aluno 079</t>
        </is>
      </c>
      <c r="B84" s="34" t="inlineStr">
        <is>
          <t>Turma GR</t>
        </is>
      </c>
      <c r="C84" s="34" t="inlineStr">
        <is>
          <t>Vespertino</t>
        </is>
      </c>
      <c r="D84" s="34" t="inlineStr">
        <is>
          <t>Não Participa</t>
        </is>
      </c>
      <c r="E84" s="34" t="inlineStr">
        <is>
          <t>Não Participa</t>
        </is>
      </c>
      <c r="F84" s="34" t="inlineStr">
        <is>
          <t>Participa</t>
        </is>
      </c>
      <c r="G84" s="34" t="inlineStr">
        <is>
          <t>Participa</t>
        </is>
      </c>
      <c r="H84" s="34" t="inlineStr">
        <is>
          <t>Não Participa</t>
        </is>
      </c>
      <c r="I84" s="34" t="inlineStr">
        <is>
          <t>Participa</t>
        </is>
      </c>
      <c r="J84" s="34" t="inlineStr">
        <is>
          <t>Não Participa</t>
        </is>
      </c>
      <c r="K84" s="34" t="inlineStr">
        <is>
          <t>Participa</t>
        </is>
      </c>
    </row>
    <row r="85">
      <c r="A85" s="18" t="inlineStr">
        <is>
          <t>Aluno 080</t>
        </is>
      </c>
      <c r="B85" s="34" t="inlineStr">
        <is>
          <t>Turma E</t>
        </is>
      </c>
      <c r="C85" s="34" t="inlineStr">
        <is>
          <t>Matutino</t>
        </is>
      </c>
      <c r="D85" s="34" t="inlineStr">
        <is>
          <t>Não Participa</t>
        </is>
      </c>
      <c r="E85" s="34" t="inlineStr">
        <is>
          <t>Não Participa</t>
        </is>
      </c>
      <c r="F85" s="34" t="inlineStr">
        <is>
          <t>Não Participa</t>
        </is>
      </c>
      <c r="G85" s="34" t="inlineStr">
        <is>
          <t>Não Participa</t>
        </is>
      </c>
      <c r="H85" s="34" t="inlineStr">
        <is>
          <t>Não Participa</t>
        </is>
      </c>
      <c r="I85" s="34" t="inlineStr">
        <is>
          <t>Não Participa</t>
        </is>
      </c>
      <c r="J85" s="34" t="inlineStr">
        <is>
          <t>Não Participa</t>
        </is>
      </c>
      <c r="K85" s="34" t="inlineStr">
        <is>
          <t>Não Participa</t>
        </is>
      </c>
    </row>
    <row r="86">
      <c r="A86" s="34" t="inlineStr">
        <is>
          <t>Aluno 081</t>
        </is>
      </c>
      <c r="B86" s="34" t="inlineStr">
        <is>
          <t>Turma A</t>
        </is>
      </c>
      <c r="C86" s="34" t="inlineStr">
        <is>
          <t>Matutino</t>
        </is>
      </c>
      <c r="D86" s="34" t="inlineStr">
        <is>
          <t>Não Participa</t>
        </is>
      </c>
      <c r="E86" s="34" t="inlineStr">
        <is>
          <t>Não Participa</t>
        </is>
      </c>
      <c r="F86" s="34" t="inlineStr">
        <is>
          <t>Participa</t>
        </is>
      </c>
      <c r="G86" s="34" t="inlineStr">
        <is>
          <t>Participa</t>
        </is>
      </c>
      <c r="H86" s="34" t="inlineStr">
        <is>
          <t>Não Participa</t>
        </is>
      </c>
      <c r="I86" s="34" t="inlineStr">
        <is>
          <t>Não Participa</t>
        </is>
      </c>
      <c r="J86" s="34" t="inlineStr">
        <is>
          <t>Não Participa</t>
        </is>
      </c>
      <c r="K86" s="34" t="inlineStr">
        <is>
          <t>Não Participa</t>
        </is>
      </c>
    </row>
    <row r="87">
      <c r="A87" s="34" t="inlineStr">
        <is>
          <t>Aluno 082</t>
        </is>
      </c>
      <c r="B87" s="34" t="inlineStr">
        <is>
          <t>Turma C</t>
        </is>
      </c>
      <c r="C87" s="34" t="inlineStr">
        <is>
          <t>Vespertino</t>
        </is>
      </c>
      <c r="D87" s="34" t="inlineStr">
        <is>
          <t>Participa</t>
        </is>
      </c>
      <c r="E87" s="34" t="inlineStr">
        <is>
          <t>Participa</t>
        </is>
      </c>
      <c r="F87" s="34" t="inlineStr">
        <is>
          <t>Participa</t>
        </is>
      </c>
      <c r="G87" s="34" t="inlineStr">
        <is>
          <t>Participa</t>
        </is>
      </c>
      <c r="H87" s="34" t="inlineStr">
        <is>
          <t>Participa</t>
        </is>
      </c>
      <c r="I87" s="34" t="inlineStr">
        <is>
          <t>Não Participa</t>
        </is>
      </c>
      <c r="J87" s="34" t="inlineStr">
        <is>
          <t>Não Participa</t>
        </is>
      </c>
      <c r="K87" s="34" t="inlineStr">
        <is>
          <t>Não Participa</t>
        </is>
      </c>
    </row>
    <row r="88">
      <c r="A88" s="18" t="inlineStr">
        <is>
          <t>Aluno 083</t>
        </is>
      </c>
      <c r="B88" s="34" t="inlineStr">
        <is>
          <t>Turma B2</t>
        </is>
      </c>
      <c r="C88" s="34" t="inlineStr">
        <is>
          <t>Vespertino</t>
        </is>
      </c>
      <c r="D88" s="34" t="inlineStr">
        <is>
          <t>Não Participa</t>
        </is>
      </c>
      <c r="E88" s="34" t="inlineStr">
        <is>
          <t>Não Participa</t>
        </is>
      </c>
      <c r="F88" s="34" t="inlineStr">
        <is>
          <t>Não Participa</t>
        </is>
      </c>
      <c r="G88" s="34" t="inlineStr">
        <is>
          <t>Não Participa</t>
        </is>
      </c>
      <c r="H88" s="34" t="inlineStr">
        <is>
          <t>Não Participa</t>
        </is>
      </c>
      <c r="I88" s="34" t="inlineStr">
        <is>
          <t>Não Participa</t>
        </is>
      </c>
      <c r="J88" s="34" t="inlineStr">
        <is>
          <t>Não Participa</t>
        </is>
      </c>
      <c r="K88" s="34" t="inlineStr">
        <is>
          <t>Não Participa</t>
        </is>
      </c>
    </row>
    <row r="89">
      <c r="A89" s="18" t="inlineStr">
        <is>
          <t>Aluno 084</t>
        </is>
      </c>
      <c r="B89" s="34" t="inlineStr">
        <is>
          <t>Turma B1</t>
        </is>
      </c>
      <c r="C89" s="34" t="inlineStr">
        <is>
          <t>Vespertino</t>
        </is>
      </c>
      <c r="D89" s="34" t="inlineStr">
        <is>
          <t>Não Participa</t>
        </is>
      </c>
      <c r="E89" s="34" t="inlineStr">
        <is>
          <t>Não Participa</t>
        </is>
      </c>
      <c r="F89" s="34" t="inlineStr">
        <is>
          <t>Não Participa</t>
        </is>
      </c>
      <c r="G89" s="34" t="inlineStr">
        <is>
          <t>Não Participa</t>
        </is>
      </c>
      <c r="H89" s="34" t="inlineStr">
        <is>
          <t>Não Participa</t>
        </is>
      </c>
      <c r="I89" s="34" t="inlineStr">
        <is>
          <t>Não Participa</t>
        </is>
      </c>
      <c r="J89" s="34" t="inlineStr">
        <is>
          <t>Não Participa</t>
        </is>
      </c>
      <c r="K89" s="34" t="inlineStr">
        <is>
          <t>Não Participa</t>
        </is>
      </c>
    </row>
    <row r="90">
      <c r="A90" s="18" t="inlineStr">
        <is>
          <t>Aluno 085</t>
        </is>
      </c>
      <c r="B90" s="34" t="inlineStr">
        <is>
          <t>Turma C</t>
        </is>
      </c>
      <c r="C90" s="34" t="inlineStr">
        <is>
          <t>Vespertino</t>
        </is>
      </c>
      <c r="D90" s="34" t="inlineStr">
        <is>
          <t>Não Participa</t>
        </is>
      </c>
      <c r="E90" s="34" t="inlineStr">
        <is>
          <t>Não Participa</t>
        </is>
      </c>
      <c r="F90" s="34" t="inlineStr">
        <is>
          <t>Não Participa</t>
        </is>
      </c>
      <c r="G90" s="34" t="inlineStr">
        <is>
          <t>Não Participa</t>
        </is>
      </c>
      <c r="H90" s="34" t="inlineStr">
        <is>
          <t>Não Participa</t>
        </is>
      </c>
      <c r="I90" s="34" t="inlineStr">
        <is>
          <t>Não Participa</t>
        </is>
      </c>
      <c r="J90" s="34" t="inlineStr">
        <is>
          <t>Não Participa</t>
        </is>
      </c>
      <c r="K90" s="34" t="inlineStr">
        <is>
          <t>Não Participa</t>
        </is>
      </c>
    </row>
    <row r="91">
      <c r="A91" s="34" t="inlineStr">
        <is>
          <t>Aluno 086</t>
        </is>
      </c>
      <c r="B91" s="34" t="inlineStr">
        <is>
          <t>Turma C</t>
        </is>
      </c>
      <c r="C91" s="34" t="inlineStr">
        <is>
          <t>Vespertino</t>
        </is>
      </c>
      <c r="D91" s="34" t="inlineStr">
        <is>
          <t>Participa</t>
        </is>
      </c>
      <c r="E91" s="34" t="inlineStr">
        <is>
          <t>Não Participa</t>
        </is>
      </c>
      <c r="F91" s="34" t="inlineStr">
        <is>
          <t>Não Participa</t>
        </is>
      </c>
      <c r="G91" s="34" t="inlineStr">
        <is>
          <t>Não Participa</t>
        </is>
      </c>
      <c r="H91" s="34" t="inlineStr">
        <is>
          <t>Participa</t>
        </is>
      </c>
      <c r="I91" s="34" t="inlineStr">
        <is>
          <t>Não Participa</t>
        </is>
      </c>
      <c r="J91" s="34" t="inlineStr">
        <is>
          <t>Participa</t>
        </is>
      </c>
      <c r="K91" s="34" t="inlineStr">
        <is>
          <t>Não Participa</t>
        </is>
      </c>
    </row>
    <row r="92">
      <c r="A92" s="34" t="inlineStr">
        <is>
          <t>Aluno 087</t>
        </is>
      </c>
      <c r="B92" s="34" t="inlineStr">
        <is>
          <t>Turma B1</t>
        </is>
      </c>
      <c r="C92" s="34" t="inlineStr">
        <is>
          <t>Matutino</t>
        </is>
      </c>
      <c r="D92" s="34" t="inlineStr">
        <is>
          <t>Participa</t>
        </is>
      </c>
      <c r="E92" s="34" t="inlineStr">
        <is>
          <t>Participa</t>
        </is>
      </c>
      <c r="F92" s="34" t="inlineStr">
        <is>
          <t>Participa</t>
        </is>
      </c>
      <c r="G92" s="34" t="inlineStr">
        <is>
          <t>Participa</t>
        </is>
      </c>
      <c r="H92" s="34" t="inlineStr">
        <is>
          <t>Não Participa</t>
        </is>
      </c>
      <c r="I92" s="34" t="inlineStr">
        <is>
          <t>Não Participa</t>
        </is>
      </c>
      <c r="J92" s="34" t="inlineStr">
        <is>
          <t>Não Participa</t>
        </is>
      </c>
      <c r="K92" s="34" t="inlineStr">
        <is>
          <t>Não Participa</t>
        </is>
      </c>
    </row>
    <row r="93">
      <c r="A93" s="18" t="inlineStr">
        <is>
          <t>Aluno 089</t>
        </is>
      </c>
      <c r="B93" s="34" t="inlineStr">
        <is>
          <t>Turma GR</t>
        </is>
      </c>
      <c r="C93" s="34" t="inlineStr">
        <is>
          <t>Vespertino</t>
        </is>
      </c>
      <c r="D93" s="34" t="inlineStr">
        <is>
          <t>Não Participa</t>
        </is>
      </c>
      <c r="E93" s="34" t="inlineStr">
        <is>
          <t>Não Participa</t>
        </is>
      </c>
      <c r="F93" s="34" t="inlineStr">
        <is>
          <t>Não Participa</t>
        </is>
      </c>
      <c r="G93" s="34" t="inlineStr">
        <is>
          <t>Não Participa</t>
        </is>
      </c>
      <c r="H93" s="34" t="inlineStr">
        <is>
          <t>Não Participa</t>
        </is>
      </c>
      <c r="I93" s="34" t="inlineStr">
        <is>
          <t>Não Participa</t>
        </is>
      </c>
      <c r="J93" s="34" t="inlineStr">
        <is>
          <t>Não Participa</t>
        </is>
      </c>
      <c r="K93" s="34" t="inlineStr">
        <is>
          <t>Não Participa</t>
        </is>
      </c>
    </row>
    <row r="94">
      <c r="A94" s="18" t="inlineStr">
        <is>
          <t>Aluno 090</t>
        </is>
      </c>
      <c r="B94" s="34" t="inlineStr">
        <is>
          <t>Turma E</t>
        </is>
      </c>
      <c r="C94" s="34" t="inlineStr">
        <is>
          <t>Matutino</t>
        </is>
      </c>
      <c r="D94" s="34" t="inlineStr">
        <is>
          <t>Não Participa</t>
        </is>
      </c>
      <c r="E94" s="34" t="inlineStr">
        <is>
          <t>Não Participa</t>
        </is>
      </c>
      <c r="F94" s="34" t="inlineStr">
        <is>
          <t>Não Participa</t>
        </is>
      </c>
      <c r="G94" s="34" t="inlineStr">
        <is>
          <t>Não Participa</t>
        </is>
      </c>
      <c r="H94" s="34" t="inlineStr">
        <is>
          <t>Não Participa</t>
        </is>
      </c>
      <c r="I94" s="34" t="inlineStr">
        <is>
          <t>Não Participa</t>
        </is>
      </c>
      <c r="J94" s="34" t="inlineStr">
        <is>
          <t>Não Participa</t>
        </is>
      </c>
      <c r="K94" s="34" t="inlineStr">
        <is>
          <t>Não Participa</t>
        </is>
      </c>
    </row>
    <row r="95">
      <c r="A95" s="34" t="inlineStr">
        <is>
          <t>Aluno 091</t>
        </is>
      </c>
      <c r="B95" s="34" t="inlineStr">
        <is>
          <t>Turma E</t>
        </is>
      </c>
      <c r="C95" s="34" t="inlineStr">
        <is>
          <t>Matutino</t>
        </is>
      </c>
      <c r="D95" s="34" t="inlineStr">
        <is>
          <t>Não Participa</t>
        </is>
      </c>
      <c r="E95" s="34" t="inlineStr">
        <is>
          <t>Não Participa</t>
        </is>
      </c>
      <c r="F95" s="34" t="inlineStr">
        <is>
          <t>Participa</t>
        </is>
      </c>
      <c r="G95" s="34" t="inlineStr">
        <is>
          <t>Participa</t>
        </is>
      </c>
      <c r="H95" s="34" t="inlineStr">
        <is>
          <t>Não Participa</t>
        </is>
      </c>
      <c r="I95" s="34" t="inlineStr">
        <is>
          <t>Participa</t>
        </is>
      </c>
      <c r="J95" s="34" t="inlineStr">
        <is>
          <t>Não Participa</t>
        </is>
      </c>
      <c r="K95" s="34" t="inlineStr">
        <is>
          <t>Não Participa</t>
        </is>
      </c>
    </row>
    <row r="96">
      <c r="A96" s="34" t="inlineStr">
        <is>
          <t>Aluno 092</t>
        </is>
      </c>
      <c r="B96" s="34" t="inlineStr">
        <is>
          <t>Turma E</t>
        </is>
      </c>
      <c r="C96" s="34" t="inlineStr">
        <is>
          <t>Vespertino</t>
        </is>
      </c>
      <c r="D96" s="34" t="inlineStr">
        <is>
          <t>Participa</t>
        </is>
      </c>
      <c r="E96" s="34" t="inlineStr">
        <is>
          <t>Participa</t>
        </is>
      </c>
      <c r="F96" s="34" t="inlineStr">
        <is>
          <t>Não Participa</t>
        </is>
      </c>
      <c r="G96" s="34" t="inlineStr">
        <is>
          <t>Não Participa</t>
        </is>
      </c>
      <c r="H96" s="34" t="inlineStr">
        <is>
          <t>Participa</t>
        </is>
      </c>
      <c r="I96" s="34" t="inlineStr">
        <is>
          <t>Participa</t>
        </is>
      </c>
      <c r="J96" s="34" t="inlineStr">
        <is>
          <t>Não Participa</t>
        </is>
      </c>
      <c r="K96" s="34" t="inlineStr">
        <is>
          <t>Não Participa</t>
        </is>
      </c>
    </row>
    <row r="97">
      <c r="A97" s="34" t="inlineStr">
        <is>
          <t>Aluno 093</t>
        </is>
      </c>
      <c r="B97" s="34" t="inlineStr">
        <is>
          <t>Turma E</t>
        </is>
      </c>
      <c r="C97" s="34" t="inlineStr">
        <is>
          <t>Vespertino</t>
        </is>
      </c>
      <c r="D97" s="34" t="inlineStr">
        <is>
          <t>Participa</t>
        </is>
      </c>
      <c r="E97" s="34" t="inlineStr">
        <is>
          <t>Participa</t>
        </is>
      </c>
      <c r="F97" s="34" t="inlineStr">
        <is>
          <t>Participa</t>
        </is>
      </c>
      <c r="G97" s="34" t="inlineStr">
        <is>
          <t>Participa</t>
        </is>
      </c>
      <c r="H97" s="34" t="inlineStr">
        <is>
          <t>Participa</t>
        </is>
      </c>
      <c r="I97" s="34" t="inlineStr">
        <is>
          <t>Participa</t>
        </is>
      </c>
      <c r="J97" s="34" t="inlineStr">
        <is>
          <t>Não Participa</t>
        </is>
      </c>
      <c r="K97" s="34" t="inlineStr">
        <is>
          <t>Não Participa</t>
        </is>
      </c>
    </row>
    <row r="98">
      <c r="A98" s="34" t="inlineStr">
        <is>
          <t>Aluno 094</t>
        </is>
      </c>
      <c r="B98" s="34" t="inlineStr">
        <is>
          <t>Turma B2</t>
        </is>
      </c>
      <c r="C98" s="34" t="inlineStr">
        <is>
          <t>Vespertino</t>
        </is>
      </c>
      <c r="D98" s="34" t="inlineStr">
        <is>
          <t>Participa</t>
        </is>
      </c>
      <c r="E98" s="34" t="inlineStr">
        <is>
          <t>Participa</t>
        </is>
      </c>
      <c r="F98" s="34" t="inlineStr">
        <is>
          <t>Não Participa</t>
        </is>
      </c>
      <c r="G98" s="34" t="inlineStr">
        <is>
          <t>Participa</t>
        </is>
      </c>
      <c r="H98" s="34" t="inlineStr">
        <is>
          <t>Não Participa</t>
        </is>
      </c>
      <c r="I98" s="34" t="inlineStr">
        <is>
          <t>Não Participa</t>
        </is>
      </c>
      <c r="J98" s="34" t="inlineStr">
        <is>
          <t>Não Participa</t>
        </is>
      </c>
      <c r="K98" s="34" t="inlineStr">
        <is>
          <t>Não Participa</t>
        </is>
      </c>
    </row>
    <row r="99">
      <c r="A99" s="34" t="inlineStr">
        <is>
          <t>Aluno 095</t>
        </is>
      </c>
      <c r="B99" s="34" t="inlineStr">
        <is>
          <t>Turma B2</t>
        </is>
      </c>
      <c r="C99" s="34" t="inlineStr">
        <is>
          <t>Matutino</t>
        </is>
      </c>
      <c r="D99" s="34" t="inlineStr">
        <is>
          <t>Participa</t>
        </is>
      </c>
      <c r="E99" s="34" t="inlineStr">
        <is>
          <t>Não Participa</t>
        </is>
      </c>
      <c r="F99" s="34" t="inlineStr">
        <is>
          <t>Não Participa</t>
        </is>
      </c>
      <c r="G99" s="34" t="inlineStr">
        <is>
          <t>Não Participa</t>
        </is>
      </c>
      <c r="H99" s="34" t="inlineStr">
        <is>
          <t>Não Participa</t>
        </is>
      </c>
      <c r="I99" s="34" t="inlineStr">
        <is>
          <t>Não Participa</t>
        </is>
      </c>
      <c r="J99" s="34" t="inlineStr">
        <is>
          <t>Não Participa</t>
        </is>
      </c>
      <c r="K99" s="34" t="inlineStr">
        <is>
          <t>Não Participa</t>
        </is>
      </c>
    </row>
    <row r="100">
      <c r="A100" s="34" t="inlineStr">
        <is>
          <t>Aluno 096</t>
        </is>
      </c>
      <c r="B100" s="34" t="inlineStr">
        <is>
          <t>Turma D</t>
        </is>
      </c>
      <c r="C100" s="34" t="inlineStr">
        <is>
          <t>Matutino</t>
        </is>
      </c>
      <c r="D100" s="34" t="inlineStr">
        <is>
          <t>Participa</t>
        </is>
      </c>
      <c r="E100" s="34" t="inlineStr">
        <is>
          <t>Participa</t>
        </is>
      </c>
      <c r="F100" s="34" t="inlineStr">
        <is>
          <t>Participa</t>
        </is>
      </c>
      <c r="G100" s="34" t="inlineStr">
        <is>
          <t>Participa</t>
        </is>
      </c>
      <c r="H100" s="34" t="inlineStr">
        <is>
          <t>Participa</t>
        </is>
      </c>
      <c r="I100" s="34" t="inlineStr">
        <is>
          <t>Não Participa</t>
        </is>
      </c>
      <c r="J100" s="34" t="inlineStr">
        <is>
          <t>Participa</t>
        </is>
      </c>
      <c r="K100" s="34" t="inlineStr">
        <is>
          <t>Não Participa</t>
        </is>
      </c>
    </row>
    <row r="101">
      <c r="A101" s="18" t="inlineStr">
        <is>
          <t>Aluno 097</t>
        </is>
      </c>
      <c r="B101" s="34" t="inlineStr">
        <is>
          <t>Turma B1</t>
        </is>
      </c>
      <c r="C101" s="34" t="inlineStr">
        <is>
          <t>Matutino</t>
        </is>
      </c>
      <c r="D101" s="34" t="inlineStr">
        <is>
          <t>Não Participa</t>
        </is>
      </c>
      <c r="E101" s="34" t="inlineStr">
        <is>
          <t>Não Participa</t>
        </is>
      </c>
      <c r="F101" s="34" t="inlineStr">
        <is>
          <t>Não Participa</t>
        </is>
      </c>
      <c r="G101" s="34" t="inlineStr">
        <is>
          <t>Não Participa</t>
        </is>
      </c>
      <c r="H101" s="34" t="inlineStr">
        <is>
          <t>Não Participa</t>
        </is>
      </c>
      <c r="I101" s="34" t="inlineStr">
        <is>
          <t>Não Participa</t>
        </is>
      </c>
      <c r="J101" s="34" t="inlineStr">
        <is>
          <t>Não Participa</t>
        </is>
      </c>
      <c r="K101" s="34" t="inlineStr">
        <is>
          <t>Não Participa</t>
        </is>
      </c>
    </row>
    <row r="102">
      <c r="A102" s="18" t="inlineStr">
        <is>
          <t>Aluno 098</t>
        </is>
      </c>
      <c r="B102" s="34" t="inlineStr">
        <is>
          <t>Turma B1</t>
        </is>
      </c>
      <c r="C102" s="34" t="inlineStr">
        <is>
          <t>Matutino</t>
        </is>
      </c>
      <c r="D102" s="34" t="inlineStr">
        <is>
          <t>Não Participa</t>
        </is>
      </c>
      <c r="E102" s="34" t="inlineStr">
        <is>
          <t>Não Participa</t>
        </is>
      </c>
      <c r="F102" s="34" t="inlineStr">
        <is>
          <t>Não Participa</t>
        </is>
      </c>
      <c r="G102" s="34" t="inlineStr">
        <is>
          <t>Não Participa</t>
        </is>
      </c>
      <c r="H102" s="34" t="inlineStr">
        <is>
          <t>Não Participa</t>
        </is>
      </c>
      <c r="I102" s="34" t="inlineStr">
        <is>
          <t>Não Participa</t>
        </is>
      </c>
      <c r="J102" s="34" t="inlineStr">
        <is>
          <t>Não Participa</t>
        </is>
      </c>
      <c r="K102" s="34" t="inlineStr">
        <is>
          <t>Não Participa</t>
        </is>
      </c>
    </row>
    <row r="103">
      <c r="A103" s="34" t="inlineStr">
        <is>
          <t>Aluno 099</t>
        </is>
      </c>
      <c r="B103" s="34" t="inlineStr">
        <is>
          <t>Turma C</t>
        </is>
      </c>
      <c r="C103" s="34" t="inlineStr">
        <is>
          <t>Matutino</t>
        </is>
      </c>
      <c r="D103" s="34" t="inlineStr">
        <is>
          <t>Participa</t>
        </is>
      </c>
      <c r="E103" s="34" t="inlineStr">
        <is>
          <t>Participa</t>
        </is>
      </c>
      <c r="F103" s="34" t="inlineStr">
        <is>
          <t>Participa</t>
        </is>
      </c>
      <c r="G103" s="34" t="inlineStr">
        <is>
          <t>Participa</t>
        </is>
      </c>
      <c r="H103" s="34" t="inlineStr">
        <is>
          <t>Participa</t>
        </is>
      </c>
      <c r="I103" s="34" t="inlineStr">
        <is>
          <t>Não Participa</t>
        </is>
      </c>
      <c r="J103" s="34" t="inlineStr">
        <is>
          <t>Não Participa</t>
        </is>
      </c>
      <c r="K103" s="34" t="inlineStr">
        <is>
          <t>Não Participa</t>
        </is>
      </c>
    </row>
    <row r="104">
      <c r="A104" s="18" t="inlineStr">
        <is>
          <t>Aluno 100</t>
        </is>
      </c>
      <c r="B104" s="34" t="inlineStr">
        <is>
          <t>Turma C</t>
        </is>
      </c>
      <c r="C104" s="34" t="inlineStr">
        <is>
          <t>Matutino</t>
        </is>
      </c>
      <c r="D104" s="34" t="inlineStr">
        <is>
          <t>Não Participa</t>
        </is>
      </c>
      <c r="E104" s="34" t="inlineStr">
        <is>
          <t>Não Participa</t>
        </is>
      </c>
      <c r="F104" s="34" t="inlineStr">
        <is>
          <t>Não Participa</t>
        </is>
      </c>
      <c r="G104" s="34" t="inlineStr">
        <is>
          <t>Não Participa</t>
        </is>
      </c>
      <c r="H104" s="34" t="inlineStr">
        <is>
          <t>Não Participa</t>
        </is>
      </c>
      <c r="I104" s="34" t="inlineStr">
        <is>
          <t>Não Participa</t>
        </is>
      </c>
      <c r="J104" s="34" t="inlineStr">
        <is>
          <t>Não Participa</t>
        </is>
      </c>
      <c r="K104" s="34" t="inlineStr">
        <is>
          <t>Não Participa</t>
        </is>
      </c>
    </row>
    <row r="105">
      <c r="A105" s="34" t="inlineStr">
        <is>
          <t>Aluno 101</t>
        </is>
      </c>
      <c r="B105" s="34" t="inlineStr">
        <is>
          <t>Turma B2</t>
        </is>
      </c>
      <c r="C105" s="34" t="inlineStr">
        <is>
          <t>Matutino</t>
        </is>
      </c>
      <c r="D105" s="34" t="inlineStr">
        <is>
          <t>Participa</t>
        </is>
      </c>
      <c r="E105" s="34" t="inlineStr">
        <is>
          <t>Não Participa</t>
        </is>
      </c>
      <c r="F105" s="34" t="inlineStr">
        <is>
          <t>Participa</t>
        </is>
      </c>
      <c r="G105" s="34" t="inlineStr">
        <is>
          <t>Participa</t>
        </is>
      </c>
      <c r="H105" s="34" t="inlineStr">
        <is>
          <t>Não Participa</t>
        </is>
      </c>
      <c r="I105" s="34" t="inlineStr">
        <is>
          <t>Não Participa</t>
        </is>
      </c>
      <c r="J105" s="34" t="inlineStr">
        <is>
          <t>Participa</t>
        </is>
      </c>
      <c r="K105" s="34" t="inlineStr">
        <is>
          <t>Não Participa</t>
        </is>
      </c>
    </row>
    <row r="106">
      <c r="A106" s="34" t="inlineStr">
        <is>
          <t>Aluno 102</t>
        </is>
      </c>
      <c r="B106" s="34" t="inlineStr">
        <is>
          <t>Turma E</t>
        </is>
      </c>
      <c r="C106" s="34" t="inlineStr">
        <is>
          <t>Matutino</t>
        </is>
      </c>
      <c r="D106" s="34" t="inlineStr">
        <is>
          <t>Não Participa</t>
        </is>
      </c>
      <c r="E106" s="34" t="inlineStr">
        <is>
          <t>Não Participa</t>
        </is>
      </c>
      <c r="F106" s="34" t="inlineStr">
        <is>
          <t>Participa</t>
        </is>
      </c>
      <c r="G106" s="34" t="inlineStr">
        <is>
          <t>Participa</t>
        </is>
      </c>
      <c r="H106" s="34" t="inlineStr">
        <is>
          <t>Não Participa</t>
        </is>
      </c>
      <c r="I106" s="34" t="inlineStr">
        <is>
          <t>Participa</t>
        </is>
      </c>
      <c r="J106" s="34" t="inlineStr">
        <is>
          <t>Não Participa</t>
        </is>
      </c>
      <c r="K106" s="34" t="inlineStr">
        <is>
          <t>Não Participa</t>
        </is>
      </c>
    </row>
    <row r="107">
      <c r="A107" s="34" t="inlineStr">
        <is>
          <t>Aluno 103</t>
        </is>
      </c>
      <c r="B107" s="34" t="inlineStr">
        <is>
          <t>Turma B1</t>
        </is>
      </c>
      <c r="C107" s="34" t="inlineStr">
        <is>
          <t>Vespertino</t>
        </is>
      </c>
      <c r="D107" s="34" t="inlineStr">
        <is>
          <t>Não Participa</t>
        </is>
      </c>
      <c r="E107" s="34" t="inlineStr">
        <is>
          <t>Não Participa</t>
        </is>
      </c>
      <c r="F107" s="34" t="inlineStr">
        <is>
          <t>Participa</t>
        </is>
      </c>
      <c r="G107" s="34" t="inlineStr">
        <is>
          <t>Participa</t>
        </is>
      </c>
      <c r="H107" s="34" t="inlineStr">
        <is>
          <t>Não Participa</t>
        </is>
      </c>
      <c r="I107" s="34" t="inlineStr">
        <is>
          <t>Não Participa</t>
        </is>
      </c>
      <c r="J107" s="34" t="inlineStr">
        <is>
          <t>Não Participa</t>
        </is>
      </c>
      <c r="K107" s="34" t="inlineStr">
        <is>
          <t>Participa</t>
        </is>
      </c>
    </row>
    <row r="108">
      <c r="A108" s="18" t="inlineStr">
        <is>
          <t>Aluno 104</t>
        </is>
      </c>
      <c r="B108" s="34" t="inlineStr">
        <is>
          <t>Turma B2</t>
        </is>
      </c>
      <c r="C108" s="34" t="inlineStr">
        <is>
          <t>Vespertino</t>
        </is>
      </c>
      <c r="D108" s="34" t="inlineStr">
        <is>
          <t>Não Participa</t>
        </is>
      </c>
      <c r="E108" s="34" t="inlineStr">
        <is>
          <t>Não Participa</t>
        </is>
      </c>
      <c r="F108" s="34" t="inlineStr">
        <is>
          <t>Não Participa</t>
        </is>
      </c>
      <c r="G108" s="34" t="inlineStr">
        <is>
          <t>Não Participa</t>
        </is>
      </c>
      <c r="H108" s="34" t="inlineStr">
        <is>
          <t>Não Participa</t>
        </is>
      </c>
      <c r="I108" s="34" t="inlineStr">
        <is>
          <t>Não Participa</t>
        </is>
      </c>
      <c r="J108" s="34" t="inlineStr">
        <is>
          <t>Não Participa</t>
        </is>
      </c>
      <c r="K108" s="34" t="inlineStr">
        <is>
          <t>Não Participa</t>
        </is>
      </c>
    </row>
    <row r="109">
      <c r="A109" s="18" t="inlineStr">
        <is>
          <t>Aluno 105</t>
        </is>
      </c>
      <c r="B109" s="34" t="inlineStr">
        <is>
          <t>Turma GR</t>
        </is>
      </c>
      <c r="C109" s="34" t="inlineStr">
        <is>
          <t>Vespertino</t>
        </is>
      </c>
      <c r="D109" s="34" t="inlineStr">
        <is>
          <t>Não Participa</t>
        </is>
      </c>
      <c r="E109" s="34" t="inlineStr">
        <is>
          <t>Não Participa</t>
        </is>
      </c>
      <c r="F109" s="34" t="inlineStr">
        <is>
          <t>Não Participa</t>
        </is>
      </c>
      <c r="G109" s="34" t="inlineStr">
        <is>
          <t>Não Participa</t>
        </is>
      </c>
      <c r="H109" s="34" t="inlineStr">
        <is>
          <t>Não Participa</t>
        </is>
      </c>
      <c r="I109" s="34" t="inlineStr">
        <is>
          <t>Não Participa</t>
        </is>
      </c>
      <c r="J109" s="34" t="inlineStr">
        <is>
          <t>Não Participa</t>
        </is>
      </c>
      <c r="K109" s="34" t="inlineStr">
        <is>
          <t>Não Participa</t>
        </is>
      </c>
    </row>
    <row r="110">
      <c r="A110" s="18" t="inlineStr">
        <is>
          <t>Aluno 106</t>
        </is>
      </c>
      <c r="B110" s="34" t="inlineStr">
        <is>
          <t>Turma B2</t>
        </is>
      </c>
      <c r="C110" s="34" t="inlineStr">
        <is>
          <t>Matutino</t>
        </is>
      </c>
      <c r="D110" s="34" t="inlineStr">
        <is>
          <t>Não Participa</t>
        </is>
      </c>
      <c r="E110" s="34" t="inlineStr">
        <is>
          <t>Não Participa</t>
        </is>
      </c>
      <c r="F110" s="34" t="inlineStr">
        <is>
          <t>Não Participa</t>
        </is>
      </c>
      <c r="G110" s="34" t="inlineStr">
        <is>
          <t>Não Participa</t>
        </is>
      </c>
      <c r="H110" s="34" t="inlineStr">
        <is>
          <t>Não Participa</t>
        </is>
      </c>
      <c r="I110" s="34" t="inlineStr">
        <is>
          <t>Não Participa</t>
        </is>
      </c>
      <c r="J110" s="34" t="inlineStr">
        <is>
          <t>Não Participa</t>
        </is>
      </c>
      <c r="K110" s="34" t="inlineStr">
        <is>
          <t>Não Participa</t>
        </is>
      </c>
    </row>
    <row r="111">
      <c r="A111" s="34" t="inlineStr">
        <is>
          <t>Aluno 107</t>
        </is>
      </c>
      <c r="B111" s="34" t="inlineStr">
        <is>
          <t>Turma D</t>
        </is>
      </c>
      <c r="C111" s="34" t="inlineStr">
        <is>
          <t>Vespertino</t>
        </is>
      </c>
      <c r="D111" s="34" t="inlineStr">
        <is>
          <t>Participa</t>
        </is>
      </c>
      <c r="E111" s="34" t="inlineStr">
        <is>
          <t>Participa</t>
        </is>
      </c>
      <c r="F111" s="34" t="inlineStr">
        <is>
          <t>Participa</t>
        </is>
      </c>
      <c r="G111" s="34" t="inlineStr">
        <is>
          <t>Participa</t>
        </is>
      </c>
      <c r="H111" s="34" t="inlineStr">
        <is>
          <t>Participa</t>
        </is>
      </c>
      <c r="I111" s="34" t="inlineStr">
        <is>
          <t>Não Participa</t>
        </is>
      </c>
      <c r="J111" s="34" t="inlineStr">
        <is>
          <t>Participa</t>
        </is>
      </c>
      <c r="K111" s="34" t="inlineStr">
        <is>
          <t>Não Participa</t>
        </is>
      </c>
    </row>
    <row r="112">
      <c r="A112" s="34" t="inlineStr">
        <is>
          <t>Aluno 108</t>
        </is>
      </c>
      <c r="B112" s="34" t="inlineStr">
        <is>
          <t>Turma GR</t>
        </is>
      </c>
      <c r="C112" s="34" t="inlineStr">
        <is>
          <t>Vespertino</t>
        </is>
      </c>
      <c r="D112" s="34" t="inlineStr">
        <is>
          <t>Participa</t>
        </is>
      </c>
      <c r="E112" s="34" t="inlineStr">
        <is>
          <t>Participa</t>
        </is>
      </c>
      <c r="F112" s="34" t="inlineStr">
        <is>
          <t>Participa</t>
        </is>
      </c>
      <c r="G112" s="34" t="inlineStr">
        <is>
          <t>Participa</t>
        </is>
      </c>
      <c r="H112" s="34" t="inlineStr">
        <is>
          <t>Participa</t>
        </is>
      </c>
      <c r="I112" s="34" t="inlineStr">
        <is>
          <t>Participa</t>
        </is>
      </c>
      <c r="J112" s="34" t="inlineStr">
        <is>
          <t>Não Participa</t>
        </is>
      </c>
      <c r="K112" s="34" t="inlineStr">
        <is>
          <t>Não Participa</t>
        </is>
      </c>
    </row>
    <row r="113">
      <c r="A113" s="34" t="inlineStr">
        <is>
          <t>Aluno 109</t>
        </is>
      </c>
      <c r="B113" s="34" t="inlineStr">
        <is>
          <t>Turma E</t>
        </is>
      </c>
      <c r="C113" s="34" t="inlineStr">
        <is>
          <t>Matutino</t>
        </is>
      </c>
      <c r="D113" s="34" t="inlineStr">
        <is>
          <t>Participa</t>
        </is>
      </c>
      <c r="E113" s="34" t="inlineStr">
        <is>
          <t>Participa</t>
        </is>
      </c>
      <c r="F113" s="34" t="inlineStr">
        <is>
          <t>Participa</t>
        </is>
      </c>
      <c r="G113" s="34" t="inlineStr">
        <is>
          <t>Participa</t>
        </is>
      </c>
      <c r="H113" s="34" t="inlineStr">
        <is>
          <t>Participa</t>
        </is>
      </c>
      <c r="I113" s="34" t="inlineStr">
        <is>
          <t>Participa</t>
        </is>
      </c>
      <c r="J113" s="34" t="inlineStr">
        <is>
          <t>Não Participa</t>
        </is>
      </c>
      <c r="K113" s="34" t="inlineStr">
        <is>
          <t>Não Participa</t>
        </is>
      </c>
    </row>
    <row r="114">
      <c r="A114" s="34" t="inlineStr">
        <is>
          <t>Aluno 110</t>
        </is>
      </c>
      <c r="B114" s="34" t="inlineStr">
        <is>
          <t>Turma B1</t>
        </is>
      </c>
      <c r="C114" s="34" t="inlineStr">
        <is>
          <t>Vespertino</t>
        </is>
      </c>
      <c r="D114" s="34" t="inlineStr">
        <is>
          <t>Participa</t>
        </is>
      </c>
      <c r="E114" s="34" t="inlineStr">
        <is>
          <t>Não Participa</t>
        </is>
      </c>
      <c r="F114" s="34" t="inlineStr">
        <is>
          <t>Participa</t>
        </is>
      </c>
      <c r="G114" s="34" t="inlineStr">
        <is>
          <t>Participa</t>
        </is>
      </c>
      <c r="H114" s="34" t="inlineStr">
        <is>
          <t>Não Participa</t>
        </is>
      </c>
      <c r="I114" s="34" t="inlineStr">
        <is>
          <t>Não Participa</t>
        </is>
      </c>
      <c r="J114" s="34" t="inlineStr">
        <is>
          <t>Participa</t>
        </is>
      </c>
      <c r="K114" s="34" t="inlineStr">
        <is>
          <t>Não Participa</t>
        </is>
      </c>
    </row>
    <row r="115">
      <c r="A115" s="34" t="inlineStr">
        <is>
          <t>Aluno 111</t>
        </is>
      </c>
      <c r="B115" s="34" t="inlineStr">
        <is>
          <t>Turma C</t>
        </is>
      </c>
      <c r="C115" s="34" t="inlineStr">
        <is>
          <t>Vespertino</t>
        </is>
      </c>
      <c r="D115" s="34" t="inlineStr">
        <is>
          <t>Participa</t>
        </is>
      </c>
      <c r="E115" s="34" t="inlineStr">
        <is>
          <t>Não Participa</t>
        </is>
      </c>
      <c r="F115" s="34" t="inlineStr">
        <is>
          <t>Participa</t>
        </is>
      </c>
      <c r="G115" s="34" t="inlineStr">
        <is>
          <t>Participa</t>
        </is>
      </c>
      <c r="H115" s="34" t="inlineStr">
        <is>
          <t>Não Participa</t>
        </is>
      </c>
      <c r="I115" s="34" t="inlineStr">
        <is>
          <t>Não Participa</t>
        </is>
      </c>
      <c r="J115" s="34" t="inlineStr">
        <is>
          <t>Não Participa</t>
        </is>
      </c>
      <c r="K115" s="34" t="inlineStr">
        <is>
          <t>Não Participa</t>
        </is>
      </c>
    </row>
    <row r="116">
      <c r="A116" s="34" t="inlineStr">
        <is>
          <t>Aluno 112</t>
        </is>
      </c>
      <c r="B116" s="34" t="inlineStr">
        <is>
          <t>Turma B1</t>
        </is>
      </c>
      <c r="C116" s="34" t="inlineStr">
        <is>
          <t>Vespertino</t>
        </is>
      </c>
      <c r="D116" s="34" t="inlineStr">
        <is>
          <t>Não Participa</t>
        </is>
      </c>
      <c r="E116" s="34" t="inlineStr">
        <is>
          <t>Não Participa</t>
        </is>
      </c>
      <c r="F116" s="34" t="inlineStr">
        <is>
          <t>Participa</t>
        </is>
      </c>
      <c r="G116" s="34" t="inlineStr">
        <is>
          <t>Não Participa</t>
        </is>
      </c>
      <c r="H116" s="34" t="inlineStr">
        <is>
          <t>Não Participa</t>
        </is>
      </c>
      <c r="I116" s="34" t="inlineStr">
        <is>
          <t>Não Participa</t>
        </is>
      </c>
      <c r="J116" s="34" t="inlineStr">
        <is>
          <t>Não Participa</t>
        </is>
      </c>
      <c r="K116" s="34" t="inlineStr">
        <is>
          <t>Participa</t>
        </is>
      </c>
    </row>
    <row r="117">
      <c r="A117" s="18" t="inlineStr">
        <is>
          <t>Aluno 113</t>
        </is>
      </c>
      <c r="B117" s="34" t="inlineStr">
        <is>
          <t>Turma B1</t>
        </is>
      </c>
      <c r="C117" s="34" t="inlineStr">
        <is>
          <t>Vespertino</t>
        </is>
      </c>
      <c r="D117" s="34" t="inlineStr">
        <is>
          <t>Não Participa</t>
        </is>
      </c>
      <c r="E117" s="34" t="inlineStr">
        <is>
          <t>Não Participa</t>
        </is>
      </c>
      <c r="F117" s="34" t="inlineStr">
        <is>
          <t>Não Participa</t>
        </is>
      </c>
      <c r="G117" s="34" t="inlineStr">
        <is>
          <t>Não Participa</t>
        </is>
      </c>
      <c r="H117" s="34" t="inlineStr">
        <is>
          <t>Não Participa</t>
        </is>
      </c>
      <c r="I117" s="34" t="inlineStr">
        <is>
          <t>Não Participa</t>
        </is>
      </c>
      <c r="J117" s="34" t="inlineStr">
        <is>
          <t>Não Participa</t>
        </is>
      </c>
      <c r="K117" s="34" t="inlineStr">
        <is>
          <t>Não Participa</t>
        </is>
      </c>
    </row>
    <row r="118">
      <c r="A118" s="18" t="inlineStr">
        <is>
          <t>Aluno 114</t>
        </is>
      </c>
      <c r="B118" s="34" t="inlineStr">
        <is>
          <t>Turma A</t>
        </is>
      </c>
      <c r="C118" s="34" t="inlineStr">
        <is>
          <t>Matutino</t>
        </is>
      </c>
      <c r="D118" s="34" t="inlineStr">
        <is>
          <t>Não Participa</t>
        </is>
      </c>
      <c r="E118" s="34" t="inlineStr">
        <is>
          <t>Não Participa</t>
        </is>
      </c>
      <c r="F118" s="34" t="inlineStr">
        <is>
          <t>Não Participa</t>
        </is>
      </c>
      <c r="G118" s="34" t="inlineStr">
        <is>
          <t>Não Participa</t>
        </is>
      </c>
      <c r="H118" s="34" t="inlineStr">
        <is>
          <t>Não Participa</t>
        </is>
      </c>
      <c r="I118" s="34" t="inlineStr">
        <is>
          <t>Não Participa</t>
        </is>
      </c>
      <c r="J118" s="34" t="inlineStr">
        <is>
          <t>Não Participa</t>
        </is>
      </c>
      <c r="K118" s="34" t="inlineStr">
        <is>
          <t>Não Participa</t>
        </is>
      </c>
    </row>
    <row r="119">
      <c r="A119" s="34" t="inlineStr">
        <is>
          <t>Aluno 115</t>
        </is>
      </c>
      <c r="B119" s="34" t="inlineStr">
        <is>
          <t>Turma E</t>
        </is>
      </c>
      <c r="C119" s="34" t="inlineStr">
        <is>
          <t>Vespertino</t>
        </is>
      </c>
      <c r="D119" s="34" t="inlineStr">
        <is>
          <t>Participa</t>
        </is>
      </c>
      <c r="E119" s="34" t="inlineStr">
        <is>
          <t>Não Participa</t>
        </is>
      </c>
      <c r="F119" s="34" t="inlineStr">
        <is>
          <t>Não Participa</t>
        </is>
      </c>
      <c r="G119" s="34" t="inlineStr">
        <is>
          <t>Não Participa</t>
        </is>
      </c>
      <c r="H119" s="34" t="inlineStr">
        <is>
          <t>Não Participa</t>
        </is>
      </c>
      <c r="I119" s="34" t="inlineStr">
        <is>
          <t>Não Participa</t>
        </is>
      </c>
      <c r="J119" s="34" t="inlineStr">
        <is>
          <t>Não Participa</t>
        </is>
      </c>
      <c r="K119" s="34" t="inlineStr">
        <is>
          <t>Não Participa</t>
        </is>
      </c>
    </row>
    <row r="120">
      <c r="A120" s="18" t="inlineStr">
        <is>
          <t>Aluno 116</t>
        </is>
      </c>
      <c r="B120" s="34" t="inlineStr">
        <is>
          <t>Turma B2</t>
        </is>
      </c>
      <c r="C120" s="34" t="inlineStr">
        <is>
          <t>Matutino</t>
        </is>
      </c>
      <c r="D120" s="34" t="inlineStr">
        <is>
          <t>Não Participa</t>
        </is>
      </c>
      <c r="E120" s="34" t="inlineStr">
        <is>
          <t>Não Participa</t>
        </is>
      </c>
      <c r="F120" s="34" t="inlineStr">
        <is>
          <t>Não Participa</t>
        </is>
      </c>
      <c r="G120" s="34" t="inlineStr">
        <is>
          <t>Não Participa</t>
        </is>
      </c>
      <c r="H120" s="34" t="inlineStr">
        <is>
          <t>Não Participa</t>
        </is>
      </c>
      <c r="I120" s="34" t="inlineStr">
        <is>
          <t>Não Participa</t>
        </is>
      </c>
      <c r="J120" s="34" t="inlineStr">
        <is>
          <t>Não Participa</t>
        </is>
      </c>
      <c r="K120" s="34" t="inlineStr">
        <is>
          <t>Não Participa</t>
        </is>
      </c>
    </row>
    <row r="121">
      <c r="A121" s="18" t="inlineStr">
        <is>
          <t>Aluno 117</t>
        </is>
      </c>
      <c r="B121" s="34" t="inlineStr">
        <is>
          <t>Turma B2</t>
        </is>
      </c>
      <c r="C121" s="34" t="inlineStr">
        <is>
          <t>Vespertino</t>
        </is>
      </c>
      <c r="D121" s="34" t="inlineStr">
        <is>
          <t>Não Participa</t>
        </is>
      </c>
      <c r="E121" s="34" t="inlineStr">
        <is>
          <t>Não Participa</t>
        </is>
      </c>
      <c r="F121" s="34" t="inlineStr">
        <is>
          <t>Não Participa</t>
        </is>
      </c>
      <c r="G121" s="34" t="inlineStr">
        <is>
          <t>Não Participa</t>
        </is>
      </c>
      <c r="H121" s="34" t="inlineStr">
        <is>
          <t>Não Participa</t>
        </is>
      </c>
      <c r="I121" s="34" t="inlineStr">
        <is>
          <t>Não Participa</t>
        </is>
      </c>
      <c r="J121" s="34" t="inlineStr">
        <is>
          <t>Não Participa</t>
        </is>
      </c>
      <c r="K121" s="34" t="inlineStr">
        <is>
          <t>Não Participa</t>
        </is>
      </c>
    </row>
    <row r="122">
      <c r="A122" s="34" t="inlineStr">
        <is>
          <t>Aluno 118</t>
        </is>
      </c>
      <c r="B122" s="34" t="inlineStr">
        <is>
          <t>Turma A</t>
        </is>
      </c>
      <c r="C122" s="34" t="inlineStr">
        <is>
          <t>Vespertino</t>
        </is>
      </c>
      <c r="D122" s="34" t="inlineStr">
        <is>
          <t>Não Participa</t>
        </is>
      </c>
      <c r="E122" s="34" t="inlineStr">
        <is>
          <t>Não Participa</t>
        </is>
      </c>
      <c r="F122" s="34" t="inlineStr">
        <is>
          <t>Participa</t>
        </is>
      </c>
      <c r="G122" s="34" t="inlineStr">
        <is>
          <t>Participa</t>
        </is>
      </c>
      <c r="H122" s="34" t="inlineStr">
        <is>
          <t>Não Participa</t>
        </is>
      </c>
      <c r="I122" s="34" t="inlineStr">
        <is>
          <t>Não Participa</t>
        </is>
      </c>
      <c r="J122" s="34" t="inlineStr">
        <is>
          <t>Não Participa</t>
        </is>
      </c>
      <c r="K122" s="34" t="inlineStr">
        <is>
          <t>Participa</t>
        </is>
      </c>
    </row>
    <row r="123">
      <c r="A123" s="34" t="inlineStr">
        <is>
          <t>Aluno 119</t>
        </is>
      </c>
      <c r="B123" s="34" t="inlineStr">
        <is>
          <t>Turma C</t>
        </is>
      </c>
      <c r="C123" s="34" t="inlineStr">
        <is>
          <t>Vespertino</t>
        </is>
      </c>
      <c r="D123" s="34" t="inlineStr">
        <is>
          <t>Participa</t>
        </is>
      </c>
      <c r="E123" s="34" t="inlineStr">
        <is>
          <t>Participa</t>
        </is>
      </c>
      <c r="F123" s="34" t="inlineStr">
        <is>
          <t>Não Participa</t>
        </is>
      </c>
      <c r="G123" s="34" t="inlineStr">
        <is>
          <t>Não Participa</t>
        </is>
      </c>
      <c r="H123" s="34" t="inlineStr">
        <is>
          <t>Não Participa</t>
        </is>
      </c>
      <c r="I123" s="34" t="inlineStr">
        <is>
          <t>Não Participa</t>
        </is>
      </c>
      <c r="J123" s="34" t="inlineStr">
        <is>
          <t>Não Participa</t>
        </is>
      </c>
      <c r="K123" s="34" t="inlineStr">
        <is>
          <t>Não Participa</t>
        </is>
      </c>
    </row>
    <row r="124">
      <c r="A124" s="34" t="inlineStr">
        <is>
          <t>Aluno 120</t>
        </is>
      </c>
      <c r="B124" s="34" t="inlineStr">
        <is>
          <t>Turma A</t>
        </is>
      </c>
      <c r="C124" s="34" t="inlineStr">
        <is>
          <t>Matutino</t>
        </is>
      </c>
      <c r="D124" s="34" t="inlineStr">
        <is>
          <t>Participa</t>
        </is>
      </c>
      <c r="E124" s="34" t="inlineStr">
        <is>
          <t>Participa</t>
        </is>
      </c>
      <c r="F124" s="34" t="inlineStr">
        <is>
          <t>Participa</t>
        </is>
      </c>
      <c r="G124" s="34" t="inlineStr">
        <is>
          <t>Participa</t>
        </is>
      </c>
      <c r="H124" s="34" t="inlineStr">
        <is>
          <t>Não Participa</t>
        </is>
      </c>
      <c r="I124" s="34" t="inlineStr">
        <is>
          <t>Não Participa</t>
        </is>
      </c>
      <c r="J124" s="34" t="inlineStr">
        <is>
          <t>Não Participa</t>
        </is>
      </c>
      <c r="K124" s="34" t="inlineStr">
        <is>
          <t>Não Participa</t>
        </is>
      </c>
    </row>
    <row r="125">
      <c r="A125" s="18" t="inlineStr">
        <is>
          <t>Aluno 121</t>
        </is>
      </c>
      <c r="B125" s="34" t="inlineStr">
        <is>
          <t>Turma B2</t>
        </is>
      </c>
      <c r="C125" s="34" t="inlineStr">
        <is>
          <t>Vespertino</t>
        </is>
      </c>
      <c r="D125" s="34" t="inlineStr">
        <is>
          <t>Não Participa</t>
        </is>
      </c>
      <c r="E125" s="34" t="inlineStr">
        <is>
          <t>Não Participa</t>
        </is>
      </c>
      <c r="F125" s="34" t="inlineStr">
        <is>
          <t>Não Participa</t>
        </is>
      </c>
      <c r="G125" s="34" t="inlineStr">
        <is>
          <t>Não Participa</t>
        </is>
      </c>
      <c r="H125" s="34" t="inlineStr">
        <is>
          <t>Não Participa</t>
        </is>
      </c>
      <c r="I125" s="34" t="inlineStr">
        <is>
          <t>Não Participa</t>
        </is>
      </c>
      <c r="J125" s="34" t="inlineStr">
        <is>
          <t>Não Participa</t>
        </is>
      </c>
      <c r="K125" s="34" t="inlineStr">
        <is>
          <t>Não Participa</t>
        </is>
      </c>
    </row>
    <row r="126">
      <c r="A126" s="34" t="inlineStr">
        <is>
          <t>Aluno 122</t>
        </is>
      </c>
      <c r="B126" s="34" t="inlineStr">
        <is>
          <t>Turma B2</t>
        </is>
      </c>
      <c r="C126" s="34" t="inlineStr">
        <is>
          <t>Matutino</t>
        </is>
      </c>
      <c r="D126" s="34" t="inlineStr">
        <is>
          <t>Não Participa</t>
        </is>
      </c>
      <c r="E126" s="34" t="inlineStr">
        <is>
          <t>Não Participa</t>
        </is>
      </c>
      <c r="F126" s="34" t="inlineStr">
        <is>
          <t>Participa</t>
        </is>
      </c>
      <c r="G126" s="34" t="inlineStr">
        <is>
          <t>Participa</t>
        </is>
      </c>
      <c r="H126" s="34" t="inlineStr">
        <is>
          <t>Não Participa</t>
        </is>
      </c>
      <c r="I126" s="34" t="inlineStr">
        <is>
          <t>Não Participa</t>
        </is>
      </c>
      <c r="J126" s="34" t="inlineStr">
        <is>
          <t>Não Participa</t>
        </is>
      </c>
      <c r="K126" s="34" t="inlineStr">
        <is>
          <t>Participa</t>
        </is>
      </c>
    </row>
    <row r="127">
      <c r="A127" s="18" t="inlineStr">
        <is>
          <t>Aluno 123</t>
        </is>
      </c>
      <c r="B127" s="34" t="inlineStr">
        <is>
          <t>Turma B2</t>
        </is>
      </c>
      <c r="C127" s="34" t="inlineStr">
        <is>
          <t>Vespertino</t>
        </is>
      </c>
      <c r="D127" s="34" t="inlineStr">
        <is>
          <t>Não Participa</t>
        </is>
      </c>
      <c r="E127" s="34" t="inlineStr">
        <is>
          <t>Não Participa</t>
        </is>
      </c>
      <c r="F127" s="34" t="inlineStr">
        <is>
          <t>Não Participa</t>
        </is>
      </c>
      <c r="G127" s="34" t="inlineStr">
        <is>
          <t>Não Participa</t>
        </is>
      </c>
      <c r="H127" s="34" t="inlineStr">
        <is>
          <t>Não Participa</t>
        </is>
      </c>
      <c r="I127" s="34" t="inlineStr">
        <is>
          <t>Não Participa</t>
        </is>
      </c>
      <c r="J127" s="34" t="inlineStr">
        <is>
          <t>Não Participa</t>
        </is>
      </c>
      <c r="K127" s="34" t="inlineStr">
        <is>
          <t>Não Participa</t>
        </is>
      </c>
    </row>
    <row r="128">
      <c r="A128" s="34" t="inlineStr">
        <is>
          <t>Aluno 124</t>
        </is>
      </c>
      <c r="B128" s="34" t="inlineStr">
        <is>
          <t>Turma A</t>
        </is>
      </c>
      <c r="C128" s="34" t="inlineStr">
        <is>
          <t>Vespertino</t>
        </is>
      </c>
      <c r="D128" s="34" t="inlineStr">
        <is>
          <t>Participa</t>
        </is>
      </c>
      <c r="E128" s="34" t="inlineStr">
        <is>
          <t>Não Participa</t>
        </is>
      </c>
      <c r="F128" s="34" t="inlineStr">
        <is>
          <t>Não Participa</t>
        </is>
      </c>
      <c r="G128" s="34" t="inlineStr">
        <is>
          <t>Não Participa</t>
        </is>
      </c>
      <c r="H128" s="34" t="inlineStr">
        <is>
          <t>Não Participa</t>
        </is>
      </c>
      <c r="I128" s="34" t="inlineStr">
        <is>
          <t>Não Participa</t>
        </is>
      </c>
      <c r="J128" s="34" t="inlineStr">
        <is>
          <t>Participa</t>
        </is>
      </c>
      <c r="K128" s="34" t="inlineStr">
        <is>
          <t>Não Participa</t>
        </is>
      </c>
    </row>
    <row r="129">
      <c r="A129" s="34" t="inlineStr">
        <is>
          <t>Aluno 125</t>
        </is>
      </c>
      <c r="B129" s="34" t="inlineStr">
        <is>
          <t>Turma E</t>
        </is>
      </c>
      <c r="C129" s="34" t="inlineStr">
        <is>
          <t>Vespertino</t>
        </is>
      </c>
      <c r="D129" s="34" t="inlineStr">
        <is>
          <t>Participa</t>
        </is>
      </c>
      <c r="E129" s="34" t="inlineStr">
        <is>
          <t>Participa</t>
        </is>
      </c>
      <c r="F129" s="34" t="inlineStr">
        <is>
          <t>Não Participa</t>
        </is>
      </c>
      <c r="G129" s="34" t="inlineStr">
        <is>
          <t>Não Participa</t>
        </is>
      </c>
      <c r="H129" s="34" t="inlineStr">
        <is>
          <t>Participa</t>
        </is>
      </c>
      <c r="I129" s="34" t="inlineStr">
        <is>
          <t>Participa</t>
        </is>
      </c>
      <c r="J129" s="34" t="inlineStr">
        <is>
          <t>Não Participa</t>
        </is>
      </c>
      <c r="K129" s="34" t="inlineStr">
        <is>
          <t>Não Participa</t>
        </is>
      </c>
    </row>
    <row r="130">
      <c r="A130" s="34" t="inlineStr">
        <is>
          <t>Aluno 131</t>
        </is>
      </c>
      <c r="B130" s="34" t="inlineStr">
        <is>
          <t>Turma E</t>
        </is>
      </c>
      <c r="C130" s="34" t="inlineStr">
        <is>
          <t>Vespertino</t>
        </is>
      </c>
      <c r="D130" s="34" t="inlineStr">
        <is>
          <t>Participa</t>
        </is>
      </c>
      <c r="E130" s="34" t="inlineStr">
        <is>
          <t>Participa</t>
        </is>
      </c>
      <c r="F130" s="34" t="inlineStr">
        <is>
          <t>Não Participa</t>
        </is>
      </c>
      <c r="G130" s="34" t="inlineStr">
        <is>
          <t>Não Participa</t>
        </is>
      </c>
      <c r="H130" s="34" t="inlineStr">
        <is>
          <t>Participa</t>
        </is>
      </c>
      <c r="I130" s="34" t="inlineStr">
        <is>
          <t>Não Participa</t>
        </is>
      </c>
      <c r="J130" s="34" t="inlineStr">
        <is>
          <t>Não Participa</t>
        </is>
      </c>
      <c r="K130" s="34" t="inlineStr">
        <is>
          <t>Não Participa</t>
        </is>
      </c>
    </row>
    <row r="131">
      <c r="A131" s="34" t="inlineStr">
        <is>
          <t>Aluno 132</t>
        </is>
      </c>
      <c r="B131" s="34" t="inlineStr">
        <is>
          <t>Turma A</t>
        </is>
      </c>
      <c r="C131" s="34" t="inlineStr">
        <is>
          <t>Matutino</t>
        </is>
      </c>
      <c r="D131" s="34" t="inlineStr">
        <is>
          <t>Participa</t>
        </is>
      </c>
      <c r="E131" s="34" t="inlineStr">
        <is>
          <t>Participa</t>
        </is>
      </c>
      <c r="F131" s="34" t="inlineStr">
        <is>
          <t>Não Participa</t>
        </is>
      </c>
      <c r="G131" s="34" t="inlineStr">
        <is>
          <t>Não Participa</t>
        </is>
      </c>
      <c r="H131" s="34" t="inlineStr">
        <is>
          <t>Não Participa</t>
        </is>
      </c>
      <c r="I131" s="34" t="inlineStr">
        <is>
          <t>Não Participa</t>
        </is>
      </c>
      <c r="J131" s="34" t="inlineStr">
        <is>
          <t>Não Participa</t>
        </is>
      </c>
      <c r="K131" s="34" t="inlineStr">
        <is>
          <t>Não Participa</t>
        </is>
      </c>
    </row>
    <row r="132">
      <c r="A132" s="34" t="inlineStr">
        <is>
          <t>Aluno 133</t>
        </is>
      </c>
      <c r="B132" s="34" t="inlineStr">
        <is>
          <t>Turma B1</t>
        </is>
      </c>
      <c r="C132" s="34" t="inlineStr">
        <is>
          <t>Matutino</t>
        </is>
      </c>
      <c r="D132" s="34" t="inlineStr">
        <is>
          <t>Participa</t>
        </is>
      </c>
      <c r="E132" s="34" t="inlineStr">
        <is>
          <t>Participa</t>
        </is>
      </c>
      <c r="F132" s="34" t="inlineStr">
        <is>
          <t>Participa</t>
        </is>
      </c>
      <c r="G132" s="34" t="inlineStr">
        <is>
          <t>Participa</t>
        </is>
      </c>
      <c r="H132" s="34" t="inlineStr">
        <is>
          <t>Não Participa</t>
        </is>
      </c>
      <c r="I132" s="34" t="inlineStr">
        <is>
          <t>Não Participa</t>
        </is>
      </c>
      <c r="J132" s="34" t="inlineStr">
        <is>
          <t>Não Participa</t>
        </is>
      </c>
      <c r="K132" s="34" t="inlineStr">
        <is>
          <t>Não Participa</t>
        </is>
      </c>
    </row>
    <row r="133">
      <c r="A133" s="18" t="inlineStr">
        <is>
          <t>Aluno 134</t>
        </is>
      </c>
      <c r="B133" s="34" t="inlineStr">
        <is>
          <t>Turma D</t>
        </is>
      </c>
      <c r="C133" s="34" t="inlineStr">
        <is>
          <t>Vespertino</t>
        </is>
      </c>
      <c r="D133" s="34" t="inlineStr">
        <is>
          <t>Não Participa</t>
        </is>
      </c>
      <c r="E133" s="34" t="inlineStr">
        <is>
          <t>Não Participa</t>
        </is>
      </c>
      <c r="F133" s="34" t="inlineStr">
        <is>
          <t>Não Participa</t>
        </is>
      </c>
      <c r="G133" s="34" t="inlineStr">
        <is>
          <t>Não Participa</t>
        </is>
      </c>
      <c r="H133" s="34" t="inlineStr">
        <is>
          <t>Não Participa</t>
        </is>
      </c>
      <c r="I133" s="34" t="inlineStr">
        <is>
          <t>Não Participa</t>
        </is>
      </c>
      <c r="J133" s="34" t="inlineStr">
        <is>
          <t>Não Participa</t>
        </is>
      </c>
      <c r="K133" s="34" t="inlineStr">
        <is>
          <t>Não Participa</t>
        </is>
      </c>
    </row>
    <row r="134">
      <c r="A134" s="34" t="inlineStr">
        <is>
          <t>Aluno 135</t>
        </is>
      </c>
      <c r="B134" s="34" t="inlineStr">
        <is>
          <t>Turma E</t>
        </is>
      </c>
      <c r="C134" s="34" t="inlineStr">
        <is>
          <t>Vespertino</t>
        </is>
      </c>
      <c r="D134" s="34" t="inlineStr">
        <is>
          <t>Participa</t>
        </is>
      </c>
      <c r="E134" s="34" t="inlineStr">
        <is>
          <t>Participa</t>
        </is>
      </c>
      <c r="F134" s="34" t="inlineStr">
        <is>
          <t>Participa</t>
        </is>
      </c>
      <c r="G134" s="34" t="inlineStr">
        <is>
          <t>Participa</t>
        </is>
      </c>
      <c r="H134" s="34" t="inlineStr">
        <is>
          <t>Participa</t>
        </is>
      </c>
      <c r="I134" s="34" t="inlineStr">
        <is>
          <t>Participa</t>
        </is>
      </c>
      <c r="J134" s="34" t="inlineStr">
        <is>
          <t>Participa</t>
        </is>
      </c>
      <c r="K134" s="34" t="inlineStr">
        <is>
          <t>Não Participa</t>
        </is>
      </c>
    </row>
    <row r="135">
      <c r="A135" s="18" t="inlineStr">
        <is>
          <t>Aluno 136</t>
        </is>
      </c>
      <c r="B135" s="34" t="inlineStr">
        <is>
          <t>Turma A</t>
        </is>
      </c>
      <c r="C135" s="34" t="inlineStr">
        <is>
          <t>Matutino</t>
        </is>
      </c>
      <c r="D135" s="34" t="inlineStr">
        <is>
          <t>Não Participa</t>
        </is>
      </c>
      <c r="E135" s="34" t="inlineStr">
        <is>
          <t>Não Participa</t>
        </is>
      </c>
      <c r="F135" s="34" t="inlineStr">
        <is>
          <t>Não Participa</t>
        </is>
      </c>
      <c r="G135" s="34" t="inlineStr">
        <is>
          <t>Não Participa</t>
        </is>
      </c>
      <c r="H135" s="34" t="inlineStr">
        <is>
          <t>Não Participa</t>
        </is>
      </c>
      <c r="I135" s="34" t="inlineStr">
        <is>
          <t>Não Participa</t>
        </is>
      </c>
      <c r="J135" s="34" t="inlineStr">
        <is>
          <t>Não Participa</t>
        </is>
      </c>
      <c r="K135" s="34" t="inlineStr">
        <is>
          <t>Não Participa</t>
        </is>
      </c>
    </row>
    <row r="136">
      <c r="A136" s="34" t="inlineStr">
        <is>
          <t>Aluno 137</t>
        </is>
      </c>
      <c r="B136" s="34" t="inlineStr">
        <is>
          <t>Turma E</t>
        </is>
      </c>
      <c r="C136" s="34" t="inlineStr">
        <is>
          <t>Matutino</t>
        </is>
      </c>
      <c r="D136" s="34" t="inlineStr">
        <is>
          <t>Participa</t>
        </is>
      </c>
      <c r="E136" s="34" t="inlineStr">
        <is>
          <t>Participa</t>
        </is>
      </c>
      <c r="F136" s="34" t="inlineStr">
        <is>
          <t>Participa</t>
        </is>
      </c>
      <c r="G136" s="34" t="inlineStr">
        <is>
          <t>Participa</t>
        </is>
      </c>
      <c r="H136" s="34" t="inlineStr">
        <is>
          <t>Participa</t>
        </is>
      </c>
      <c r="I136" s="34" t="inlineStr">
        <is>
          <t>Participa</t>
        </is>
      </c>
      <c r="J136" s="34" t="inlineStr">
        <is>
          <t>Não Participa</t>
        </is>
      </c>
      <c r="K136" s="34" t="inlineStr">
        <is>
          <t>Não Participa</t>
        </is>
      </c>
    </row>
    <row r="137">
      <c r="A137" s="34" t="inlineStr">
        <is>
          <t>Aluno 138</t>
        </is>
      </c>
      <c r="B137" s="34" t="inlineStr">
        <is>
          <t>Turma B1</t>
        </is>
      </c>
      <c r="C137" s="34" t="inlineStr">
        <is>
          <t>Matutino</t>
        </is>
      </c>
      <c r="D137" s="34" t="inlineStr">
        <is>
          <t>Não Participa</t>
        </is>
      </c>
      <c r="E137" s="34" t="inlineStr">
        <is>
          <t>Não Participa</t>
        </is>
      </c>
      <c r="F137" s="34" t="inlineStr">
        <is>
          <t>Não Participa</t>
        </is>
      </c>
      <c r="G137" s="34" t="inlineStr">
        <is>
          <t>Não Participa</t>
        </is>
      </c>
      <c r="H137" s="34" t="inlineStr">
        <is>
          <t>Não Participa</t>
        </is>
      </c>
      <c r="I137" s="34" t="inlineStr">
        <is>
          <t>Não Participa</t>
        </is>
      </c>
      <c r="J137" s="34" t="inlineStr">
        <is>
          <t>Não Participa</t>
        </is>
      </c>
      <c r="K137" s="34" t="inlineStr">
        <is>
          <t>Não Participa</t>
        </is>
      </c>
    </row>
    <row r="138">
      <c r="A138" s="34" t="inlineStr">
        <is>
          <t>Aluno 139</t>
        </is>
      </c>
      <c r="B138" s="34" t="inlineStr">
        <is>
          <t>Turma A</t>
        </is>
      </c>
      <c r="C138" s="34" t="inlineStr">
        <is>
          <t>Vespertino</t>
        </is>
      </c>
      <c r="D138" s="34" t="inlineStr">
        <is>
          <t>Não Participa</t>
        </is>
      </c>
      <c r="E138" s="34" t="inlineStr">
        <is>
          <t>Não Participa</t>
        </is>
      </c>
      <c r="F138" s="34" t="inlineStr">
        <is>
          <t>Participa</t>
        </is>
      </c>
      <c r="G138" s="34" t="inlineStr">
        <is>
          <t>Participa</t>
        </is>
      </c>
      <c r="H138" s="34" t="inlineStr">
        <is>
          <t>Não Participa</t>
        </is>
      </c>
      <c r="I138" s="34" t="inlineStr">
        <is>
          <t>Não Participa</t>
        </is>
      </c>
      <c r="J138" s="34" t="inlineStr">
        <is>
          <t>Não Participa</t>
        </is>
      </c>
      <c r="K138" s="34" t="inlineStr">
        <is>
          <t>Não Participa</t>
        </is>
      </c>
    </row>
    <row r="139">
      <c r="A139" s="34" t="inlineStr">
        <is>
          <t>Aluno 126</t>
        </is>
      </c>
      <c r="B139" s="34" t="inlineStr">
        <is>
          <t>Turma C</t>
        </is>
      </c>
      <c r="C139" s="34" t="inlineStr">
        <is>
          <t>Matutino</t>
        </is>
      </c>
      <c r="D139" s="34" t="inlineStr">
        <is>
          <t>Participa</t>
        </is>
      </c>
      <c r="E139" s="34" t="inlineStr">
        <is>
          <t>Participa</t>
        </is>
      </c>
      <c r="F139" s="34" t="inlineStr">
        <is>
          <t>Participa</t>
        </is>
      </c>
      <c r="G139" s="34" t="inlineStr">
        <is>
          <t>Participa</t>
        </is>
      </c>
      <c r="H139" s="34" t="inlineStr">
        <is>
          <t>Participa</t>
        </is>
      </c>
      <c r="I139" s="34" t="inlineStr">
        <is>
          <t>Não Participa</t>
        </is>
      </c>
      <c r="J139" s="34" t="inlineStr">
        <is>
          <t>Não Participa</t>
        </is>
      </c>
      <c r="K139" s="34" t="inlineStr">
        <is>
          <t>Não Participa</t>
        </is>
      </c>
    </row>
    <row r="140">
      <c r="A140" s="34" t="inlineStr">
        <is>
          <t>Aluno 127</t>
        </is>
      </c>
      <c r="B140" s="34" t="inlineStr">
        <is>
          <t>Turma B1</t>
        </is>
      </c>
      <c r="C140" s="34" t="inlineStr">
        <is>
          <t>Matutino</t>
        </is>
      </c>
      <c r="D140" s="34" t="inlineStr">
        <is>
          <t>Participa</t>
        </is>
      </c>
      <c r="E140" s="34" t="inlineStr">
        <is>
          <t>Não Participa</t>
        </is>
      </c>
      <c r="F140" s="34" t="inlineStr">
        <is>
          <t>Não Participa</t>
        </is>
      </c>
      <c r="G140" s="34" t="inlineStr">
        <is>
          <t>Não Participa</t>
        </is>
      </c>
      <c r="H140" s="34" t="inlineStr">
        <is>
          <t>Não Participa</t>
        </is>
      </c>
      <c r="I140" s="34" t="inlineStr">
        <is>
          <t>Não Participa</t>
        </is>
      </c>
      <c r="J140" s="34" t="inlineStr">
        <is>
          <t>Não Participa</t>
        </is>
      </c>
      <c r="K140" s="34" t="inlineStr">
        <is>
          <t>Não Participa</t>
        </is>
      </c>
    </row>
    <row r="141">
      <c r="A141" s="18" t="inlineStr">
        <is>
          <t>Aluno 128</t>
        </is>
      </c>
      <c r="B141" s="34" t="inlineStr">
        <is>
          <t>Turma C</t>
        </is>
      </c>
      <c r="C141" s="34" t="inlineStr">
        <is>
          <t>Vespertino</t>
        </is>
      </c>
      <c r="D141" s="34" t="inlineStr">
        <is>
          <t>Não Participa</t>
        </is>
      </c>
      <c r="E141" s="34" t="inlineStr">
        <is>
          <t>Não Participa</t>
        </is>
      </c>
      <c r="F141" s="34" t="inlineStr">
        <is>
          <t>Não Participa</t>
        </is>
      </c>
      <c r="G141" s="34" t="inlineStr">
        <is>
          <t>Não Participa</t>
        </is>
      </c>
      <c r="H141" s="34" t="inlineStr">
        <is>
          <t>Não Participa</t>
        </is>
      </c>
      <c r="I141" s="34" t="inlineStr">
        <is>
          <t>Não Participa</t>
        </is>
      </c>
      <c r="J141" s="34" t="inlineStr">
        <is>
          <t>Não Participa</t>
        </is>
      </c>
      <c r="K141" s="34" t="inlineStr">
        <is>
          <t>Não Participa</t>
        </is>
      </c>
    </row>
    <row r="142">
      <c r="A142" s="34" t="inlineStr">
        <is>
          <t>Aluno 129</t>
        </is>
      </c>
      <c r="B142" s="34" t="inlineStr">
        <is>
          <t>Turma B2</t>
        </is>
      </c>
      <c r="C142" s="34" t="inlineStr">
        <is>
          <t>Vespertino</t>
        </is>
      </c>
      <c r="D142" s="34" t="inlineStr">
        <is>
          <t>Participa</t>
        </is>
      </c>
      <c r="E142" s="34" t="inlineStr">
        <is>
          <t>Participa</t>
        </is>
      </c>
      <c r="F142" s="34" t="inlineStr">
        <is>
          <t>Participa</t>
        </is>
      </c>
      <c r="G142" s="34" t="inlineStr">
        <is>
          <t>Participa</t>
        </is>
      </c>
      <c r="H142" s="34" t="inlineStr">
        <is>
          <t>Participa</t>
        </is>
      </c>
      <c r="I142" s="34" t="inlineStr">
        <is>
          <t>Não Participa</t>
        </is>
      </c>
      <c r="J142" s="34" t="inlineStr">
        <is>
          <t>Não Participa</t>
        </is>
      </c>
      <c r="K142" s="34" t="inlineStr">
        <is>
          <t>Não Participa</t>
        </is>
      </c>
    </row>
    <row r="143">
      <c r="A143" s="34" t="inlineStr">
        <is>
          <t>Aluno 130</t>
        </is>
      </c>
      <c r="B143" s="34" t="inlineStr">
        <is>
          <t>Turma C</t>
        </is>
      </c>
      <c r="C143" s="34" t="inlineStr">
        <is>
          <t>Matutino</t>
        </is>
      </c>
      <c r="D143" s="34" t="inlineStr">
        <is>
          <t>Não Participa</t>
        </is>
      </c>
      <c r="E143" s="34" t="inlineStr">
        <is>
          <t>Participa</t>
        </is>
      </c>
      <c r="F143" s="34" t="inlineStr">
        <is>
          <t>Participa</t>
        </is>
      </c>
      <c r="G143" s="34" t="inlineStr">
        <is>
          <t>Não Participa</t>
        </is>
      </c>
      <c r="H143" s="34" t="inlineStr">
        <is>
          <t>Não Participa</t>
        </is>
      </c>
      <c r="I143" s="34" t="inlineStr">
        <is>
          <t>Não Participa</t>
        </is>
      </c>
      <c r="J143" s="34" t="inlineStr">
        <is>
          <t>Não Participa</t>
        </is>
      </c>
      <c r="K143" s="34" t="inlineStr">
        <is>
          <t>Não Participa</t>
        </is>
      </c>
    </row>
    <row r="144">
      <c r="A144" s="34" t="inlineStr">
        <is>
          <t>Aluno 140</t>
        </is>
      </c>
      <c r="B144" s="34" t="inlineStr">
        <is>
          <t>Turma A</t>
        </is>
      </c>
      <c r="C144" s="34" t="inlineStr">
        <is>
          <t>Matutino</t>
        </is>
      </c>
      <c r="D144" s="34" t="inlineStr">
        <is>
          <t>Participa</t>
        </is>
      </c>
      <c r="E144" s="34" t="inlineStr">
        <is>
          <t>Participa</t>
        </is>
      </c>
      <c r="F144" s="34" t="inlineStr">
        <is>
          <t>Participa</t>
        </is>
      </c>
      <c r="G144" s="34" t="inlineStr">
        <is>
          <t>Participa</t>
        </is>
      </c>
      <c r="H144" s="34" t="inlineStr">
        <is>
          <t>Não Participa</t>
        </is>
      </c>
      <c r="I144" s="34" t="inlineStr">
        <is>
          <t>Não Participa</t>
        </is>
      </c>
      <c r="J144" s="34" t="inlineStr">
        <is>
          <t>Participa</t>
        </is>
      </c>
      <c r="K144" s="34" t="inlineStr">
        <is>
          <t>Participa</t>
        </is>
      </c>
    </row>
    <row r="145">
      <c r="A145" s="34" t="inlineStr">
        <is>
          <t>Aluno 141</t>
        </is>
      </c>
      <c r="B145" s="34" t="inlineStr">
        <is>
          <t>Turma E</t>
        </is>
      </c>
      <c r="C145" s="34" t="inlineStr">
        <is>
          <t>Vespertino</t>
        </is>
      </c>
      <c r="D145" s="34" t="inlineStr">
        <is>
          <t>Não Participa</t>
        </is>
      </c>
      <c r="E145" s="34" t="inlineStr">
        <is>
          <t>Não Participa</t>
        </is>
      </c>
      <c r="F145" s="34" t="inlineStr">
        <is>
          <t>Não Participa</t>
        </is>
      </c>
      <c r="G145" s="34" t="inlineStr">
        <is>
          <t>Não Participa</t>
        </is>
      </c>
      <c r="H145" s="34" t="inlineStr">
        <is>
          <t>Participa</t>
        </is>
      </c>
      <c r="I145" s="34" t="inlineStr">
        <is>
          <t>Participa</t>
        </is>
      </c>
      <c r="J145" s="34" t="inlineStr">
        <is>
          <t>Não Participa</t>
        </is>
      </c>
      <c r="K145" s="34" t="inlineStr">
        <is>
          <t>Não Participa</t>
        </is>
      </c>
    </row>
    <row r="146">
      <c r="A146" s="18" t="inlineStr">
        <is>
          <t>Aluno 142</t>
        </is>
      </c>
      <c r="B146" s="34" t="inlineStr">
        <is>
          <t>Turma GR</t>
        </is>
      </c>
      <c r="C146" s="34" t="inlineStr">
        <is>
          <t>Vespertino</t>
        </is>
      </c>
      <c r="D146" s="34" t="inlineStr">
        <is>
          <t>Não Participa</t>
        </is>
      </c>
      <c r="E146" s="34" t="inlineStr">
        <is>
          <t>Não Participa</t>
        </is>
      </c>
      <c r="F146" s="34" t="inlineStr">
        <is>
          <t>Não Participa</t>
        </is>
      </c>
      <c r="G146" s="34" t="inlineStr">
        <is>
          <t>Não Participa</t>
        </is>
      </c>
      <c r="H146" s="34" t="inlineStr">
        <is>
          <t>Não Participa</t>
        </is>
      </c>
      <c r="I146" s="34" t="inlineStr">
        <is>
          <t>Não Participa</t>
        </is>
      </c>
      <c r="J146" s="34" t="inlineStr">
        <is>
          <t>Não Participa</t>
        </is>
      </c>
      <c r="K146" s="34" t="inlineStr">
        <is>
          <t>Não Participa</t>
        </is>
      </c>
    </row>
    <row r="147">
      <c r="A147" s="34" t="inlineStr">
        <is>
          <t>Aluno 143</t>
        </is>
      </c>
      <c r="B147" s="34" t="inlineStr">
        <is>
          <t>Turma B2</t>
        </is>
      </c>
      <c r="C147" s="34" t="inlineStr">
        <is>
          <t>Vespertino</t>
        </is>
      </c>
      <c r="D147" s="34" t="inlineStr">
        <is>
          <t>Participa</t>
        </is>
      </c>
      <c r="E147" s="34" t="inlineStr">
        <is>
          <t>Participa</t>
        </is>
      </c>
      <c r="F147" s="34" t="inlineStr">
        <is>
          <t>Participa</t>
        </is>
      </c>
      <c r="G147" s="34" t="inlineStr">
        <is>
          <t>Participa</t>
        </is>
      </c>
      <c r="H147" s="34" t="inlineStr">
        <is>
          <t>Não Participa</t>
        </is>
      </c>
      <c r="I147" s="34" t="inlineStr">
        <is>
          <t>Não Participa</t>
        </is>
      </c>
      <c r="J147" s="34" t="inlineStr">
        <is>
          <t>Não Participa</t>
        </is>
      </c>
      <c r="K147" s="34" t="inlineStr">
        <is>
          <t>Não Participa</t>
        </is>
      </c>
    </row>
    <row r="148">
      <c r="A148" s="18" t="inlineStr">
        <is>
          <t>Aluno 144</t>
        </is>
      </c>
      <c r="B148" s="34" t="inlineStr">
        <is>
          <t>Turma B2</t>
        </is>
      </c>
      <c r="C148" s="34" t="inlineStr">
        <is>
          <t>Matutino</t>
        </is>
      </c>
      <c r="D148" s="34" t="inlineStr">
        <is>
          <t>Não Participa</t>
        </is>
      </c>
      <c r="E148" s="34" t="inlineStr">
        <is>
          <t>Não Participa</t>
        </is>
      </c>
      <c r="F148" s="34" t="inlineStr">
        <is>
          <t>Não Participa</t>
        </is>
      </c>
      <c r="G148" s="34" t="inlineStr">
        <is>
          <t>Não Participa</t>
        </is>
      </c>
      <c r="H148" s="34" t="inlineStr">
        <is>
          <t>Não Participa</t>
        </is>
      </c>
      <c r="I148" s="34" t="inlineStr">
        <is>
          <t>Não Participa</t>
        </is>
      </c>
      <c r="J148" s="34" t="inlineStr">
        <is>
          <t>Não Participa</t>
        </is>
      </c>
      <c r="K148" s="34" t="inlineStr">
        <is>
          <t>Não Participa</t>
        </is>
      </c>
    </row>
    <row r="149">
      <c r="A149" s="18" t="inlineStr">
        <is>
          <t>Aluno 145</t>
        </is>
      </c>
      <c r="B149" s="34" t="inlineStr">
        <is>
          <t>Turma D</t>
        </is>
      </c>
      <c r="C149" s="34" t="inlineStr">
        <is>
          <t>Matutino</t>
        </is>
      </c>
      <c r="D149" s="34" t="inlineStr">
        <is>
          <t>Não Participa</t>
        </is>
      </c>
      <c r="E149" s="34" t="inlineStr">
        <is>
          <t>Não Participa</t>
        </is>
      </c>
      <c r="F149" s="34" t="inlineStr">
        <is>
          <t>Não Participa</t>
        </is>
      </c>
      <c r="G149" s="34" t="inlineStr">
        <is>
          <t>Não Participa</t>
        </is>
      </c>
      <c r="H149" s="34" t="inlineStr">
        <is>
          <t>Não Participa</t>
        </is>
      </c>
      <c r="I149" s="34" t="inlineStr">
        <is>
          <t>Não Participa</t>
        </is>
      </c>
      <c r="J149" s="34" t="inlineStr">
        <is>
          <t>Não Participa</t>
        </is>
      </c>
      <c r="K149" s="34" t="inlineStr">
        <is>
          <t>Não Participa</t>
        </is>
      </c>
    </row>
    <row r="150">
      <c r="A150" s="18" t="inlineStr">
        <is>
          <t>Aluno 146</t>
        </is>
      </c>
      <c r="B150" s="34" t="inlineStr">
        <is>
          <t>Turma B2</t>
        </is>
      </c>
      <c r="C150" s="34" t="inlineStr">
        <is>
          <t>Matutino</t>
        </is>
      </c>
      <c r="D150" s="34" t="inlineStr">
        <is>
          <t>Não Participa</t>
        </is>
      </c>
      <c r="E150" s="34" t="inlineStr">
        <is>
          <t>Não Participa</t>
        </is>
      </c>
      <c r="F150" s="34" t="inlineStr">
        <is>
          <t>Não Participa</t>
        </is>
      </c>
      <c r="G150" s="34" t="inlineStr">
        <is>
          <t>Não Participa</t>
        </is>
      </c>
      <c r="H150" s="34" t="inlineStr">
        <is>
          <t>Não Participa</t>
        </is>
      </c>
      <c r="I150" s="34" t="inlineStr">
        <is>
          <t>Não Participa</t>
        </is>
      </c>
      <c r="J150" s="34" t="inlineStr">
        <is>
          <t>Não Participa</t>
        </is>
      </c>
      <c r="K150" s="34" t="inlineStr">
        <is>
          <t>Não Participa</t>
        </is>
      </c>
    </row>
    <row r="151">
      <c r="A151" s="18" t="inlineStr">
        <is>
          <t>Aluno 147</t>
        </is>
      </c>
      <c r="B151" s="34" t="inlineStr">
        <is>
          <t>Turma B1</t>
        </is>
      </c>
      <c r="C151" s="34" t="inlineStr">
        <is>
          <t>Vespertino</t>
        </is>
      </c>
      <c r="D151" s="34" t="inlineStr">
        <is>
          <t>Não Participa</t>
        </is>
      </c>
      <c r="E151" s="34" t="inlineStr">
        <is>
          <t>Não Participa</t>
        </is>
      </c>
      <c r="F151" s="34" t="inlineStr">
        <is>
          <t>Não Participa</t>
        </is>
      </c>
      <c r="G151" s="34" t="inlineStr">
        <is>
          <t>Não Participa</t>
        </is>
      </c>
      <c r="H151" s="34" t="inlineStr">
        <is>
          <t>Não Participa</t>
        </is>
      </c>
      <c r="I151" s="34" t="inlineStr">
        <is>
          <t>Não Participa</t>
        </is>
      </c>
      <c r="J151" s="34" t="inlineStr">
        <is>
          <t>Não Participa</t>
        </is>
      </c>
      <c r="K151" s="34" t="inlineStr">
        <is>
          <t>Não Participa</t>
        </is>
      </c>
    </row>
    <row r="152">
      <c r="A152" s="34" t="inlineStr">
        <is>
          <t>Aluno 148</t>
        </is>
      </c>
      <c r="B152" s="34" t="inlineStr">
        <is>
          <t>Turma A</t>
        </is>
      </c>
      <c r="C152" s="34" t="inlineStr">
        <is>
          <t>Matutino</t>
        </is>
      </c>
      <c r="D152" s="34" t="inlineStr">
        <is>
          <t>Não Participa</t>
        </is>
      </c>
      <c r="E152" s="34" t="inlineStr">
        <is>
          <t>Não Participa</t>
        </is>
      </c>
      <c r="F152" s="34" t="inlineStr">
        <is>
          <t>Participa</t>
        </is>
      </c>
      <c r="G152" s="34" t="inlineStr">
        <is>
          <t>Participa</t>
        </is>
      </c>
      <c r="H152" s="34" t="inlineStr">
        <is>
          <t>Não Participa</t>
        </is>
      </c>
      <c r="I152" s="34" t="inlineStr">
        <is>
          <t>Não Participa</t>
        </is>
      </c>
      <c r="J152" s="34" t="inlineStr">
        <is>
          <t>Participa</t>
        </is>
      </c>
      <c r="K152" s="34" t="inlineStr">
        <is>
          <t>Participa</t>
        </is>
      </c>
    </row>
    <row r="153">
      <c r="A153" s="34" t="inlineStr">
        <is>
          <t>Aluno 149</t>
        </is>
      </c>
      <c r="B153" s="34" t="inlineStr">
        <is>
          <t>Turma C</t>
        </is>
      </c>
      <c r="C153" s="34" t="inlineStr">
        <is>
          <t>Matutino</t>
        </is>
      </c>
      <c r="D153" s="34" t="inlineStr">
        <is>
          <t>Participa</t>
        </is>
      </c>
      <c r="E153" s="34" t="inlineStr">
        <is>
          <t>Não Participa</t>
        </is>
      </c>
      <c r="F153" s="34" t="inlineStr">
        <is>
          <t>Participa</t>
        </is>
      </c>
      <c r="G153" s="34" t="inlineStr">
        <is>
          <t>Participa</t>
        </is>
      </c>
      <c r="H153" s="34" t="inlineStr">
        <is>
          <t>Participa</t>
        </is>
      </c>
      <c r="I153" s="34" t="inlineStr">
        <is>
          <t>Não Participa</t>
        </is>
      </c>
      <c r="J153" s="34" t="inlineStr">
        <is>
          <t>Participa</t>
        </is>
      </c>
      <c r="K153" s="34" t="inlineStr">
        <is>
          <t>Não Participa</t>
        </is>
      </c>
    </row>
    <row r="154">
      <c r="A154" s="18" t="inlineStr">
        <is>
          <t>Aluno 150</t>
        </is>
      </c>
      <c r="B154" s="34" t="inlineStr">
        <is>
          <t>Turma A</t>
        </is>
      </c>
      <c r="C154" s="34" t="inlineStr">
        <is>
          <t>Matutino</t>
        </is>
      </c>
      <c r="D154" s="34" t="inlineStr">
        <is>
          <t>Não Participa</t>
        </is>
      </c>
      <c r="E154" s="34" t="inlineStr">
        <is>
          <t>Não Participa</t>
        </is>
      </c>
      <c r="F154" s="34" t="inlineStr">
        <is>
          <t>Não Participa</t>
        </is>
      </c>
      <c r="G154" s="34" t="inlineStr">
        <is>
          <t>Não Participa</t>
        </is>
      </c>
      <c r="H154" s="34" t="inlineStr">
        <is>
          <t>Não Participa</t>
        </is>
      </c>
      <c r="I154" s="34" t="inlineStr">
        <is>
          <t>Não Participa</t>
        </is>
      </c>
      <c r="J154" s="34" t="inlineStr">
        <is>
          <t>Não Participa</t>
        </is>
      </c>
      <c r="K154" s="34" t="inlineStr">
        <is>
          <t>Não Participa</t>
        </is>
      </c>
    </row>
    <row r="155">
      <c r="A155" s="18" t="inlineStr">
        <is>
          <t>Aluno 151</t>
        </is>
      </c>
      <c r="B155" s="34" t="inlineStr">
        <is>
          <t>Turma A</t>
        </is>
      </c>
      <c r="C155" s="34" t="inlineStr">
        <is>
          <t>Vespertino</t>
        </is>
      </c>
      <c r="D155" s="34" t="inlineStr">
        <is>
          <t>Não Participa</t>
        </is>
      </c>
      <c r="E155" s="34" t="inlineStr">
        <is>
          <t>Não Participa</t>
        </is>
      </c>
      <c r="F155" s="34" t="inlineStr">
        <is>
          <t>Não Participa</t>
        </is>
      </c>
      <c r="G155" s="34" t="inlineStr">
        <is>
          <t>Não Participa</t>
        </is>
      </c>
      <c r="H155" s="34" t="inlineStr">
        <is>
          <t>Não Participa</t>
        </is>
      </c>
      <c r="I155" s="34" t="inlineStr">
        <is>
          <t>Não Participa</t>
        </is>
      </c>
      <c r="J155" s="34" t="inlineStr">
        <is>
          <t>Não Participa</t>
        </is>
      </c>
      <c r="K155" s="34" t="inlineStr">
        <is>
          <t>Não Participa</t>
        </is>
      </c>
    </row>
    <row r="156">
      <c r="A156" s="34" t="inlineStr">
        <is>
          <t>Aluno 152</t>
        </is>
      </c>
      <c r="B156" s="34" t="inlineStr">
        <is>
          <t>Turma E</t>
        </is>
      </c>
      <c r="C156" s="34" t="inlineStr">
        <is>
          <t>Vespertino</t>
        </is>
      </c>
      <c r="D156" s="34" t="inlineStr">
        <is>
          <t>Participa</t>
        </is>
      </c>
      <c r="E156" s="34" t="inlineStr">
        <is>
          <t>Participa</t>
        </is>
      </c>
      <c r="F156" s="34" t="inlineStr">
        <is>
          <t>Não Participa</t>
        </is>
      </c>
      <c r="G156" s="34" t="inlineStr">
        <is>
          <t>Participa</t>
        </is>
      </c>
      <c r="H156" s="34" t="inlineStr">
        <is>
          <t>Participa</t>
        </is>
      </c>
      <c r="I156" s="34" t="inlineStr">
        <is>
          <t>Participa</t>
        </is>
      </c>
      <c r="J156" s="34" t="inlineStr">
        <is>
          <t>Participa</t>
        </is>
      </c>
      <c r="K156" s="34" t="inlineStr">
        <is>
          <t>Não Participa</t>
        </is>
      </c>
    </row>
    <row r="157">
      <c r="A157" s="18" t="inlineStr">
        <is>
          <t>Aluno 153</t>
        </is>
      </c>
      <c r="B157" s="34" t="inlineStr">
        <is>
          <t>Turma A</t>
        </is>
      </c>
      <c r="C157" s="34" t="inlineStr">
        <is>
          <t>Vespertino</t>
        </is>
      </c>
      <c r="D157" s="34" t="inlineStr">
        <is>
          <t>Não Participa</t>
        </is>
      </c>
      <c r="E157" s="34" t="inlineStr">
        <is>
          <t>Não Participa</t>
        </is>
      </c>
      <c r="F157" s="34" t="inlineStr">
        <is>
          <t>Não Participa</t>
        </is>
      </c>
      <c r="G157" s="34" t="inlineStr">
        <is>
          <t>Não Participa</t>
        </is>
      </c>
      <c r="H157" s="34" t="inlineStr">
        <is>
          <t>Não Participa</t>
        </is>
      </c>
      <c r="I157" s="34" t="inlineStr">
        <is>
          <t>Não Participa</t>
        </is>
      </c>
      <c r="J157" s="34" t="inlineStr">
        <is>
          <t>Não Participa</t>
        </is>
      </c>
      <c r="K157" s="34" t="inlineStr">
        <is>
          <t>Não Participa</t>
        </is>
      </c>
    </row>
    <row r="158">
      <c r="A158" s="18" t="inlineStr">
        <is>
          <t>Aluno 154</t>
        </is>
      </c>
      <c r="B158" s="34" t="inlineStr">
        <is>
          <t>Turma A</t>
        </is>
      </c>
      <c r="C158" s="34" t="inlineStr">
        <is>
          <t>Matutino</t>
        </is>
      </c>
      <c r="D158" s="34" t="inlineStr">
        <is>
          <t>Não Participa</t>
        </is>
      </c>
      <c r="E158" s="34" t="inlineStr">
        <is>
          <t>Não Participa</t>
        </is>
      </c>
      <c r="F158" s="34" t="inlineStr">
        <is>
          <t>Não Participa</t>
        </is>
      </c>
      <c r="G158" s="34" t="inlineStr">
        <is>
          <t>Não Participa</t>
        </is>
      </c>
      <c r="H158" s="34" t="inlineStr">
        <is>
          <t>Não Participa</t>
        </is>
      </c>
      <c r="I158" s="34" t="inlineStr">
        <is>
          <t>Não Participa</t>
        </is>
      </c>
      <c r="J158" s="34" t="inlineStr">
        <is>
          <t>Não Participa</t>
        </is>
      </c>
      <c r="K158" s="34" t="inlineStr">
        <is>
          <t>Não Participa</t>
        </is>
      </c>
    </row>
    <row r="159">
      <c r="A159" s="34" t="inlineStr">
        <is>
          <t>Aluno 155</t>
        </is>
      </c>
      <c r="B159" s="34" t="inlineStr">
        <is>
          <t>Turma C</t>
        </is>
      </c>
      <c r="C159" s="34" t="inlineStr">
        <is>
          <t>Vespertino</t>
        </is>
      </c>
      <c r="D159" s="34" t="inlineStr">
        <is>
          <t>Não Participa</t>
        </is>
      </c>
      <c r="E159" s="34" t="inlineStr">
        <is>
          <t>Não Participa</t>
        </is>
      </c>
      <c r="F159" s="34" t="inlineStr">
        <is>
          <t>Participa</t>
        </is>
      </c>
      <c r="G159" s="34" t="inlineStr">
        <is>
          <t>Participa</t>
        </is>
      </c>
      <c r="H159" s="34" t="inlineStr">
        <is>
          <t>Não Participa</t>
        </is>
      </c>
      <c r="I159" s="34" t="inlineStr">
        <is>
          <t>Não Participa</t>
        </is>
      </c>
      <c r="J159" s="34" t="inlineStr">
        <is>
          <t>Não Participa</t>
        </is>
      </c>
      <c r="K159" s="34" t="inlineStr">
        <is>
          <t>Não Participa</t>
        </is>
      </c>
    </row>
    <row r="160">
      <c r="A160" s="34" t="inlineStr">
        <is>
          <t>Aluno 156</t>
        </is>
      </c>
      <c r="B160" s="34" t="inlineStr">
        <is>
          <t>Turma E</t>
        </is>
      </c>
      <c r="C160" s="34" t="inlineStr">
        <is>
          <t>Matutino</t>
        </is>
      </c>
      <c r="D160" s="34" t="inlineStr">
        <is>
          <t>Participa</t>
        </is>
      </c>
      <c r="E160" s="34" t="inlineStr">
        <is>
          <t>Participa</t>
        </is>
      </c>
      <c r="F160" s="34" t="inlineStr">
        <is>
          <t>Participa</t>
        </is>
      </c>
      <c r="G160" s="34" t="inlineStr">
        <is>
          <t>Participa</t>
        </is>
      </c>
      <c r="H160" s="34" t="inlineStr">
        <is>
          <t>Não Participa</t>
        </is>
      </c>
      <c r="I160" s="34" t="inlineStr">
        <is>
          <t>Participa</t>
        </is>
      </c>
      <c r="J160" s="34" t="inlineStr">
        <is>
          <t>Participa</t>
        </is>
      </c>
      <c r="K160" s="34" t="inlineStr">
        <is>
          <t>Não Participa</t>
        </is>
      </c>
    </row>
    <row r="161">
      <c r="A161" s="34" t="inlineStr">
        <is>
          <t>Aluno 157</t>
        </is>
      </c>
      <c r="B161" s="34" t="inlineStr">
        <is>
          <t>Turma E</t>
        </is>
      </c>
      <c r="C161" s="34" t="inlineStr">
        <is>
          <t>Matutino</t>
        </is>
      </c>
      <c r="D161" s="34" t="inlineStr">
        <is>
          <t>Não Participa</t>
        </is>
      </c>
      <c r="E161" s="34" t="inlineStr">
        <is>
          <t>Não Participa</t>
        </is>
      </c>
      <c r="F161" s="34" t="inlineStr">
        <is>
          <t>Participa</t>
        </is>
      </c>
      <c r="G161" s="34" t="inlineStr">
        <is>
          <t>Participa</t>
        </is>
      </c>
      <c r="H161" s="34" t="inlineStr">
        <is>
          <t>Não Participa</t>
        </is>
      </c>
      <c r="I161" s="34" t="inlineStr">
        <is>
          <t>Participa</t>
        </is>
      </c>
      <c r="J161" s="34" t="inlineStr">
        <is>
          <t>Não Participa</t>
        </is>
      </c>
      <c r="K161" s="34" t="inlineStr">
        <is>
          <t>Não Participa</t>
        </is>
      </c>
    </row>
    <row r="162">
      <c r="A162" s="18" t="inlineStr">
        <is>
          <t>Aluno 158</t>
        </is>
      </c>
      <c r="B162" s="34" t="inlineStr">
        <is>
          <t>Turma GR</t>
        </is>
      </c>
      <c r="C162" s="34" t="inlineStr">
        <is>
          <t>Vespertino</t>
        </is>
      </c>
      <c r="D162" s="34" t="inlineStr">
        <is>
          <t>Não Participa</t>
        </is>
      </c>
      <c r="E162" s="34" t="inlineStr">
        <is>
          <t>Não Participa</t>
        </is>
      </c>
      <c r="F162" s="34" t="inlineStr">
        <is>
          <t>Não Participa</t>
        </is>
      </c>
      <c r="G162" s="34" t="inlineStr">
        <is>
          <t>Não Participa</t>
        </is>
      </c>
      <c r="H162" s="34" t="inlineStr">
        <is>
          <t>Não Participa</t>
        </is>
      </c>
      <c r="I162" s="34" t="inlineStr">
        <is>
          <t>Não Participa</t>
        </is>
      </c>
      <c r="J162" s="34" t="inlineStr">
        <is>
          <t>Não Participa</t>
        </is>
      </c>
      <c r="K162" s="34" t="inlineStr">
        <is>
          <t>Não Participa</t>
        </is>
      </c>
    </row>
    <row r="163">
      <c r="A163" s="34" t="inlineStr">
        <is>
          <t>Aluno 159</t>
        </is>
      </c>
      <c r="B163" s="34" t="inlineStr">
        <is>
          <t>Turma C</t>
        </is>
      </c>
      <c r="C163" s="34" t="inlineStr">
        <is>
          <t>Matutino</t>
        </is>
      </c>
      <c r="D163" s="34" t="inlineStr">
        <is>
          <t>Não Participa</t>
        </is>
      </c>
      <c r="E163" s="34" t="inlineStr">
        <is>
          <t>Não Participa</t>
        </is>
      </c>
      <c r="F163" s="34" t="inlineStr">
        <is>
          <t>Participa</t>
        </is>
      </c>
      <c r="G163" s="34" t="inlineStr">
        <is>
          <t>Não Participa</t>
        </is>
      </c>
      <c r="H163" s="34" t="inlineStr">
        <is>
          <t>Não Participa</t>
        </is>
      </c>
      <c r="I163" s="34" t="inlineStr">
        <is>
          <t>Não Participa</t>
        </is>
      </c>
      <c r="J163" s="34" t="inlineStr">
        <is>
          <t>Não Participa</t>
        </is>
      </c>
      <c r="K163" s="34" t="inlineStr">
        <is>
          <t>Não Participa</t>
        </is>
      </c>
    </row>
    <row r="164">
      <c r="A164" s="34" t="inlineStr">
        <is>
          <t>Aluno 160</t>
        </is>
      </c>
      <c r="B164" s="34" t="inlineStr">
        <is>
          <t>Turma A</t>
        </is>
      </c>
      <c r="C164" s="34" t="inlineStr">
        <is>
          <t>Vespertino</t>
        </is>
      </c>
      <c r="D164" s="34" t="inlineStr">
        <is>
          <t>Não Participa</t>
        </is>
      </c>
      <c r="E164" s="34" t="inlineStr">
        <is>
          <t>Não Participa</t>
        </is>
      </c>
      <c r="F164" s="34" t="inlineStr">
        <is>
          <t>Não Participa</t>
        </is>
      </c>
      <c r="G164" s="34" t="inlineStr">
        <is>
          <t>Participa</t>
        </is>
      </c>
      <c r="H164" s="34" t="inlineStr">
        <is>
          <t>Não Participa</t>
        </is>
      </c>
      <c r="I164" s="34" t="inlineStr">
        <is>
          <t>Não Participa</t>
        </is>
      </c>
      <c r="J164" s="34" t="inlineStr">
        <is>
          <t>Não Participa</t>
        </is>
      </c>
      <c r="K164" s="34" t="inlineStr">
        <is>
          <t>Não Participa</t>
        </is>
      </c>
    </row>
    <row r="165">
      <c r="A165" s="18" t="inlineStr">
        <is>
          <t>Aluno 161</t>
        </is>
      </c>
      <c r="B165" s="34" t="inlineStr">
        <is>
          <t>Turma B2</t>
        </is>
      </c>
      <c r="C165" s="34" t="inlineStr">
        <is>
          <t>Matutino</t>
        </is>
      </c>
      <c r="D165" s="34" t="inlineStr">
        <is>
          <t>Não Participa</t>
        </is>
      </c>
      <c r="E165" s="34" t="inlineStr">
        <is>
          <t>Não Participa</t>
        </is>
      </c>
      <c r="F165" s="34" t="inlineStr">
        <is>
          <t>Não Participa</t>
        </is>
      </c>
      <c r="G165" s="34" t="inlineStr">
        <is>
          <t>Não Participa</t>
        </is>
      </c>
      <c r="H165" s="34" t="inlineStr">
        <is>
          <t>Não Participa</t>
        </is>
      </c>
      <c r="I165" s="34" t="inlineStr">
        <is>
          <t>Não Participa</t>
        </is>
      </c>
      <c r="J165" s="34" t="inlineStr">
        <is>
          <t>Não Participa</t>
        </is>
      </c>
      <c r="K165" s="34" t="inlineStr">
        <is>
          <t>Não Participa</t>
        </is>
      </c>
    </row>
    <row r="166">
      <c r="A166" s="34" t="inlineStr">
        <is>
          <t>Aluno 162</t>
        </is>
      </c>
      <c r="B166" s="34" t="inlineStr">
        <is>
          <t>Turma B2</t>
        </is>
      </c>
      <c r="C166" s="34" t="inlineStr">
        <is>
          <t>Vespertino</t>
        </is>
      </c>
      <c r="D166" s="34" t="inlineStr">
        <is>
          <t>Participa</t>
        </is>
      </c>
      <c r="E166" s="34" t="inlineStr">
        <is>
          <t>Participa</t>
        </is>
      </c>
      <c r="F166" s="34" t="inlineStr">
        <is>
          <t>Participa</t>
        </is>
      </c>
      <c r="G166" s="34" t="inlineStr">
        <is>
          <t>Não Participa</t>
        </is>
      </c>
      <c r="H166" s="34" t="inlineStr">
        <is>
          <t>Participa</t>
        </is>
      </c>
      <c r="I166" s="34" t="inlineStr">
        <is>
          <t>Não Participa</t>
        </is>
      </c>
      <c r="J166" s="34" t="inlineStr">
        <is>
          <t>Não Participa</t>
        </is>
      </c>
      <c r="K166" s="34" t="inlineStr">
        <is>
          <t>Não Participa</t>
        </is>
      </c>
    </row>
    <row r="167">
      <c r="A167" s="34" t="inlineStr">
        <is>
          <t>Aluno 163</t>
        </is>
      </c>
      <c r="B167" s="34" t="inlineStr">
        <is>
          <t>Turma D</t>
        </is>
      </c>
      <c r="C167" s="34" t="inlineStr">
        <is>
          <t>Vespertino</t>
        </is>
      </c>
      <c r="D167" s="34" t="inlineStr">
        <is>
          <t>Não Participa</t>
        </is>
      </c>
      <c r="E167" s="34" t="inlineStr">
        <is>
          <t>Não Participa</t>
        </is>
      </c>
      <c r="F167" s="34" t="inlineStr">
        <is>
          <t>Participa</t>
        </is>
      </c>
      <c r="G167" s="34" t="inlineStr">
        <is>
          <t>Participa</t>
        </is>
      </c>
      <c r="H167" s="34" t="inlineStr">
        <is>
          <t>Participa</t>
        </is>
      </c>
      <c r="I167" s="34" t="inlineStr">
        <is>
          <t>Não Participa</t>
        </is>
      </c>
      <c r="J167" s="34" t="inlineStr">
        <is>
          <t>Não Participa</t>
        </is>
      </c>
      <c r="K167" s="34" t="inlineStr">
        <is>
          <t>Não Participa</t>
        </is>
      </c>
    </row>
    <row r="168">
      <c r="A168" s="34" t="inlineStr">
        <is>
          <t>Aluno 164</t>
        </is>
      </c>
      <c r="B168" s="34" t="inlineStr">
        <is>
          <t>Turma D</t>
        </is>
      </c>
      <c r="C168" s="34" t="inlineStr">
        <is>
          <t>Matutino</t>
        </is>
      </c>
      <c r="D168" s="34" t="inlineStr">
        <is>
          <t>Participa</t>
        </is>
      </c>
      <c r="E168" s="34" t="inlineStr">
        <is>
          <t>Participa</t>
        </is>
      </c>
      <c r="F168" s="34" t="inlineStr">
        <is>
          <t>Participa</t>
        </is>
      </c>
      <c r="G168" s="34" t="inlineStr">
        <is>
          <t>Participa</t>
        </is>
      </c>
      <c r="H168" s="34" t="inlineStr">
        <is>
          <t>Participa</t>
        </is>
      </c>
      <c r="I168" s="34" t="inlineStr">
        <is>
          <t>Não Participa</t>
        </is>
      </c>
      <c r="J168" s="34" t="inlineStr">
        <is>
          <t>Não Participa</t>
        </is>
      </c>
      <c r="K168" s="34" t="inlineStr">
        <is>
          <t>Não Participa</t>
        </is>
      </c>
    </row>
    <row r="169">
      <c r="A169" s="34" t="inlineStr">
        <is>
          <t>Aluno 165</t>
        </is>
      </c>
      <c r="B169" s="34" t="inlineStr">
        <is>
          <t>Turma D</t>
        </is>
      </c>
      <c r="C169" s="34" t="inlineStr">
        <is>
          <t>Vespertino</t>
        </is>
      </c>
      <c r="D169" s="34" t="inlineStr">
        <is>
          <t>Participa</t>
        </is>
      </c>
      <c r="E169" s="34" t="inlineStr">
        <is>
          <t>Não Participa</t>
        </is>
      </c>
      <c r="F169" s="34" t="inlineStr">
        <is>
          <t>Participa</t>
        </is>
      </c>
      <c r="G169" s="34" t="inlineStr">
        <is>
          <t>Não Participa</t>
        </is>
      </c>
      <c r="H169" s="34" t="inlineStr">
        <is>
          <t>Não Participa</t>
        </is>
      </c>
      <c r="I169" s="34" t="inlineStr">
        <is>
          <t>Não Participa</t>
        </is>
      </c>
      <c r="J169" s="34" t="inlineStr">
        <is>
          <t>Participa</t>
        </is>
      </c>
      <c r="K169" s="34" t="inlineStr">
        <is>
          <t>Não Participa</t>
        </is>
      </c>
    </row>
    <row r="170">
      <c r="A170" s="18" t="inlineStr">
        <is>
          <t>Aluno 166</t>
        </is>
      </c>
      <c r="B170" s="34" t="inlineStr">
        <is>
          <t>Turma A</t>
        </is>
      </c>
      <c r="C170" s="34" t="inlineStr">
        <is>
          <t>Matutino</t>
        </is>
      </c>
      <c r="D170" s="34" t="inlineStr">
        <is>
          <t>Não Participa</t>
        </is>
      </c>
      <c r="E170" s="34" t="inlineStr">
        <is>
          <t>Não Participa</t>
        </is>
      </c>
      <c r="F170" s="34" t="inlineStr">
        <is>
          <t>Não Participa</t>
        </is>
      </c>
      <c r="G170" s="34" t="inlineStr">
        <is>
          <t>Não Participa</t>
        </is>
      </c>
      <c r="H170" s="34" t="inlineStr">
        <is>
          <t>Não Participa</t>
        </is>
      </c>
      <c r="I170" s="34" t="inlineStr">
        <is>
          <t>Não Participa</t>
        </is>
      </c>
      <c r="J170" s="34" t="inlineStr">
        <is>
          <t>Não Participa</t>
        </is>
      </c>
      <c r="K170" s="34" t="inlineStr">
        <is>
          <t>Não Participa</t>
        </is>
      </c>
    </row>
    <row r="171">
      <c r="A171" s="34" t="inlineStr">
        <is>
          <t>Aluno 167</t>
        </is>
      </c>
      <c r="B171" s="34" t="inlineStr">
        <is>
          <t>Turma B2</t>
        </is>
      </c>
      <c r="C171" s="34" t="inlineStr">
        <is>
          <t>Vespertino</t>
        </is>
      </c>
      <c r="D171" s="34" t="inlineStr">
        <is>
          <t>Não Participa</t>
        </is>
      </c>
      <c r="E171" s="34" t="inlineStr">
        <is>
          <t>Não Participa</t>
        </is>
      </c>
      <c r="F171" s="34" t="inlineStr">
        <is>
          <t>Não Participa</t>
        </is>
      </c>
      <c r="G171" s="34" t="inlineStr">
        <is>
          <t>Participa</t>
        </is>
      </c>
      <c r="H171" s="34" t="inlineStr">
        <is>
          <t>Não Participa</t>
        </is>
      </c>
      <c r="I171" s="34" t="inlineStr">
        <is>
          <t>Não Participa</t>
        </is>
      </c>
      <c r="J171" s="34" t="inlineStr">
        <is>
          <t>Não Participa</t>
        </is>
      </c>
      <c r="K171" s="34" t="inlineStr">
        <is>
          <t>Não Participa</t>
        </is>
      </c>
    </row>
    <row r="172">
      <c r="A172" s="34" t="inlineStr">
        <is>
          <t>Aluno 168</t>
        </is>
      </c>
      <c r="B172" s="34" t="inlineStr">
        <is>
          <t>Turma B2</t>
        </is>
      </c>
      <c r="C172" s="34" t="inlineStr">
        <is>
          <t>Vespertino</t>
        </is>
      </c>
      <c r="D172" s="34" t="inlineStr">
        <is>
          <t>Participa</t>
        </is>
      </c>
      <c r="E172" s="34" t="inlineStr">
        <is>
          <t>Participa</t>
        </is>
      </c>
      <c r="F172" s="34" t="inlineStr">
        <is>
          <t>Participa</t>
        </is>
      </c>
      <c r="G172" s="34" t="inlineStr">
        <is>
          <t>Participa</t>
        </is>
      </c>
      <c r="H172" s="34" t="inlineStr">
        <is>
          <t>Não Participa</t>
        </is>
      </c>
      <c r="I172" s="34" t="inlineStr">
        <is>
          <t>Não Participa</t>
        </is>
      </c>
      <c r="J172" s="34" t="inlineStr">
        <is>
          <t>Não Participa</t>
        </is>
      </c>
      <c r="K172" s="34" t="inlineStr">
        <is>
          <t>Participa</t>
        </is>
      </c>
    </row>
    <row r="173">
      <c r="A173" s="34" t="inlineStr">
        <is>
          <t>Aluno 169</t>
        </is>
      </c>
      <c r="B173" s="34" t="inlineStr">
        <is>
          <t>Turma B1</t>
        </is>
      </c>
      <c r="C173" s="34" t="inlineStr">
        <is>
          <t>Matutino</t>
        </is>
      </c>
      <c r="D173" s="34" t="inlineStr">
        <is>
          <t>Não Participa</t>
        </is>
      </c>
      <c r="E173" s="34" t="inlineStr">
        <is>
          <t>Não Participa</t>
        </is>
      </c>
      <c r="F173" s="34" t="inlineStr">
        <is>
          <t>Participa</t>
        </is>
      </c>
      <c r="G173" s="34" t="inlineStr">
        <is>
          <t>Participa</t>
        </is>
      </c>
      <c r="H173" s="34" t="inlineStr">
        <is>
          <t>Não Participa</t>
        </is>
      </c>
      <c r="I173" s="34" t="inlineStr">
        <is>
          <t>Não Participa</t>
        </is>
      </c>
      <c r="J173" s="34" t="inlineStr">
        <is>
          <t>Participa</t>
        </is>
      </c>
      <c r="K173" s="34" t="inlineStr">
        <is>
          <t>Não Participa</t>
        </is>
      </c>
    </row>
    <row r="174">
      <c r="A174" s="34" t="inlineStr">
        <is>
          <t>Aluno 170</t>
        </is>
      </c>
      <c r="B174" s="34" t="inlineStr">
        <is>
          <t>Turma D</t>
        </is>
      </c>
      <c r="C174" s="34" t="inlineStr">
        <is>
          <t>Matutino</t>
        </is>
      </c>
      <c r="D174" s="34" t="inlineStr">
        <is>
          <t>Não Participa</t>
        </is>
      </c>
      <c r="E174" s="34" t="inlineStr">
        <is>
          <t>Não Participa</t>
        </is>
      </c>
      <c r="F174" s="34" t="inlineStr">
        <is>
          <t>Participa</t>
        </is>
      </c>
      <c r="G174" s="34" t="inlineStr">
        <is>
          <t>Participa</t>
        </is>
      </c>
      <c r="H174" s="34" t="inlineStr">
        <is>
          <t>Não Participa</t>
        </is>
      </c>
      <c r="I174" s="34" t="inlineStr">
        <is>
          <t>Não Participa</t>
        </is>
      </c>
      <c r="J174" s="34" t="inlineStr">
        <is>
          <t>Não Participa</t>
        </is>
      </c>
      <c r="K174" s="34" t="inlineStr">
        <is>
          <t>Não Participa</t>
        </is>
      </c>
    </row>
    <row r="175">
      <c r="A175" s="34" t="inlineStr">
        <is>
          <t>Aluno 171</t>
        </is>
      </c>
      <c r="B175" s="34" t="inlineStr">
        <is>
          <t>Turma C</t>
        </is>
      </c>
      <c r="C175" s="34" t="inlineStr">
        <is>
          <t>Vespertino</t>
        </is>
      </c>
      <c r="D175" s="34" t="inlineStr">
        <is>
          <t>Não Participa</t>
        </is>
      </c>
      <c r="E175" s="34" t="inlineStr">
        <is>
          <t>Não Participa</t>
        </is>
      </c>
      <c r="F175" s="34" t="inlineStr">
        <is>
          <t>Não Participa</t>
        </is>
      </c>
      <c r="G175" s="34" t="inlineStr">
        <is>
          <t>Não Participa</t>
        </is>
      </c>
      <c r="H175" s="34" t="inlineStr">
        <is>
          <t>Não Participa</t>
        </is>
      </c>
      <c r="I175" s="34" t="inlineStr">
        <is>
          <t>Não Participa</t>
        </is>
      </c>
      <c r="J175" s="34" t="inlineStr">
        <is>
          <t>Não Participa</t>
        </is>
      </c>
      <c r="K175" s="34" t="inlineStr">
        <is>
          <t>Não Participa</t>
        </is>
      </c>
    </row>
    <row r="176">
      <c r="A176" s="18" t="inlineStr">
        <is>
          <t>Aluno 172</t>
        </is>
      </c>
      <c r="B176" s="34" t="inlineStr">
        <is>
          <t>Turma B2</t>
        </is>
      </c>
      <c r="C176" s="34" t="inlineStr">
        <is>
          <t>Matutino</t>
        </is>
      </c>
      <c r="D176" s="34" t="inlineStr">
        <is>
          <t>Não Participa</t>
        </is>
      </c>
      <c r="E176" s="34" t="inlineStr">
        <is>
          <t>Não Participa</t>
        </is>
      </c>
      <c r="F176" s="34" t="inlineStr">
        <is>
          <t>Não Participa</t>
        </is>
      </c>
      <c r="G176" s="34" t="inlineStr">
        <is>
          <t>Não Participa</t>
        </is>
      </c>
      <c r="H176" s="34" t="inlineStr">
        <is>
          <t>Não Participa</t>
        </is>
      </c>
      <c r="I176" s="34" t="inlineStr">
        <is>
          <t>Não Participa</t>
        </is>
      </c>
      <c r="J176" s="34" t="inlineStr">
        <is>
          <t>Não Participa</t>
        </is>
      </c>
      <c r="K176" s="34" t="inlineStr">
        <is>
          <t>Não Participa</t>
        </is>
      </c>
    </row>
    <row r="177">
      <c r="A177" s="34" t="inlineStr">
        <is>
          <t>Aluno 173</t>
        </is>
      </c>
      <c r="B177" s="34" t="inlineStr">
        <is>
          <t>Turma B2</t>
        </is>
      </c>
      <c r="C177" s="34" t="inlineStr">
        <is>
          <t>Vespertino</t>
        </is>
      </c>
      <c r="D177" s="34" t="inlineStr">
        <is>
          <t>Não Participa</t>
        </is>
      </c>
      <c r="E177" s="34" t="inlineStr">
        <is>
          <t>Não Participa</t>
        </is>
      </c>
      <c r="F177" s="34" t="inlineStr">
        <is>
          <t>Não Participa</t>
        </is>
      </c>
      <c r="G177" s="34" t="inlineStr">
        <is>
          <t>Participa</t>
        </is>
      </c>
      <c r="H177" s="34" t="inlineStr">
        <is>
          <t>Não Participa</t>
        </is>
      </c>
      <c r="I177" s="34" t="inlineStr">
        <is>
          <t>Não Participa</t>
        </is>
      </c>
      <c r="J177" s="34" t="inlineStr">
        <is>
          <t>Não Participa</t>
        </is>
      </c>
      <c r="K177" s="34" t="inlineStr">
        <is>
          <t>Não Participa</t>
        </is>
      </c>
    </row>
    <row r="178">
      <c r="A178" s="34" t="inlineStr">
        <is>
          <t>Aluno 174</t>
        </is>
      </c>
      <c r="B178" s="34" t="inlineStr">
        <is>
          <t>Turma B2</t>
        </is>
      </c>
      <c r="C178" s="34" t="inlineStr">
        <is>
          <t>Vespertino</t>
        </is>
      </c>
      <c r="D178" s="34" t="inlineStr">
        <is>
          <t>Participa</t>
        </is>
      </c>
      <c r="E178" s="34" t="inlineStr">
        <is>
          <t>Participa</t>
        </is>
      </c>
      <c r="F178" s="34" t="inlineStr">
        <is>
          <t>Não Participa</t>
        </is>
      </c>
      <c r="G178" s="34" t="inlineStr">
        <is>
          <t>Não Participa</t>
        </is>
      </c>
      <c r="H178" s="34" t="inlineStr">
        <is>
          <t>Não Participa</t>
        </is>
      </c>
      <c r="I178" s="34" t="inlineStr">
        <is>
          <t>Não Participa</t>
        </is>
      </c>
      <c r="J178" s="34" t="inlineStr">
        <is>
          <t>Não Participa</t>
        </is>
      </c>
      <c r="K178" s="34" t="inlineStr">
        <is>
          <t>Não Participa</t>
        </is>
      </c>
    </row>
    <row r="179">
      <c r="A179" s="34" t="inlineStr">
        <is>
          <t>Aluno 175</t>
        </is>
      </c>
      <c r="B179" s="34" t="inlineStr">
        <is>
          <t>Turma B2</t>
        </is>
      </c>
      <c r="C179" s="34" t="inlineStr">
        <is>
          <t>Matutino</t>
        </is>
      </c>
      <c r="D179" s="34" t="inlineStr">
        <is>
          <t>Não Participa</t>
        </is>
      </c>
      <c r="E179" s="34" t="inlineStr">
        <is>
          <t>Não Participa</t>
        </is>
      </c>
      <c r="F179" s="34" t="inlineStr">
        <is>
          <t>Não Participa</t>
        </is>
      </c>
      <c r="G179" s="34" t="inlineStr">
        <is>
          <t>Não Participa</t>
        </is>
      </c>
      <c r="H179" s="34" t="inlineStr">
        <is>
          <t>Não Participa</t>
        </is>
      </c>
      <c r="I179" s="34" t="inlineStr">
        <is>
          <t>Não Participa</t>
        </is>
      </c>
      <c r="J179" s="34" t="inlineStr">
        <is>
          <t>Não Participa</t>
        </is>
      </c>
      <c r="K179" s="34" t="inlineStr">
        <is>
          <t>Não Participa</t>
        </is>
      </c>
    </row>
    <row r="180">
      <c r="A180" s="34" t="inlineStr">
        <is>
          <t>Aluno 176</t>
        </is>
      </c>
      <c r="B180" s="34" t="inlineStr">
        <is>
          <t>Turma D</t>
        </is>
      </c>
      <c r="C180" s="34" t="inlineStr">
        <is>
          <t>Vespertino</t>
        </is>
      </c>
      <c r="D180" s="34" t="inlineStr">
        <is>
          <t>Participa</t>
        </is>
      </c>
      <c r="E180" s="34" t="inlineStr">
        <is>
          <t>Participa</t>
        </is>
      </c>
      <c r="F180" s="34" t="inlineStr">
        <is>
          <t>Participa</t>
        </is>
      </c>
      <c r="G180" s="34" t="inlineStr">
        <is>
          <t>Participa</t>
        </is>
      </c>
      <c r="H180" s="34" t="inlineStr">
        <is>
          <t>Participa</t>
        </is>
      </c>
      <c r="I180" s="34" t="inlineStr">
        <is>
          <t>Não Participa</t>
        </is>
      </c>
      <c r="J180" s="34" t="inlineStr">
        <is>
          <t>Participa</t>
        </is>
      </c>
      <c r="K180" s="34" t="inlineStr">
        <is>
          <t>Não Participa</t>
        </is>
      </c>
    </row>
    <row r="181">
      <c r="A181" s="34" t="inlineStr">
        <is>
          <t>Aluno 177</t>
        </is>
      </c>
      <c r="B181" s="34" t="inlineStr">
        <is>
          <t>Turma A</t>
        </is>
      </c>
      <c r="C181" s="34" t="inlineStr">
        <is>
          <t>Vespertino</t>
        </is>
      </c>
      <c r="D181" s="34" t="inlineStr">
        <is>
          <t>Participa</t>
        </is>
      </c>
      <c r="E181" s="34" t="inlineStr">
        <is>
          <t>Participa</t>
        </is>
      </c>
      <c r="F181" s="34" t="inlineStr">
        <is>
          <t>Participa</t>
        </is>
      </c>
      <c r="G181" s="34" t="inlineStr">
        <is>
          <t>Participa</t>
        </is>
      </c>
      <c r="H181" s="34" t="inlineStr">
        <is>
          <t>Não Participa</t>
        </is>
      </c>
      <c r="I181" s="34" t="inlineStr">
        <is>
          <t>Não Participa</t>
        </is>
      </c>
      <c r="J181" s="34" t="inlineStr">
        <is>
          <t>Participa</t>
        </is>
      </c>
      <c r="K181" s="34" t="inlineStr">
        <is>
          <t>Não Participa</t>
        </is>
      </c>
    </row>
    <row r="182">
      <c r="A182" s="34" t="inlineStr">
        <is>
          <t>Aluno 178</t>
        </is>
      </c>
      <c r="B182" s="34" t="inlineStr">
        <is>
          <t>Turma C</t>
        </is>
      </c>
      <c r="C182" s="34" t="inlineStr">
        <is>
          <t>Matutino</t>
        </is>
      </c>
      <c r="D182" s="34" t="inlineStr">
        <is>
          <t>Participa</t>
        </is>
      </c>
      <c r="E182" s="34" t="inlineStr">
        <is>
          <t>Participa</t>
        </is>
      </c>
      <c r="F182" s="34" t="inlineStr">
        <is>
          <t>Participa</t>
        </is>
      </c>
      <c r="G182" s="34" t="inlineStr">
        <is>
          <t>Participa</t>
        </is>
      </c>
      <c r="H182" s="34" t="inlineStr">
        <is>
          <t>Participa</t>
        </is>
      </c>
      <c r="I182" s="34" t="inlineStr">
        <is>
          <t>Não Participa</t>
        </is>
      </c>
      <c r="J182" s="34" t="inlineStr">
        <is>
          <t>Não Participa</t>
        </is>
      </c>
      <c r="K182" s="34" t="inlineStr">
        <is>
          <t>Não Participa</t>
        </is>
      </c>
    </row>
    <row r="183">
      <c r="A183" s="18" t="inlineStr">
        <is>
          <t>Aluno 179</t>
        </is>
      </c>
      <c r="B183" s="34" t="inlineStr">
        <is>
          <t>Turma A</t>
        </is>
      </c>
      <c r="C183" s="34" t="inlineStr">
        <is>
          <t>Matutino</t>
        </is>
      </c>
      <c r="D183" s="34" t="inlineStr">
        <is>
          <t>Não Participa</t>
        </is>
      </c>
      <c r="E183" s="34" t="inlineStr">
        <is>
          <t>Não Participa</t>
        </is>
      </c>
      <c r="F183" s="34" t="inlineStr">
        <is>
          <t>Não Participa</t>
        </is>
      </c>
      <c r="G183" s="34" t="inlineStr">
        <is>
          <t>Não Participa</t>
        </is>
      </c>
      <c r="H183" s="34" t="inlineStr">
        <is>
          <t>Não Participa</t>
        </is>
      </c>
      <c r="I183" s="34" t="inlineStr">
        <is>
          <t>Não Participa</t>
        </is>
      </c>
      <c r="J183" s="34" t="inlineStr">
        <is>
          <t>Não Participa</t>
        </is>
      </c>
      <c r="K183" s="34" t="inlineStr">
        <is>
          <t>Não Participa</t>
        </is>
      </c>
    </row>
    <row r="184">
      <c r="A184" s="34" t="inlineStr">
        <is>
          <t>Aluno 181</t>
        </is>
      </c>
      <c r="B184" s="34" t="inlineStr">
        <is>
          <t>Turma E</t>
        </is>
      </c>
      <c r="C184" s="34" t="inlineStr">
        <is>
          <t>Vespertino</t>
        </is>
      </c>
      <c r="D184" s="34" t="inlineStr">
        <is>
          <t>Não Participa</t>
        </is>
      </c>
      <c r="E184" s="34" t="inlineStr">
        <is>
          <t>Não Participa</t>
        </is>
      </c>
      <c r="F184" s="34" t="inlineStr">
        <is>
          <t>Não Participa</t>
        </is>
      </c>
      <c r="G184" s="34" t="inlineStr">
        <is>
          <t>Não Participa</t>
        </is>
      </c>
      <c r="H184" s="34" t="inlineStr">
        <is>
          <t>Não Participa</t>
        </is>
      </c>
      <c r="I184" s="34" t="inlineStr">
        <is>
          <t>Não Participa</t>
        </is>
      </c>
      <c r="J184" s="34" t="inlineStr">
        <is>
          <t>Não Participa</t>
        </is>
      </c>
      <c r="K184" s="34" t="inlineStr">
        <is>
          <t>Não Participa</t>
        </is>
      </c>
    </row>
    <row r="185">
      <c r="A185" s="18" t="inlineStr">
        <is>
          <t>Aluno 180</t>
        </is>
      </c>
      <c r="B185" s="34" t="inlineStr">
        <is>
          <t>Turma C</t>
        </is>
      </c>
      <c r="C185" s="34" t="inlineStr">
        <is>
          <t>Matutino</t>
        </is>
      </c>
      <c r="D185" s="34" t="inlineStr">
        <is>
          <t>Não Participa</t>
        </is>
      </c>
      <c r="E185" s="34" t="inlineStr">
        <is>
          <t>Não Participa</t>
        </is>
      </c>
      <c r="F185" s="34" t="inlineStr">
        <is>
          <t>Não Participa</t>
        </is>
      </c>
      <c r="G185" s="34" t="inlineStr">
        <is>
          <t>Não Participa</t>
        </is>
      </c>
      <c r="H185" s="34" t="inlineStr">
        <is>
          <t>Não Participa</t>
        </is>
      </c>
      <c r="I185" s="34" t="inlineStr">
        <is>
          <t>Não Participa</t>
        </is>
      </c>
      <c r="J185" s="34" t="inlineStr">
        <is>
          <t>Não Participa</t>
        </is>
      </c>
      <c r="K185" s="34" t="inlineStr">
        <is>
          <t>Não Participa</t>
        </is>
      </c>
    </row>
    <row r="186">
      <c r="A186" s="34" t="inlineStr">
        <is>
          <t>Aluno 204</t>
        </is>
      </c>
      <c r="B186" s="34" t="inlineStr">
        <is>
          <t>Turma C</t>
        </is>
      </c>
      <c r="C186" s="34" t="inlineStr">
        <is>
          <t>Matutino</t>
        </is>
      </c>
      <c r="D186" s="34" t="inlineStr">
        <is>
          <t>Não Participa</t>
        </is>
      </c>
      <c r="E186" s="34" t="inlineStr">
        <is>
          <t>Não Participa</t>
        </is>
      </c>
      <c r="F186" s="34" t="inlineStr">
        <is>
          <t>Participa</t>
        </is>
      </c>
      <c r="G186" s="34" t="inlineStr">
        <is>
          <t>Participa</t>
        </is>
      </c>
      <c r="H186" s="34" t="inlineStr">
        <is>
          <t>Não Participa</t>
        </is>
      </c>
      <c r="I186" s="34" t="inlineStr">
        <is>
          <t>Não Participa</t>
        </is>
      </c>
      <c r="J186" s="34" t="inlineStr">
        <is>
          <t>Não Participa</t>
        </is>
      </c>
      <c r="K186" s="34" t="inlineStr">
        <is>
          <t>Não Participa</t>
        </is>
      </c>
    </row>
    <row r="187">
      <c r="A187" s="34" t="inlineStr">
        <is>
          <t>Aluno 182</t>
        </is>
      </c>
      <c r="B187" s="34" t="inlineStr">
        <is>
          <t>Turma C</t>
        </is>
      </c>
      <c r="C187" s="34" t="inlineStr">
        <is>
          <t>Vespertino</t>
        </is>
      </c>
      <c r="D187" s="34" t="inlineStr">
        <is>
          <t>Não Participa</t>
        </is>
      </c>
      <c r="E187" s="34" t="inlineStr">
        <is>
          <t>Não Participa</t>
        </is>
      </c>
      <c r="F187" s="34" t="inlineStr">
        <is>
          <t>Participa</t>
        </is>
      </c>
      <c r="G187" s="34" t="inlineStr">
        <is>
          <t>Não Participa</t>
        </is>
      </c>
      <c r="H187" s="34" t="inlineStr">
        <is>
          <t>Não Participa</t>
        </is>
      </c>
      <c r="I187" s="34" t="inlineStr">
        <is>
          <t>Não Participa</t>
        </is>
      </c>
      <c r="J187" s="34" t="inlineStr">
        <is>
          <t>Não Participa</t>
        </is>
      </c>
      <c r="K187" s="34" t="inlineStr">
        <is>
          <t>Não Participa</t>
        </is>
      </c>
    </row>
    <row r="188">
      <c r="A188" s="34" t="inlineStr">
        <is>
          <t>Aluno 183</t>
        </is>
      </c>
      <c r="B188" s="34" t="inlineStr">
        <is>
          <t>Turma B1</t>
        </is>
      </c>
      <c r="C188" s="34" t="inlineStr">
        <is>
          <t>Vespertino</t>
        </is>
      </c>
      <c r="D188" s="34" t="inlineStr">
        <is>
          <t>Participa</t>
        </is>
      </c>
      <c r="E188" s="34" t="inlineStr">
        <is>
          <t>Participa</t>
        </is>
      </c>
      <c r="F188" s="34" t="inlineStr">
        <is>
          <t>Participa</t>
        </is>
      </c>
      <c r="G188" s="34" t="inlineStr">
        <is>
          <t>Participa</t>
        </is>
      </c>
      <c r="H188" s="34" t="inlineStr">
        <is>
          <t>Não Participa</t>
        </is>
      </c>
      <c r="I188" s="34" t="inlineStr">
        <is>
          <t>Não Participa</t>
        </is>
      </c>
      <c r="J188" s="34" t="inlineStr">
        <is>
          <t>Participa</t>
        </is>
      </c>
      <c r="K188" s="34" t="inlineStr">
        <is>
          <t>Não Participa</t>
        </is>
      </c>
    </row>
    <row r="189">
      <c r="A189" s="19" t="inlineStr">
        <is>
          <t>Aluno 190</t>
        </is>
      </c>
      <c r="B189" s="34" t="inlineStr">
        <is>
          <t>Turma A</t>
        </is>
      </c>
      <c r="C189" s="34" t="inlineStr">
        <is>
          <t>Vespertino</t>
        </is>
      </c>
      <c r="D189" s="34" t="inlineStr">
        <is>
          <t>Não Participa</t>
        </is>
      </c>
      <c r="E189" s="34" t="inlineStr">
        <is>
          <t>Não Participa</t>
        </is>
      </c>
      <c r="F189" s="34" t="inlineStr">
        <is>
          <t>Não Participa</t>
        </is>
      </c>
      <c r="G189" s="34" t="inlineStr">
        <is>
          <t>Não Participa</t>
        </is>
      </c>
      <c r="H189" s="34" t="inlineStr">
        <is>
          <t>Não Participa</t>
        </is>
      </c>
      <c r="I189" s="34" t="inlineStr">
        <is>
          <t>Não Participa</t>
        </is>
      </c>
      <c r="J189" s="34" t="inlineStr">
        <is>
          <t>Não Participa</t>
        </is>
      </c>
      <c r="K189" s="34" t="inlineStr">
        <is>
          <t>Não Participa</t>
        </is>
      </c>
    </row>
    <row r="190">
      <c r="A190" s="34" t="inlineStr">
        <is>
          <t>Aluno 184</t>
        </is>
      </c>
      <c r="B190" s="34" t="inlineStr">
        <is>
          <t>Turma C</t>
        </is>
      </c>
      <c r="C190" s="34" t="inlineStr">
        <is>
          <t>Vespertino</t>
        </is>
      </c>
      <c r="D190" s="34" t="inlineStr">
        <is>
          <t>Não Participa</t>
        </is>
      </c>
      <c r="E190" s="34" t="inlineStr">
        <is>
          <t>Não Participa</t>
        </is>
      </c>
      <c r="F190" s="34" t="inlineStr">
        <is>
          <t>Participa</t>
        </is>
      </c>
      <c r="G190" s="34" t="inlineStr">
        <is>
          <t>Participa</t>
        </is>
      </c>
      <c r="H190" s="34" t="inlineStr">
        <is>
          <t>Não Participa</t>
        </is>
      </c>
      <c r="I190" s="34" t="inlineStr">
        <is>
          <t>Não Participa</t>
        </is>
      </c>
      <c r="J190" s="34" t="inlineStr">
        <is>
          <t>Não Participa</t>
        </is>
      </c>
      <c r="K190" s="34" t="inlineStr">
        <is>
          <t>Não Participa</t>
        </is>
      </c>
    </row>
    <row r="191">
      <c r="A191" s="34" t="inlineStr">
        <is>
          <t>Aluno 185</t>
        </is>
      </c>
      <c r="B191" s="34" t="inlineStr">
        <is>
          <t>Turma GR</t>
        </is>
      </c>
      <c r="C191" s="34" t="inlineStr">
        <is>
          <t>Vespertino</t>
        </is>
      </c>
      <c r="D191" s="34" t="inlineStr">
        <is>
          <t>Participa</t>
        </is>
      </c>
      <c r="E191" s="34" t="inlineStr">
        <is>
          <t>Participa</t>
        </is>
      </c>
      <c r="F191" s="34" t="inlineStr">
        <is>
          <t>Participa</t>
        </is>
      </c>
      <c r="G191" s="34" t="inlineStr">
        <is>
          <t>Participa</t>
        </is>
      </c>
      <c r="H191" s="34" t="inlineStr">
        <is>
          <t>Participa</t>
        </is>
      </c>
      <c r="I191" s="34" t="inlineStr">
        <is>
          <t>Participa</t>
        </is>
      </c>
      <c r="J191" s="34" t="inlineStr">
        <is>
          <t>Não Participa</t>
        </is>
      </c>
      <c r="K191" s="34" t="inlineStr">
        <is>
          <t>Não Participa</t>
        </is>
      </c>
    </row>
    <row r="192">
      <c r="A192" s="34" t="inlineStr">
        <is>
          <t>Aluno 186</t>
        </is>
      </c>
      <c r="B192" s="34" t="inlineStr">
        <is>
          <t>Turma B1</t>
        </is>
      </c>
      <c r="C192" s="34" t="inlineStr">
        <is>
          <t>Vespertino</t>
        </is>
      </c>
      <c r="D192" s="34" t="inlineStr">
        <is>
          <t>Participa</t>
        </is>
      </c>
      <c r="E192" s="34" t="inlineStr">
        <is>
          <t>Participa</t>
        </is>
      </c>
      <c r="F192" s="34" t="inlineStr">
        <is>
          <t>Participa</t>
        </is>
      </c>
      <c r="G192" s="34" t="inlineStr">
        <is>
          <t>Participa</t>
        </is>
      </c>
      <c r="H192" s="34" t="inlineStr">
        <is>
          <t>Não Participa</t>
        </is>
      </c>
      <c r="I192" s="34" t="inlineStr">
        <is>
          <t>Não Participa</t>
        </is>
      </c>
      <c r="J192" s="34" t="inlineStr">
        <is>
          <t>Participa</t>
        </is>
      </c>
      <c r="K192" s="34" t="inlineStr">
        <is>
          <t>Não Participa</t>
        </is>
      </c>
    </row>
    <row r="193">
      <c r="A193" s="34" t="inlineStr">
        <is>
          <t>Aluno 187</t>
        </is>
      </c>
      <c r="B193" s="34" t="inlineStr">
        <is>
          <t>Turma GR</t>
        </is>
      </c>
      <c r="C193" s="34" t="inlineStr">
        <is>
          <t>Vespertino</t>
        </is>
      </c>
      <c r="D193" s="34" t="inlineStr">
        <is>
          <t>Participa</t>
        </is>
      </c>
      <c r="E193" s="34" t="inlineStr">
        <is>
          <t>Participa</t>
        </is>
      </c>
      <c r="F193" s="34" t="inlineStr">
        <is>
          <t>Participa</t>
        </is>
      </c>
      <c r="G193" s="34" t="inlineStr">
        <is>
          <t>Participa</t>
        </is>
      </c>
      <c r="H193" s="34" t="inlineStr">
        <is>
          <t>Participa</t>
        </is>
      </c>
      <c r="I193" s="34" t="inlineStr">
        <is>
          <t>Participa</t>
        </is>
      </c>
      <c r="J193" s="34" t="inlineStr">
        <is>
          <t>Não Participa</t>
        </is>
      </c>
      <c r="K193" s="34" t="inlineStr">
        <is>
          <t>Não Participa</t>
        </is>
      </c>
    </row>
    <row r="194">
      <c r="A194" s="34" t="inlineStr">
        <is>
          <t>Aluno 188</t>
        </is>
      </c>
      <c r="B194" s="34" t="inlineStr">
        <is>
          <t>Turma B2</t>
        </is>
      </c>
      <c r="C194" s="34" t="inlineStr">
        <is>
          <t>Matutino</t>
        </is>
      </c>
      <c r="D194" s="34" t="inlineStr">
        <is>
          <t>Não Participa</t>
        </is>
      </c>
      <c r="E194" s="34" t="inlineStr">
        <is>
          <t>Não Participa</t>
        </is>
      </c>
      <c r="F194" s="34" t="inlineStr">
        <is>
          <t>Participa</t>
        </is>
      </c>
      <c r="G194" s="34" t="inlineStr">
        <is>
          <t>Participa</t>
        </is>
      </c>
      <c r="H194" s="34" t="inlineStr">
        <is>
          <t>Não Participa</t>
        </is>
      </c>
      <c r="I194" s="34" t="inlineStr">
        <is>
          <t>Não Participa</t>
        </is>
      </c>
      <c r="J194" s="34" t="inlineStr">
        <is>
          <t>Participa</t>
        </is>
      </c>
      <c r="K194" s="34" t="inlineStr">
        <is>
          <t>Participa</t>
        </is>
      </c>
    </row>
    <row r="195">
      <c r="A195" s="34" t="inlineStr">
        <is>
          <t>Aluno 189</t>
        </is>
      </c>
      <c r="B195" s="34" t="inlineStr">
        <is>
          <t>Turma E</t>
        </is>
      </c>
      <c r="C195" s="34" t="inlineStr">
        <is>
          <t>Matutino</t>
        </is>
      </c>
      <c r="D195" s="34" t="inlineStr">
        <is>
          <t>Não Participa</t>
        </is>
      </c>
      <c r="E195" s="34" t="inlineStr">
        <is>
          <t>Não Participa</t>
        </is>
      </c>
      <c r="F195" s="34" t="inlineStr">
        <is>
          <t>Participa</t>
        </is>
      </c>
      <c r="G195" s="34" t="inlineStr">
        <is>
          <t>Participa</t>
        </is>
      </c>
      <c r="H195" s="34" t="inlineStr">
        <is>
          <t>Não Participa</t>
        </is>
      </c>
      <c r="I195" s="34" t="inlineStr">
        <is>
          <t>Não Participa</t>
        </is>
      </c>
      <c r="J195" s="34" t="inlineStr">
        <is>
          <t>Não Participa</t>
        </is>
      </c>
      <c r="K195" s="34" t="inlineStr">
        <is>
          <t>Não Participa</t>
        </is>
      </c>
    </row>
    <row r="196">
      <c r="A196" s="18" t="inlineStr">
        <is>
          <t>Aluno 191</t>
        </is>
      </c>
      <c r="B196" s="34" t="inlineStr">
        <is>
          <t>Turma B1</t>
        </is>
      </c>
      <c r="C196" s="34" t="inlineStr">
        <is>
          <t>Matutino</t>
        </is>
      </c>
      <c r="D196" s="34" t="inlineStr">
        <is>
          <t>Não Participa</t>
        </is>
      </c>
      <c r="E196" s="34" t="inlineStr">
        <is>
          <t>Não Participa</t>
        </is>
      </c>
      <c r="F196" s="34" t="inlineStr">
        <is>
          <t>Não Participa</t>
        </is>
      </c>
      <c r="G196" s="34" t="inlineStr">
        <is>
          <t>Não Participa</t>
        </is>
      </c>
      <c r="H196" s="34" t="inlineStr">
        <is>
          <t>Não Participa</t>
        </is>
      </c>
      <c r="I196" s="34" t="inlineStr">
        <is>
          <t>Não Participa</t>
        </is>
      </c>
      <c r="J196" s="34" t="inlineStr">
        <is>
          <t>Não Participa</t>
        </is>
      </c>
      <c r="K196" s="34" t="inlineStr">
        <is>
          <t>Não Participa</t>
        </is>
      </c>
    </row>
    <row r="197">
      <c r="A197" s="34" t="inlineStr">
        <is>
          <t>Aluno 193</t>
        </is>
      </c>
      <c r="B197" s="34" t="inlineStr">
        <is>
          <t>Turma C</t>
        </is>
      </c>
      <c r="C197" s="34" t="inlineStr">
        <is>
          <t>Vespertino</t>
        </is>
      </c>
      <c r="D197" s="34" t="inlineStr">
        <is>
          <t>Participa</t>
        </is>
      </c>
      <c r="E197" s="34" t="inlineStr">
        <is>
          <t>Não Participa</t>
        </is>
      </c>
      <c r="F197" s="34" t="inlineStr">
        <is>
          <t>Participa</t>
        </is>
      </c>
      <c r="G197" s="34" t="inlineStr">
        <is>
          <t>Não Participa</t>
        </is>
      </c>
      <c r="H197" s="34" t="inlineStr">
        <is>
          <t>Não Participa</t>
        </is>
      </c>
      <c r="I197" s="34" t="inlineStr">
        <is>
          <t>Não Participa</t>
        </is>
      </c>
      <c r="J197" s="34" t="inlineStr">
        <is>
          <t>Não Participa</t>
        </is>
      </c>
      <c r="K197" s="34" t="inlineStr">
        <is>
          <t>Participa</t>
        </is>
      </c>
    </row>
    <row r="198">
      <c r="A198" s="34" t="inlineStr">
        <is>
          <t>Aluno 192</t>
        </is>
      </c>
      <c r="B198" s="34" t="inlineStr">
        <is>
          <t>Turma C</t>
        </is>
      </c>
      <c r="C198" s="34" t="inlineStr">
        <is>
          <t>Vespertino</t>
        </is>
      </c>
      <c r="D198" s="34" t="inlineStr">
        <is>
          <t>Participa</t>
        </is>
      </c>
      <c r="E198" s="34" t="inlineStr">
        <is>
          <t>Participa</t>
        </is>
      </c>
      <c r="F198" s="34" t="inlineStr">
        <is>
          <t>Não Participa</t>
        </is>
      </c>
      <c r="G198" s="34" t="inlineStr">
        <is>
          <t>Participa</t>
        </is>
      </c>
      <c r="H198" s="34" t="inlineStr">
        <is>
          <t>Não Participa</t>
        </is>
      </c>
      <c r="I198" s="34" t="inlineStr">
        <is>
          <t>Não Participa</t>
        </is>
      </c>
      <c r="J198" s="34" t="inlineStr">
        <is>
          <t>Não Participa</t>
        </is>
      </c>
      <c r="K198" s="34" t="inlineStr">
        <is>
          <t>Não Participa</t>
        </is>
      </c>
    </row>
    <row r="199">
      <c r="A199" s="18" t="inlineStr">
        <is>
          <t>Aluno 194</t>
        </is>
      </c>
      <c r="B199" s="34" t="inlineStr">
        <is>
          <t>Turma B2</t>
        </is>
      </c>
      <c r="C199" s="34" t="inlineStr">
        <is>
          <t>Matutino</t>
        </is>
      </c>
      <c r="D199" s="34" t="inlineStr">
        <is>
          <t>Não Participa</t>
        </is>
      </c>
      <c r="E199" s="34" t="inlineStr">
        <is>
          <t>Não Participa</t>
        </is>
      </c>
      <c r="F199" s="34" t="inlineStr">
        <is>
          <t>Não Participa</t>
        </is>
      </c>
      <c r="G199" s="34" t="inlineStr">
        <is>
          <t>Não Participa</t>
        </is>
      </c>
      <c r="H199" s="34" t="inlineStr">
        <is>
          <t>Não Participa</t>
        </is>
      </c>
      <c r="I199" s="34" t="inlineStr">
        <is>
          <t>Não Participa</t>
        </is>
      </c>
      <c r="J199" s="34" t="inlineStr">
        <is>
          <t>Não Participa</t>
        </is>
      </c>
      <c r="K199" s="34" t="inlineStr">
        <is>
          <t>Não Participa</t>
        </is>
      </c>
    </row>
    <row r="200">
      <c r="A200" s="18" t="inlineStr">
        <is>
          <t>Aluno 195</t>
        </is>
      </c>
      <c r="B200" s="34" t="inlineStr">
        <is>
          <t>Turma B2</t>
        </is>
      </c>
      <c r="C200" s="34" t="inlineStr">
        <is>
          <t>Matutino</t>
        </is>
      </c>
      <c r="D200" s="34" t="inlineStr">
        <is>
          <t>Não Participa</t>
        </is>
      </c>
      <c r="E200" s="34" t="inlineStr">
        <is>
          <t>Não Participa</t>
        </is>
      </c>
      <c r="F200" s="34" t="inlineStr">
        <is>
          <t>Não Participa</t>
        </is>
      </c>
      <c r="G200" s="34" t="inlineStr">
        <is>
          <t>Não Participa</t>
        </is>
      </c>
      <c r="H200" s="34" t="inlineStr">
        <is>
          <t>Não Participa</t>
        </is>
      </c>
      <c r="I200" s="34" t="inlineStr">
        <is>
          <t>Não Participa</t>
        </is>
      </c>
      <c r="J200" s="34" t="inlineStr">
        <is>
          <t>Não Participa</t>
        </is>
      </c>
      <c r="K200" s="34" t="inlineStr">
        <is>
          <t>Não Participa</t>
        </is>
      </c>
    </row>
    <row r="201">
      <c r="A201" s="34" t="inlineStr">
        <is>
          <t>Aluno 196</t>
        </is>
      </c>
      <c r="B201" s="34" t="inlineStr">
        <is>
          <t>Turma GR</t>
        </is>
      </c>
      <c r="C201" s="34" t="inlineStr">
        <is>
          <t>Vespertino</t>
        </is>
      </c>
      <c r="D201" s="34" t="inlineStr">
        <is>
          <t>Participa</t>
        </is>
      </c>
      <c r="E201" s="34" t="inlineStr">
        <is>
          <t>Participa</t>
        </is>
      </c>
      <c r="F201" s="34" t="inlineStr">
        <is>
          <t>Participa</t>
        </is>
      </c>
      <c r="G201" s="34" t="inlineStr">
        <is>
          <t>Participa</t>
        </is>
      </c>
      <c r="H201" s="34" t="inlineStr">
        <is>
          <t>Participa</t>
        </is>
      </c>
      <c r="I201" s="34" t="inlineStr">
        <is>
          <t>Participa</t>
        </is>
      </c>
      <c r="J201" s="34" t="inlineStr">
        <is>
          <t>Não Participa</t>
        </is>
      </c>
      <c r="K201" s="34" t="inlineStr">
        <is>
          <t>Não Participa</t>
        </is>
      </c>
    </row>
    <row r="202">
      <c r="A202" s="34" t="inlineStr">
        <is>
          <t>Aluno 197</t>
        </is>
      </c>
      <c r="B202" s="34" t="inlineStr">
        <is>
          <t>Turma D</t>
        </is>
      </c>
      <c r="C202" s="34" t="inlineStr">
        <is>
          <t>Vespertino</t>
        </is>
      </c>
      <c r="D202" s="34" t="inlineStr">
        <is>
          <t>Participa</t>
        </is>
      </c>
      <c r="E202" s="34" t="inlineStr">
        <is>
          <t>Não Participa</t>
        </is>
      </c>
      <c r="F202" s="34" t="inlineStr">
        <is>
          <t>Participa</t>
        </is>
      </c>
      <c r="G202" s="34" t="inlineStr">
        <is>
          <t>Participa</t>
        </is>
      </c>
      <c r="H202" s="34" t="inlineStr">
        <is>
          <t>Participa</t>
        </is>
      </c>
      <c r="I202" s="34" t="inlineStr">
        <is>
          <t>Não Participa</t>
        </is>
      </c>
      <c r="J202" s="34" t="inlineStr">
        <is>
          <t>Participa</t>
        </is>
      </c>
      <c r="K202" s="34" t="inlineStr">
        <is>
          <t>Não Participa</t>
        </is>
      </c>
    </row>
    <row r="203">
      <c r="A203" s="18" t="inlineStr">
        <is>
          <t>Aluno 198</t>
        </is>
      </c>
      <c r="B203" s="34" t="inlineStr">
        <is>
          <t>Turma D</t>
        </is>
      </c>
      <c r="C203" s="34" t="inlineStr">
        <is>
          <t>Matutino</t>
        </is>
      </c>
      <c r="D203" s="34" t="inlineStr">
        <is>
          <t>Não Participa</t>
        </is>
      </c>
      <c r="E203" s="34" t="inlineStr">
        <is>
          <t>Não Participa</t>
        </is>
      </c>
      <c r="F203" s="34" t="inlineStr">
        <is>
          <t>Não Participa</t>
        </is>
      </c>
      <c r="G203" s="34" t="inlineStr">
        <is>
          <t>Não Participa</t>
        </is>
      </c>
      <c r="H203" s="34" t="inlineStr">
        <is>
          <t>Não Participa</t>
        </is>
      </c>
      <c r="I203" s="34" t="inlineStr">
        <is>
          <t>Não Participa</t>
        </is>
      </c>
      <c r="J203" s="34" t="inlineStr">
        <is>
          <t>Não Participa</t>
        </is>
      </c>
      <c r="K203" s="34" t="inlineStr">
        <is>
          <t>Não Participa</t>
        </is>
      </c>
    </row>
    <row r="204">
      <c r="A204" s="34" t="inlineStr">
        <is>
          <t>Aluno 199</t>
        </is>
      </c>
      <c r="B204" s="34" t="inlineStr">
        <is>
          <t>Turma D</t>
        </is>
      </c>
      <c r="C204" s="34" t="inlineStr">
        <is>
          <t>Vespertino</t>
        </is>
      </c>
      <c r="D204" s="34" t="inlineStr">
        <is>
          <t>Participa</t>
        </is>
      </c>
      <c r="E204" s="34" t="inlineStr">
        <is>
          <t>Não Participa</t>
        </is>
      </c>
      <c r="F204" s="34" t="inlineStr">
        <is>
          <t>Participa</t>
        </is>
      </c>
      <c r="G204" s="34" t="inlineStr">
        <is>
          <t>Não Participa</t>
        </is>
      </c>
      <c r="H204" s="34" t="inlineStr">
        <is>
          <t>Não Participa</t>
        </is>
      </c>
      <c r="I204" s="34" t="inlineStr">
        <is>
          <t>Não Participa</t>
        </is>
      </c>
      <c r="J204" s="34" t="inlineStr">
        <is>
          <t>Não Participa</t>
        </is>
      </c>
      <c r="K204" s="34" t="inlineStr">
        <is>
          <t>Não Participa</t>
        </is>
      </c>
    </row>
    <row r="205">
      <c r="A205" s="34" t="inlineStr">
        <is>
          <t>Aluno 200</t>
        </is>
      </c>
      <c r="B205" s="34" t="inlineStr">
        <is>
          <t>Turma E</t>
        </is>
      </c>
      <c r="C205" s="34" t="inlineStr">
        <is>
          <t>Vespertino</t>
        </is>
      </c>
      <c r="D205" s="34" t="inlineStr">
        <is>
          <t>Participa</t>
        </is>
      </c>
      <c r="E205" s="34" t="inlineStr">
        <is>
          <t>Participa</t>
        </is>
      </c>
      <c r="F205" s="34" t="inlineStr">
        <is>
          <t>Não Participa</t>
        </is>
      </c>
      <c r="G205" s="34" t="inlineStr">
        <is>
          <t>Não Participa</t>
        </is>
      </c>
      <c r="H205" s="34" t="inlineStr">
        <is>
          <t>Participa</t>
        </is>
      </c>
      <c r="I205" s="34" t="inlineStr">
        <is>
          <t>Não Participa</t>
        </is>
      </c>
      <c r="J205" s="34" t="inlineStr">
        <is>
          <t>Não Participa</t>
        </is>
      </c>
      <c r="K205" s="34" t="inlineStr">
        <is>
          <t>Não Participa</t>
        </is>
      </c>
    </row>
    <row r="206">
      <c r="A206" s="34" t="inlineStr">
        <is>
          <t>Aluno 201</t>
        </is>
      </c>
      <c r="B206" s="34" t="inlineStr">
        <is>
          <t>Turma A</t>
        </is>
      </c>
      <c r="C206" s="34" t="inlineStr">
        <is>
          <t>Matutino</t>
        </is>
      </c>
      <c r="D206" s="34" t="inlineStr">
        <is>
          <t>Participa</t>
        </is>
      </c>
      <c r="E206" s="34" t="inlineStr">
        <is>
          <t>Participa</t>
        </is>
      </c>
      <c r="F206" s="34" t="inlineStr">
        <is>
          <t>Participa</t>
        </is>
      </c>
      <c r="G206" s="34" t="inlineStr">
        <is>
          <t>Participa</t>
        </is>
      </c>
      <c r="H206" s="34" t="inlineStr">
        <is>
          <t>Não Participa</t>
        </is>
      </c>
      <c r="I206" s="34" t="inlineStr">
        <is>
          <t>Não Participa</t>
        </is>
      </c>
      <c r="J206" s="34" t="inlineStr">
        <is>
          <t>Não Participa</t>
        </is>
      </c>
      <c r="K206" s="34" t="inlineStr">
        <is>
          <t>Não Participa</t>
        </is>
      </c>
    </row>
    <row r="207">
      <c r="A207" s="34" t="inlineStr">
        <is>
          <t>Aluno 202</t>
        </is>
      </c>
      <c r="B207" s="34" t="inlineStr">
        <is>
          <t>Turma D</t>
        </is>
      </c>
      <c r="C207" s="34" t="inlineStr">
        <is>
          <t>Vespertino</t>
        </is>
      </c>
      <c r="D207" s="34" t="inlineStr">
        <is>
          <t>Participa</t>
        </is>
      </c>
      <c r="E207" s="34" t="inlineStr">
        <is>
          <t>Participa</t>
        </is>
      </c>
      <c r="F207" s="34" t="inlineStr">
        <is>
          <t>Participa</t>
        </is>
      </c>
      <c r="G207" s="34" t="inlineStr">
        <is>
          <t>Participa</t>
        </is>
      </c>
      <c r="H207" s="34" t="inlineStr">
        <is>
          <t>Participa</t>
        </is>
      </c>
      <c r="I207" s="34" t="inlineStr">
        <is>
          <t>Não Participa</t>
        </is>
      </c>
      <c r="J207" s="34" t="inlineStr">
        <is>
          <t>Não Participa</t>
        </is>
      </c>
      <c r="K207" s="34" t="inlineStr">
        <is>
          <t>Não Participa</t>
        </is>
      </c>
    </row>
    <row r="208">
      <c r="A208" s="34" t="inlineStr">
        <is>
          <t>Aluno 203</t>
        </is>
      </c>
      <c r="B208" s="34" t="inlineStr">
        <is>
          <t>Turma B1</t>
        </is>
      </c>
      <c r="C208" s="34" t="inlineStr">
        <is>
          <t>Vespertino</t>
        </is>
      </c>
      <c r="D208" s="34" t="inlineStr">
        <is>
          <t>Participa</t>
        </is>
      </c>
      <c r="E208" s="34" t="inlineStr">
        <is>
          <t>Participa</t>
        </is>
      </c>
      <c r="F208" s="34" t="inlineStr">
        <is>
          <t>Participa</t>
        </is>
      </c>
      <c r="G208" s="34" t="inlineStr">
        <is>
          <t>Não Participa</t>
        </is>
      </c>
      <c r="H208" s="34" t="inlineStr">
        <is>
          <t>Não Participa</t>
        </is>
      </c>
      <c r="I208" s="34" t="inlineStr">
        <is>
          <t>Não Participa</t>
        </is>
      </c>
      <c r="J208" s="34" t="inlineStr">
        <is>
          <t>Participa</t>
        </is>
      </c>
      <c r="K208" s="34" t="inlineStr">
        <is>
          <t>Não Participa</t>
        </is>
      </c>
    </row>
    <row r="209">
      <c r="A209" s="18" t="inlineStr">
        <is>
          <t>Aluno 205</t>
        </is>
      </c>
      <c r="B209" s="34" t="inlineStr">
        <is>
          <t>Turma A</t>
        </is>
      </c>
      <c r="C209" s="34" t="inlineStr">
        <is>
          <t>Matutino</t>
        </is>
      </c>
      <c r="D209" s="34" t="inlineStr">
        <is>
          <t>Não Participa</t>
        </is>
      </c>
      <c r="E209" s="34" t="inlineStr">
        <is>
          <t>Não Participa</t>
        </is>
      </c>
      <c r="F209" s="34" t="inlineStr">
        <is>
          <t>Não Participa</t>
        </is>
      </c>
      <c r="G209" s="34" t="inlineStr">
        <is>
          <t>Não Participa</t>
        </is>
      </c>
      <c r="H209" s="34" t="inlineStr">
        <is>
          <t>Não Participa</t>
        </is>
      </c>
      <c r="I209" s="34" t="inlineStr">
        <is>
          <t>Não Participa</t>
        </is>
      </c>
      <c r="J209" s="34" t="inlineStr">
        <is>
          <t>Não Participa</t>
        </is>
      </c>
      <c r="K209" s="34" t="inlineStr">
        <is>
          <t>Não Participa</t>
        </is>
      </c>
    </row>
    <row r="210">
      <c r="A210" s="18" t="inlineStr">
        <is>
          <t>Aluno 206</t>
        </is>
      </c>
      <c r="B210" s="34" t="inlineStr">
        <is>
          <t>Turma B1</t>
        </is>
      </c>
      <c r="C210" s="34" t="inlineStr">
        <is>
          <t>Matutino</t>
        </is>
      </c>
      <c r="D210" s="34" t="inlineStr">
        <is>
          <t>Não Participa</t>
        </is>
      </c>
      <c r="E210" s="34" t="inlineStr">
        <is>
          <t>Não Participa</t>
        </is>
      </c>
      <c r="F210" s="34" t="inlineStr">
        <is>
          <t>Não Participa</t>
        </is>
      </c>
      <c r="G210" s="34" t="inlineStr">
        <is>
          <t>Não Participa</t>
        </is>
      </c>
      <c r="H210" s="34" t="inlineStr">
        <is>
          <t>Não Participa</t>
        </is>
      </c>
      <c r="I210" s="34" t="inlineStr">
        <is>
          <t>Não Participa</t>
        </is>
      </c>
      <c r="J210" s="34" t="inlineStr">
        <is>
          <t>Não Participa</t>
        </is>
      </c>
      <c r="K210" s="34" t="inlineStr">
        <is>
          <t>Não Participa</t>
        </is>
      </c>
    </row>
    <row r="211">
      <c r="A211" s="34" t="inlineStr">
        <is>
          <t>Aluno 207</t>
        </is>
      </c>
      <c r="B211" s="34" t="inlineStr">
        <is>
          <t>Turma C</t>
        </is>
      </c>
      <c r="C211" s="34" t="inlineStr">
        <is>
          <t>Vespertino</t>
        </is>
      </c>
      <c r="D211" s="34" t="inlineStr">
        <is>
          <t>Participa</t>
        </is>
      </c>
      <c r="E211" s="34" t="inlineStr">
        <is>
          <t>Não Participa</t>
        </is>
      </c>
      <c r="F211" s="34" t="inlineStr">
        <is>
          <t>Não Participa</t>
        </is>
      </c>
      <c r="G211" s="34" t="inlineStr">
        <is>
          <t>Participa</t>
        </is>
      </c>
      <c r="H211" s="34" t="inlineStr">
        <is>
          <t>Não Participa</t>
        </is>
      </c>
      <c r="I211" s="34" t="inlineStr">
        <is>
          <t>Não Participa</t>
        </is>
      </c>
      <c r="J211" s="34" t="inlineStr">
        <is>
          <t>Não Participa</t>
        </is>
      </c>
      <c r="K211" s="34" t="inlineStr">
        <is>
          <t>Não Participa</t>
        </is>
      </c>
    </row>
    <row r="212">
      <c r="A212" s="18" t="inlineStr">
        <is>
          <t>Aluno 208</t>
        </is>
      </c>
      <c r="B212" s="34" t="inlineStr">
        <is>
          <t>Turma B1</t>
        </is>
      </c>
      <c r="C212" s="34" t="inlineStr">
        <is>
          <t>Matutino</t>
        </is>
      </c>
      <c r="D212" s="34" t="inlineStr">
        <is>
          <t>Não Participa</t>
        </is>
      </c>
      <c r="E212" s="34" t="inlineStr">
        <is>
          <t>Não Participa</t>
        </is>
      </c>
      <c r="F212" s="34" t="inlineStr">
        <is>
          <t>Não Participa</t>
        </is>
      </c>
      <c r="G212" s="34" t="inlineStr">
        <is>
          <t>Não Participa</t>
        </is>
      </c>
      <c r="H212" s="34" t="inlineStr">
        <is>
          <t>Não Participa</t>
        </is>
      </c>
      <c r="I212" s="34" t="inlineStr">
        <is>
          <t>Não Participa</t>
        </is>
      </c>
      <c r="J212" s="34" t="inlineStr">
        <is>
          <t>Não Participa</t>
        </is>
      </c>
      <c r="K212" s="34" t="inlineStr">
        <is>
          <t>Não Participa</t>
        </is>
      </c>
    </row>
    <row r="213">
      <c r="A213" s="34" t="inlineStr">
        <is>
          <t>Aluno 209</t>
        </is>
      </c>
      <c r="B213" s="34" t="inlineStr">
        <is>
          <t>Turma B1</t>
        </is>
      </c>
      <c r="C213" s="34" t="inlineStr">
        <is>
          <t>Vespertino</t>
        </is>
      </c>
      <c r="D213" s="34" t="inlineStr">
        <is>
          <t>Participa</t>
        </is>
      </c>
      <c r="E213" s="34" t="inlineStr">
        <is>
          <t>Participa</t>
        </is>
      </c>
      <c r="F213" s="34" t="inlineStr">
        <is>
          <t>Participa</t>
        </is>
      </c>
      <c r="G213" s="34" t="inlineStr">
        <is>
          <t>Participa</t>
        </is>
      </c>
      <c r="H213" s="34" t="inlineStr">
        <is>
          <t>Não Participa</t>
        </is>
      </c>
      <c r="I213" s="34" t="inlineStr">
        <is>
          <t>Não Participa</t>
        </is>
      </c>
      <c r="J213" s="34" t="inlineStr">
        <is>
          <t>Participa</t>
        </is>
      </c>
      <c r="K213" s="34" t="inlineStr">
        <is>
          <t>Não Participa</t>
        </is>
      </c>
    </row>
    <row r="214">
      <c r="A214" s="18" t="inlineStr">
        <is>
          <t>Aluno 210</t>
        </is>
      </c>
      <c r="B214" s="34" t="inlineStr">
        <is>
          <t>Turma A</t>
        </is>
      </c>
      <c r="C214" s="34" t="inlineStr">
        <is>
          <t>Vespertino</t>
        </is>
      </c>
      <c r="D214" s="34" t="inlineStr">
        <is>
          <t>Não Participa</t>
        </is>
      </c>
      <c r="E214" s="34" t="inlineStr">
        <is>
          <t>Não Participa</t>
        </is>
      </c>
      <c r="F214" s="34" t="inlineStr">
        <is>
          <t>Não Participa</t>
        </is>
      </c>
      <c r="G214" s="34" t="inlineStr">
        <is>
          <t>Não Participa</t>
        </is>
      </c>
      <c r="H214" s="34" t="inlineStr">
        <is>
          <t>Não Participa</t>
        </is>
      </c>
      <c r="I214" s="34" t="inlineStr">
        <is>
          <t>Não Participa</t>
        </is>
      </c>
      <c r="J214" s="34" t="inlineStr">
        <is>
          <t>Não Participa</t>
        </is>
      </c>
      <c r="K214" s="34" t="inlineStr">
        <is>
          <t>Não Participa</t>
        </is>
      </c>
    </row>
    <row r="215">
      <c r="A215" s="34" t="inlineStr">
        <is>
          <t>Aluno 211</t>
        </is>
      </c>
      <c r="B215" s="34" t="inlineStr">
        <is>
          <t>Turma B1</t>
        </is>
      </c>
      <c r="C215" s="34" t="inlineStr">
        <is>
          <t>Vespertino</t>
        </is>
      </c>
      <c r="D215" s="34" t="inlineStr">
        <is>
          <t>Participa</t>
        </is>
      </c>
      <c r="E215" s="34" t="inlineStr">
        <is>
          <t>Participa</t>
        </is>
      </c>
      <c r="F215" s="34" t="inlineStr">
        <is>
          <t>Participa</t>
        </is>
      </c>
      <c r="G215" s="34" t="inlineStr">
        <is>
          <t>Participa</t>
        </is>
      </c>
      <c r="H215" s="34" t="inlineStr">
        <is>
          <t>Não Participa</t>
        </is>
      </c>
      <c r="I215" s="34" t="inlineStr">
        <is>
          <t>Não Participa</t>
        </is>
      </c>
      <c r="J215" s="34" t="inlineStr">
        <is>
          <t>Participa</t>
        </is>
      </c>
      <c r="K215" s="34" t="inlineStr">
        <is>
          <t>Não Participa</t>
        </is>
      </c>
    </row>
    <row r="216">
      <c r="A216" s="34" t="inlineStr">
        <is>
          <t>Aluno 212</t>
        </is>
      </c>
      <c r="B216" s="34" t="inlineStr">
        <is>
          <t>Turma C</t>
        </is>
      </c>
      <c r="C216" s="34" t="inlineStr">
        <is>
          <t>Matutino</t>
        </is>
      </c>
      <c r="D216" s="34" t="inlineStr">
        <is>
          <t>Não Participa</t>
        </is>
      </c>
      <c r="E216" s="34" t="inlineStr">
        <is>
          <t>Não Participa</t>
        </is>
      </c>
      <c r="F216" s="34" t="inlineStr">
        <is>
          <t>Participa</t>
        </is>
      </c>
      <c r="G216" s="34" t="inlineStr">
        <is>
          <t>Participa</t>
        </is>
      </c>
      <c r="H216" s="34" t="inlineStr">
        <is>
          <t>Não Participa</t>
        </is>
      </c>
      <c r="I216" s="34" t="inlineStr">
        <is>
          <t>Não Participa</t>
        </is>
      </c>
      <c r="J216" s="34" t="inlineStr">
        <is>
          <t>Não Participa</t>
        </is>
      </c>
      <c r="K216" s="34" t="inlineStr">
        <is>
          <t>Participa</t>
        </is>
      </c>
    </row>
    <row r="217">
      <c r="A217" s="34" t="inlineStr">
        <is>
          <t>Aluno 213</t>
        </is>
      </c>
      <c r="B217" s="34" t="inlineStr">
        <is>
          <t>Turma A</t>
        </is>
      </c>
      <c r="C217" s="34" t="inlineStr">
        <is>
          <t>Matutino</t>
        </is>
      </c>
      <c r="D217" s="34" t="inlineStr">
        <is>
          <t>Participa</t>
        </is>
      </c>
      <c r="E217" s="34" t="inlineStr">
        <is>
          <t>Não Participa</t>
        </is>
      </c>
      <c r="F217" s="34" t="inlineStr">
        <is>
          <t>Participa</t>
        </is>
      </c>
      <c r="G217" s="34" t="inlineStr">
        <is>
          <t>Participa</t>
        </is>
      </c>
      <c r="H217" s="34" t="inlineStr">
        <is>
          <t>Não Participa</t>
        </is>
      </c>
      <c r="I217" s="34" t="inlineStr">
        <is>
          <t>Não Participa</t>
        </is>
      </c>
      <c r="J217" s="34" t="inlineStr">
        <is>
          <t>Não Participa</t>
        </is>
      </c>
      <c r="K217" s="34" t="inlineStr">
        <is>
          <t>Não Participa</t>
        </is>
      </c>
    </row>
    <row r="218">
      <c r="A218" s="18" t="inlineStr">
        <is>
          <t>Aluno 214</t>
        </is>
      </c>
      <c r="B218" s="34" t="inlineStr">
        <is>
          <t>Turma C</t>
        </is>
      </c>
      <c r="C218" s="34" t="inlineStr">
        <is>
          <t>Vespertino</t>
        </is>
      </c>
      <c r="D218" s="34" t="inlineStr">
        <is>
          <t>Não Participa</t>
        </is>
      </c>
      <c r="E218" s="34" t="inlineStr">
        <is>
          <t>Não Participa</t>
        </is>
      </c>
      <c r="F218" s="34" t="inlineStr">
        <is>
          <t>Não Participa</t>
        </is>
      </c>
      <c r="G218" s="34" t="inlineStr">
        <is>
          <t>Não Participa</t>
        </is>
      </c>
      <c r="H218" s="34" t="inlineStr">
        <is>
          <t>Não Participa</t>
        </is>
      </c>
      <c r="I218" s="34" t="inlineStr">
        <is>
          <t>Não Participa</t>
        </is>
      </c>
      <c r="J218" s="34" t="inlineStr">
        <is>
          <t>Não Participa</t>
        </is>
      </c>
      <c r="K218" s="34" t="inlineStr">
        <is>
          <t>Não Participa</t>
        </is>
      </c>
    </row>
    <row r="219">
      <c r="A219" s="34" t="inlineStr">
        <is>
          <t>Aluno 215</t>
        </is>
      </c>
      <c r="B219" s="34" t="inlineStr">
        <is>
          <t>Turma D</t>
        </is>
      </c>
      <c r="C219" s="34" t="inlineStr">
        <is>
          <t>Vespertino</t>
        </is>
      </c>
      <c r="D219" s="34" t="inlineStr">
        <is>
          <t>Participa</t>
        </is>
      </c>
      <c r="E219" s="34" t="inlineStr">
        <is>
          <t>Não Participa</t>
        </is>
      </c>
      <c r="F219" s="34" t="inlineStr">
        <is>
          <t>Participa</t>
        </is>
      </c>
      <c r="G219" s="34" t="inlineStr">
        <is>
          <t>Participa</t>
        </is>
      </c>
      <c r="H219" s="34" t="inlineStr">
        <is>
          <t>Não Participa</t>
        </is>
      </c>
      <c r="I219" s="34" t="inlineStr">
        <is>
          <t>Não Participa</t>
        </is>
      </c>
      <c r="J219" s="34" t="inlineStr">
        <is>
          <t>Participa</t>
        </is>
      </c>
      <c r="K219" s="34" t="inlineStr">
        <is>
          <t>Não Participa</t>
        </is>
      </c>
    </row>
    <row r="220">
      <c r="A220" s="34" t="inlineStr">
        <is>
          <t>Aluno 216</t>
        </is>
      </c>
      <c r="B220" s="34" t="inlineStr">
        <is>
          <t>Turma E</t>
        </is>
      </c>
      <c r="C220" s="34" t="inlineStr">
        <is>
          <t>Vespertino</t>
        </is>
      </c>
      <c r="D220" s="34" t="inlineStr">
        <is>
          <t>Participa</t>
        </is>
      </c>
      <c r="E220" s="34" t="inlineStr">
        <is>
          <t>Participa</t>
        </is>
      </c>
      <c r="F220" s="34" t="inlineStr">
        <is>
          <t>Participa</t>
        </is>
      </c>
      <c r="G220" s="34" t="inlineStr">
        <is>
          <t>Participa</t>
        </is>
      </c>
      <c r="H220" s="34" t="inlineStr">
        <is>
          <t>Participa</t>
        </is>
      </c>
      <c r="I220" s="34" t="inlineStr">
        <is>
          <t>Participa</t>
        </is>
      </c>
      <c r="J220" s="34" t="inlineStr">
        <is>
          <t>Participa</t>
        </is>
      </c>
      <c r="K220" s="34" t="inlineStr">
        <is>
          <t>Não Participa</t>
        </is>
      </c>
    </row>
    <row r="221">
      <c r="A221" s="34" t="inlineStr">
        <is>
          <t>Aluno 217</t>
        </is>
      </c>
      <c r="B221" s="34" t="inlineStr">
        <is>
          <t>Turma D</t>
        </is>
      </c>
      <c r="C221" s="34" t="inlineStr">
        <is>
          <t>Matutino</t>
        </is>
      </c>
      <c r="D221" s="34" t="inlineStr">
        <is>
          <t>Participa</t>
        </is>
      </c>
      <c r="E221" s="34" t="inlineStr">
        <is>
          <t>Participa</t>
        </is>
      </c>
      <c r="F221" s="34" t="inlineStr">
        <is>
          <t>Não Participa</t>
        </is>
      </c>
      <c r="G221" s="34" t="inlineStr">
        <is>
          <t>Participa</t>
        </is>
      </c>
      <c r="H221" s="34" t="inlineStr">
        <is>
          <t>Não Participa</t>
        </is>
      </c>
      <c r="I221" s="34" t="inlineStr">
        <is>
          <t>Não Participa</t>
        </is>
      </c>
      <c r="J221" s="34" t="inlineStr">
        <is>
          <t>Não Participa</t>
        </is>
      </c>
      <c r="K221" s="34" t="inlineStr">
        <is>
          <t>Não Participa</t>
        </is>
      </c>
    </row>
    <row r="222">
      <c r="A222" s="34" t="inlineStr">
        <is>
          <t>Aluno 218</t>
        </is>
      </c>
      <c r="B222" s="34" t="inlineStr">
        <is>
          <t>Turma C</t>
        </is>
      </c>
      <c r="C222" s="34" t="inlineStr">
        <is>
          <t>Vespertino</t>
        </is>
      </c>
      <c r="D222" s="34" t="inlineStr">
        <is>
          <t>Participa</t>
        </is>
      </c>
      <c r="E222" s="34" t="inlineStr">
        <is>
          <t>Participa</t>
        </is>
      </c>
      <c r="F222" s="34" t="inlineStr">
        <is>
          <t>Participa</t>
        </is>
      </c>
      <c r="G222" s="34" t="inlineStr">
        <is>
          <t>Participa</t>
        </is>
      </c>
      <c r="H222" s="34" t="inlineStr">
        <is>
          <t>Não Participa</t>
        </is>
      </c>
      <c r="I222" s="34" t="inlineStr">
        <is>
          <t>Não Participa</t>
        </is>
      </c>
      <c r="J222" s="34" t="inlineStr">
        <is>
          <t>Não Participa</t>
        </is>
      </c>
      <c r="K222" s="34" t="inlineStr">
        <is>
          <t>Não Participa</t>
        </is>
      </c>
    </row>
    <row r="223">
      <c r="A223" s="34" t="inlineStr">
        <is>
          <t>Aluno 219</t>
        </is>
      </c>
      <c r="B223" s="34" t="inlineStr">
        <is>
          <t>Turma D</t>
        </is>
      </c>
      <c r="C223" s="34" t="inlineStr">
        <is>
          <t>Vespertino</t>
        </is>
      </c>
      <c r="D223" s="34" t="inlineStr">
        <is>
          <t>Participa</t>
        </is>
      </c>
      <c r="E223" s="34" t="inlineStr">
        <is>
          <t>Participa</t>
        </is>
      </c>
      <c r="F223" s="34" t="inlineStr">
        <is>
          <t>Participa</t>
        </is>
      </c>
      <c r="G223" s="34" t="inlineStr">
        <is>
          <t>Participa</t>
        </is>
      </c>
      <c r="H223" s="34" t="inlineStr">
        <is>
          <t>Participa</t>
        </is>
      </c>
      <c r="I223" s="34" t="inlineStr">
        <is>
          <t>Não Participa</t>
        </is>
      </c>
      <c r="J223" s="34" t="inlineStr">
        <is>
          <t>Não Participa</t>
        </is>
      </c>
      <c r="K223" s="34" t="inlineStr">
        <is>
          <t>Não Participa</t>
        </is>
      </c>
    </row>
    <row r="224">
      <c r="A224" s="34" t="inlineStr">
        <is>
          <t>Aluno 220</t>
        </is>
      </c>
      <c r="B224" s="34" t="inlineStr">
        <is>
          <t>Turma B1</t>
        </is>
      </c>
      <c r="C224" s="34" t="inlineStr">
        <is>
          <t>Vespertino</t>
        </is>
      </c>
      <c r="D224" s="34" t="inlineStr">
        <is>
          <t>Não Participa</t>
        </is>
      </c>
      <c r="E224" s="34" t="inlineStr">
        <is>
          <t>Não Participa</t>
        </is>
      </c>
      <c r="F224" s="34" t="inlineStr">
        <is>
          <t>Não Participa</t>
        </is>
      </c>
      <c r="G224" s="34" t="inlineStr">
        <is>
          <t>Não Participa</t>
        </is>
      </c>
      <c r="H224" s="34" t="inlineStr">
        <is>
          <t>Não Participa</t>
        </is>
      </c>
      <c r="I224" s="34" t="inlineStr">
        <is>
          <t>Não Participa</t>
        </is>
      </c>
      <c r="J224" s="34" t="inlineStr">
        <is>
          <t>Não Participa</t>
        </is>
      </c>
      <c r="K224" s="34" t="inlineStr">
        <is>
          <t>Não Participa</t>
        </is>
      </c>
    </row>
    <row r="225">
      <c r="A225" s="34" t="inlineStr">
        <is>
          <t>Aluno 221</t>
        </is>
      </c>
      <c r="B225" s="34" t="inlineStr">
        <is>
          <t>Turma B1</t>
        </is>
      </c>
      <c r="C225" s="34" t="inlineStr">
        <is>
          <t>Vespertino</t>
        </is>
      </c>
      <c r="D225" s="34" t="inlineStr">
        <is>
          <t>Participa</t>
        </is>
      </c>
      <c r="E225" s="34" t="inlineStr">
        <is>
          <t>Participa</t>
        </is>
      </c>
      <c r="F225" s="34" t="inlineStr">
        <is>
          <t>Participa</t>
        </is>
      </c>
      <c r="G225" s="34" t="inlineStr">
        <is>
          <t>Participa</t>
        </is>
      </c>
      <c r="H225" s="34" t="inlineStr">
        <is>
          <t>Não Participa</t>
        </is>
      </c>
      <c r="I225" s="34" t="inlineStr">
        <is>
          <t>Não Participa</t>
        </is>
      </c>
      <c r="J225" s="34" t="inlineStr">
        <is>
          <t>Participa</t>
        </is>
      </c>
      <c r="K225" s="34" t="inlineStr">
        <is>
          <t>Participa</t>
        </is>
      </c>
    </row>
    <row r="226">
      <c r="A226" s="34" t="inlineStr">
        <is>
          <t>Aluno 222</t>
        </is>
      </c>
      <c r="B226" s="34" t="inlineStr">
        <is>
          <t>Turma B2</t>
        </is>
      </c>
      <c r="C226" s="34" t="inlineStr">
        <is>
          <t>Matutino</t>
        </is>
      </c>
      <c r="D226" s="34" t="inlineStr">
        <is>
          <t>Não Participa</t>
        </is>
      </c>
      <c r="E226" s="34" t="inlineStr">
        <is>
          <t>Não Participa</t>
        </is>
      </c>
      <c r="F226" s="34" t="inlineStr">
        <is>
          <t>Participa</t>
        </is>
      </c>
      <c r="G226" s="34" t="inlineStr">
        <is>
          <t>Participa</t>
        </is>
      </c>
      <c r="H226" s="34" t="inlineStr">
        <is>
          <t>Não Participa</t>
        </is>
      </c>
      <c r="I226" s="34" t="inlineStr">
        <is>
          <t>Não Participa</t>
        </is>
      </c>
      <c r="J226" s="34" t="inlineStr">
        <is>
          <t>Não Participa</t>
        </is>
      </c>
      <c r="K226" s="34" t="inlineStr">
        <is>
          <t>Participa</t>
        </is>
      </c>
    </row>
    <row r="227">
      <c r="A227" s="34" t="inlineStr">
        <is>
          <t>Aluno 223</t>
        </is>
      </c>
      <c r="B227" s="34" t="inlineStr">
        <is>
          <t>Turma C</t>
        </is>
      </c>
      <c r="C227" s="34" t="inlineStr">
        <is>
          <t>Matutino</t>
        </is>
      </c>
      <c r="D227" s="34" t="inlineStr">
        <is>
          <t>Participa</t>
        </is>
      </c>
      <c r="E227" s="34" t="inlineStr">
        <is>
          <t>Participa</t>
        </is>
      </c>
      <c r="F227" s="34" t="inlineStr">
        <is>
          <t>Participa</t>
        </is>
      </c>
      <c r="G227" s="34" t="inlineStr">
        <is>
          <t>Participa</t>
        </is>
      </c>
      <c r="H227" s="34" t="inlineStr">
        <is>
          <t>Não Participa</t>
        </is>
      </c>
      <c r="I227" s="34" t="inlineStr">
        <is>
          <t>Não Participa</t>
        </is>
      </c>
      <c r="J227" s="34" t="inlineStr">
        <is>
          <t>Não Participa</t>
        </is>
      </c>
      <c r="K227" s="34" t="inlineStr">
        <is>
          <t>Não Participa</t>
        </is>
      </c>
    </row>
    <row r="228">
      <c r="A228" s="34" t="inlineStr">
        <is>
          <t>Aluno 224</t>
        </is>
      </c>
      <c r="B228" s="34" t="inlineStr">
        <is>
          <t>Turma B1</t>
        </is>
      </c>
      <c r="C228" s="34" t="inlineStr">
        <is>
          <t>Matutino</t>
        </is>
      </c>
      <c r="D228" s="34" t="inlineStr">
        <is>
          <t>Não Participa</t>
        </is>
      </c>
      <c r="E228" s="34" t="inlineStr">
        <is>
          <t>Não Participa</t>
        </is>
      </c>
      <c r="F228" s="34" t="inlineStr">
        <is>
          <t>Não Participa</t>
        </is>
      </c>
      <c r="G228" s="34" t="inlineStr">
        <is>
          <t>Não Participa</t>
        </is>
      </c>
      <c r="H228" s="34" t="inlineStr">
        <is>
          <t>Não Participa</t>
        </is>
      </c>
      <c r="I228" s="34" t="inlineStr">
        <is>
          <t>Não Participa</t>
        </is>
      </c>
      <c r="J228" s="34" t="inlineStr">
        <is>
          <t>Não Participa</t>
        </is>
      </c>
      <c r="K228" s="34" t="inlineStr">
        <is>
          <t>Não Participa</t>
        </is>
      </c>
    </row>
    <row r="229">
      <c r="A229" s="34" t="inlineStr">
        <is>
          <t>Aluno 225</t>
        </is>
      </c>
      <c r="B229" s="34" t="inlineStr">
        <is>
          <t>Turma C</t>
        </is>
      </c>
      <c r="C229" s="34" t="inlineStr">
        <is>
          <t>Matutino</t>
        </is>
      </c>
      <c r="D229" s="34" t="inlineStr">
        <is>
          <t>Participa</t>
        </is>
      </c>
      <c r="E229" s="34" t="inlineStr">
        <is>
          <t>Participa</t>
        </is>
      </c>
      <c r="F229" s="34" t="inlineStr">
        <is>
          <t>Participa</t>
        </is>
      </c>
      <c r="G229" s="34" t="inlineStr">
        <is>
          <t>Participa</t>
        </is>
      </c>
      <c r="H229" s="34" t="inlineStr">
        <is>
          <t>Participa</t>
        </is>
      </c>
      <c r="I229" s="34" t="inlineStr">
        <is>
          <t>Não Participa</t>
        </is>
      </c>
      <c r="J229" s="34" t="inlineStr">
        <is>
          <t>Não Participa</t>
        </is>
      </c>
      <c r="K229" s="34" t="inlineStr">
        <is>
          <t>Não Participa</t>
        </is>
      </c>
    </row>
    <row r="230">
      <c r="A230" s="18" t="inlineStr">
        <is>
          <t>Aluno 226</t>
        </is>
      </c>
      <c r="B230" s="34" t="inlineStr">
        <is>
          <t>Turma D</t>
        </is>
      </c>
      <c r="C230" s="34" t="inlineStr">
        <is>
          <t>Matutino</t>
        </is>
      </c>
      <c r="D230" s="34" t="inlineStr">
        <is>
          <t>Não Participa</t>
        </is>
      </c>
      <c r="E230" s="34" t="inlineStr">
        <is>
          <t>Não Participa</t>
        </is>
      </c>
      <c r="F230" s="34" t="inlineStr">
        <is>
          <t>Não Participa</t>
        </is>
      </c>
      <c r="G230" s="34" t="inlineStr">
        <is>
          <t>Não Participa</t>
        </is>
      </c>
      <c r="H230" s="34" t="inlineStr">
        <is>
          <t>Não Participa</t>
        </is>
      </c>
      <c r="I230" s="34" t="inlineStr">
        <is>
          <t>Não Participa</t>
        </is>
      </c>
      <c r="J230" s="34" t="inlineStr">
        <is>
          <t>Não Participa</t>
        </is>
      </c>
      <c r="K230" s="34" t="inlineStr">
        <is>
          <t>Não Participa</t>
        </is>
      </c>
    </row>
    <row r="231">
      <c r="A231" s="34" t="inlineStr">
        <is>
          <t>Aluno 227</t>
        </is>
      </c>
      <c r="B231" s="34" t="inlineStr">
        <is>
          <t>Turma B1</t>
        </is>
      </c>
      <c r="C231" s="34" t="inlineStr">
        <is>
          <t>Vespertino</t>
        </is>
      </c>
      <c r="D231" s="34" t="inlineStr">
        <is>
          <t>Participa</t>
        </is>
      </c>
      <c r="E231" s="34" t="inlineStr">
        <is>
          <t>Não Participa</t>
        </is>
      </c>
      <c r="F231" s="34" t="inlineStr">
        <is>
          <t>Participa</t>
        </is>
      </c>
      <c r="G231" s="34" t="inlineStr">
        <is>
          <t>Não Participa</t>
        </is>
      </c>
      <c r="H231" s="34" t="inlineStr">
        <is>
          <t>Não Participa</t>
        </is>
      </c>
      <c r="I231" s="34" t="inlineStr">
        <is>
          <t>Não Participa</t>
        </is>
      </c>
      <c r="J231" s="34" t="inlineStr">
        <is>
          <t>Não Participa</t>
        </is>
      </c>
      <c r="K231" s="34" t="inlineStr">
        <is>
          <t>Não Participa</t>
        </is>
      </c>
    </row>
    <row r="232">
      <c r="A232" s="34" t="inlineStr">
        <is>
          <t>Aluno 228</t>
        </is>
      </c>
      <c r="B232" s="34" t="inlineStr">
        <is>
          <t>Turma B1</t>
        </is>
      </c>
      <c r="C232" s="34" t="inlineStr">
        <is>
          <t>Matutino</t>
        </is>
      </c>
      <c r="D232" s="34" t="inlineStr">
        <is>
          <t>Participa</t>
        </is>
      </c>
      <c r="E232" s="34" t="inlineStr">
        <is>
          <t>Não Participa</t>
        </is>
      </c>
      <c r="F232" s="34" t="inlineStr">
        <is>
          <t>Participa</t>
        </is>
      </c>
      <c r="G232" s="34" t="inlineStr">
        <is>
          <t>Participa</t>
        </is>
      </c>
      <c r="H232" s="34" t="inlineStr">
        <is>
          <t>Não Participa</t>
        </is>
      </c>
      <c r="I232" s="34" t="inlineStr">
        <is>
          <t>Não Participa</t>
        </is>
      </c>
      <c r="J232" s="34" t="inlineStr">
        <is>
          <t>Participa</t>
        </is>
      </c>
      <c r="K232" s="34" t="inlineStr">
        <is>
          <t>Não Participa</t>
        </is>
      </c>
    </row>
    <row r="233">
      <c r="A233" s="34" t="inlineStr">
        <is>
          <t>Aluno 232</t>
        </is>
      </c>
      <c r="B233" s="34" t="inlineStr">
        <is>
          <t>Turma C</t>
        </is>
      </c>
      <c r="C233" s="34" t="inlineStr">
        <is>
          <t>Matutino</t>
        </is>
      </c>
      <c r="D233" s="34" t="inlineStr">
        <is>
          <t>Participa</t>
        </is>
      </c>
      <c r="E233" s="34" t="inlineStr">
        <is>
          <t>Participa</t>
        </is>
      </c>
      <c r="F233" s="34" t="inlineStr">
        <is>
          <t>Participa</t>
        </is>
      </c>
      <c r="G233" s="34" t="inlineStr">
        <is>
          <t>Participa</t>
        </is>
      </c>
      <c r="H233" s="34" t="inlineStr">
        <is>
          <t>Participa</t>
        </is>
      </c>
      <c r="I233" s="34" t="inlineStr">
        <is>
          <t>Não Participa</t>
        </is>
      </c>
      <c r="J233" s="34" t="inlineStr">
        <is>
          <t>Não Participa</t>
        </is>
      </c>
      <c r="K233" s="34" t="inlineStr">
        <is>
          <t>Não Participa</t>
        </is>
      </c>
    </row>
    <row r="234">
      <c r="A234" s="34" t="inlineStr">
        <is>
          <t>Aluno 229</t>
        </is>
      </c>
      <c r="B234" s="34" t="inlineStr">
        <is>
          <t>Turma D</t>
        </is>
      </c>
      <c r="C234" s="34" t="inlineStr">
        <is>
          <t>Matutino</t>
        </is>
      </c>
      <c r="D234" s="34" t="inlineStr">
        <is>
          <t>Participa</t>
        </is>
      </c>
      <c r="E234" s="34" t="inlineStr">
        <is>
          <t>Participa</t>
        </is>
      </c>
      <c r="F234" s="34" t="inlineStr">
        <is>
          <t>Participa</t>
        </is>
      </c>
      <c r="G234" s="34" t="inlineStr">
        <is>
          <t>Participa</t>
        </is>
      </c>
      <c r="H234" s="34" t="inlineStr">
        <is>
          <t>Participa</t>
        </is>
      </c>
      <c r="I234" s="34" t="inlineStr">
        <is>
          <t>Não Participa</t>
        </is>
      </c>
      <c r="J234" s="34" t="inlineStr">
        <is>
          <t>Participa</t>
        </is>
      </c>
      <c r="K234" s="34" t="inlineStr">
        <is>
          <t>Não Participa</t>
        </is>
      </c>
    </row>
    <row r="235">
      <c r="A235" s="34" t="inlineStr">
        <is>
          <t>Aluno 230</t>
        </is>
      </c>
      <c r="B235" s="34" t="inlineStr">
        <is>
          <t>Turma A</t>
        </is>
      </c>
      <c r="C235" s="34" t="inlineStr">
        <is>
          <t>Vespertino</t>
        </is>
      </c>
      <c r="D235" s="34" t="inlineStr">
        <is>
          <t>Participa</t>
        </is>
      </c>
      <c r="E235" s="34" t="inlineStr">
        <is>
          <t>Participa</t>
        </is>
      </c>
      <c r="F235" s="34" t="inlineStr">
        <is>
          <t>Participa</t>
        </is>
      </c>
      <c r="G235" s="34" t="inlineStr">
        <is>
          <t>Não Participa</t>
        </is>
      </c>
      <c r="H235" s="34" t="inlineStr">
        <is>
          <t>Não Participa</t>
        </is>
      </c>
      <c r="I235" s="34" t="inlineStr">
        <is>
          <t>Não Participa</t>
        </is>
      </c>
      <c r="J235" s="34" t="inlineStr">
        <is>
          <t>Participa</t>
        </is>
      </c>
      <c r="K235" s="34" t="inlineStr">
        <is>
          <t>Não Participa</t>
        </is>
      </c>
    </row>
    <row r="236">
      <c r="A236" s="18" t="inlineStr">
        <is>
          <t>Aluno 231</t>
        </is>
      </c>
      <c r="B236" s="34" t="inlineStr">
        <is>
          <t>Turma B2</t>
        </is>
      </c>
      <c r="C236" s="34" t="inlineStr">
        <is>
          <t>Matutino</t>
        </is>
      </c>
      <c r="D236" s="34" t="inlineStr">
        <is>
          <t>Não Participa</t>
        </is>
      </c>
      <c r="E236" s="34" t="inlineStr">
        <is>
          <t>Não Participa</t>
        </is>
      </c>
      <c r="F236" s="34" t="inlineStr">
        <is>
          <t>Não Participa</t>
        </is>
      </c>
      <c r="G236" s="34" t="inlineStr">
        <is>
          <t>Não Participa</t>
        </is>
      </c>
      <c r="H236" s="34" t="inlineStr">
        <is>
          <t>Não Participa</t>
        </is>
      </c>
      <c r="I236" s="34" t="inlineStr">
        <is>
          <t>Não Participa</t>
        </is>
      </c>
      <c r="J236" s="34" t="inlineStr">
        <is>
          <t>Não Participa</t>
        </is>
      </c>
      <c r="K236" s="34" t="inlineStr">
        <is>
          <t>Não Participa</t>
        </is>
      </c>
    </row>
    <row r="237">
      <c r="A237" s="34" t="inlineStr">
        <is>
          <t>Aluno 233</t>
        </is>
      </c>
      <c r="B237" s="34" t="inlineStr">
        <is>
          <t>Turma B1</t>
        </is>
      </c>
      <c r="C237" s="34" t="inlineStr">
        <is>
          <t>Vespertino</t>
        </is>
      </c>
      <c r="D237" s="34" t="inlineStr">
        <is>
          <t>Participa</t>
        </is>
      </c>
      <c r="E237" s="34" t="inlineStr">
        <is>
          <t>Não Participa</t>
        </is>
      </c>
      <c r="F237" s="34" t="inlineStr">
        <is>
          <t>Participa</t>
        </is>
      </c>
      <c r="G237" s="34" t="inlineStr">
        <is>
          <t>Participa</t>
        </is>
      </c>
      <c r="H237" s="34" t="inlineStr">
        <is>
          <t>Não Participa</t>
        </is>
      </c>
      <c r="I237" s="34" t="inlineStr">
        <is>
          <t>Não Participa</t>
        </is>
      </c>
      <c r="J237" s="34" t="inlineStr">
        <is>
          <t>Participa</t>
        </is>
      </c>
      <c r="K237" s="34" t="inlineStr">
        <is>
          <t>Não Participa</t>
        </is>
      </c>
    </row>
    <row r="238">
      <c r="A238" s="34" t="inlineStr">
        <is>
          <t>Aluno 234</t>
        </is>
      </c>
      <c r="B238" s="34" t="inlineStr">
        <is>
          <t>Turma C</t>
        </is>
      </c>
      <c r="C238" s="34" t="inlineStr">
        <is>
          <t>Matutino</t>
        </is>
      </c>
      <c r="D238" s="34" t="inlineStr">
        <is>
          <t>Participa</t>
        </is>
      </c>
      <c r="E238" s="34" t="inlineStr">
        <is>
          <t>Participa</t>
        </is>
      </c>
      <c r="F238" s="34" t="inlineStr">
        <is>
          <t>Participa</t>
        </is>
      </c>
      <c r="G238" s="34" t="inlineStr">
        <is>
          <t>Participa</t>
        </is>
      </c>
      <c r="H238" s="34" t="inlineStr">
        <is>
          <t>Participa</t>
        </is>
      </c>
      <c r="I238" s="34" t="inlineStr">
        <is>
          <t>Não Participa</t>
        </is>
      </c>
      <c r="J238" s="34" t="inlineStr">
        <is>
          <t>Não Participa</t>
        </is>
      </c>
      <c r="K238" s="34" t="inlineStr">
        <is>
          <t>Não Participa</t>
        </is>
      </c>
    </row>
    <row r="239">
      <c r="A239" s="34" t="inlineStr">
        <is>
          <t>Aluno 235</t>
        </is>
      </c>
      <c r="B239" s="34" t="inlineStr">
        <is>
          <t>Turma D</t>
        </is>
      </c>
      <c r="C239" s="34" t="inlineStr">
        <is>
          <t>Vespertino</t>
        </is>
      </c>
      <c r="D239" s="34" t="inlineStr">
        <is>
          <t>Não Participa</t>
        </is>
      </c>
      <c r="E239" s="34" t="inlineStr">
        <is>
          <t>Não Participa</t>
        </is>
      </c>
      <c r="F239" s="34" t="inlineStr">
        <is>
          <t>Participa</t>
        </is>
      </c>
      <c r="G239" s="34" t="inlineStr">
        <is>
          <t>Participa</t>
        </is>
      </c>
      <c r="H239" s="34" t="inlineStr">
        <is>
          <t>Não Participa</t>
        </is>
      </c>
      <c r="I239" s="34" t="inlineStr">
        <is>
          <t>Não Participa</t>
        </is>
      </c>
      <c r="J239" s="34" t="inlineStr">
        <is>
          <t>Não Participa</t>
        </is>
      </c>
      <c r="K239" s="34" t="inlineStr">
        <is>
          <t>Não Participa</t>
        </is>
      </c>
    </row>
    <row r="240">
      <c r="A240" s="34" t="inlineStr">
        <is>
          <t>Aluno 236</t>
        </is>
      </c>
      <c r="B240" s="34" t="inlineStr">
        <is>
          <t>Turma A</t>
        </is>
      </c>
      <c r="C240" s="34" t="inlineStr">
        <is>
          <t>Matutino</t>
        </is>
      </c>
      <c r="D240" s="34" t="inlineStr">
        <is>
          <t>Participa</t>
        </is>
      </c>
      <c r="E240" s="34" t="inlineStr">
        <is>
          <t>Não Participa</t>
        </is>
      </c>
      <c r="F240" s="34" t="inlineStr">
        <is>
          <t>Participa</t>
        </is>
      </c>
      <c r="G240" s="34" t="inlineStr">
        <is>
          <t>Participa</t>
        </is>
      </c>
      <c r="H240" s="34" t="inlineStr">
        <is>
          <t>Não Participa</t>
        </is>
      </c>
      <c r="I240" s="34" t="inlineStr">
        <is>
          <t>Não Participa</t>
        </is>
      </c>
      <c r="J240" s="34" t="inlineStr">
        <is>
          <t>Participa</t>
        </is>
      </c>
      <c r="K240" s="34" t="inlineStr">
        <is>
          <t>Não Participa</t>
        </is>
      </c>
    </row>
    <row r="241">
      <c r="A241" s="34" t="inlineStr">
        <is>
          <t>Aluno 237</t>
        </is>
      </c>
      <c r="B241" s="34" t="inlineStr">
        <is>
          <t>Turma GR</t>
        </is>
      </c>
      <c r="C241" s="34" t="inlineStr">
        <is>
          <t>Vespertino</t>
        </is>
      </c>
      <c r="D241" s="34" t="inlineStr">
        <is>
          <t>Não Participa</t>
        </is>
      </c>
      <c r="E241" s="34" t="inlineStr">
        <is>
          <t>Participa</t>
        </is>
      </c>
      <c r="F241" s="34" t="inlineStr">
        <is>
          <t>Participa</t>
        </is>
      </c>
      <c r="G241" s="34" t="inlineStr">
        <is>
          <t>Participa</t>
        </is>
      </c>
      <c r="H241" s="34" t="inlineStr">
        <is>
          <t>Não Participa</t>
        </is>
      </c>
      <c r="I241" s="34" t="inlineStr">
        <is>
          <t>Não Participa</t>
        </is>
      </c>
      <c r="J241" s="34" t="inlineStr">
        <is>
          <t>Não Participa</t>
        </is>
      </c>
      <c r="K241" s="34" t="inlineStr">
        <is>
          <t>Participa</t>
        </is>
      </c>
    </row>
    <row r="242">
      <c r="A242" s="34" t="inlineStr">
        <is>
          <t>Aluno 238</t>
        </is>
      </c>
      <c r="B242" s="34" t="inlineStr">
        <is>
          <t>Turma C</t>
        </is>
      </c>
      <c r="C242" s="34" t="inlineStr">
        <is>
          <t>Matutino</t>
        </is>
      </c>
      <c r="D242" s="34" t="inlineStr">
        <is>
          <t>Participa</t>
        </is>
      </c>
      <c r="E242" s="34" t="inlineStr">
        <is>
          <t>Participa</t>
        </is>
      </c>
      <c r="F242" s="34" t="inlineStr">
        <is>
          <t>Participa</t>
        </is>
      </c>
      <c r="G242" s="34" t="inlineStr">
        <is>
          <t>Participa</t>
        </is>
      </c>
      <c r="H242" s="34" t="inlineStr">
        <is>
          <t>Participa</t>
        </is>
      </c>
      <c r="I242" s="34" t="inlineStr">
        <is>
          <t>Não Participa</t>
        </is>
      </c>
      <c r="J242" s="34" t="inlineStr">
        <is>
          <t>Não Participa</t>
        </is>
      </c>
      <c r="K242" s="34" t="inlineStr">
        <is>
          <t>Não Participa</t>
        </is>
      </c>
    </row>
    <row r="243">
      <c r="A243" s="34" t="inlineStr">
        <is>
          <t>Aluno 239</t>
        </is>
      </c>
      <c r="B243" s="34" t="inlineStr">
        <is>
          <t>Turma B1</t>
        </is>
      </c>
      <c r="C243" s="34" t="inlineStr">
        <is>
          <t>Vespertino</t>
        </is>
      </c>
      <c r="D243" s="34" t="inlineStr">
        <is>
          <t>Participa</t>
        </is>
      </c>
      <c r="E243" s="34" t="inlineStr">
        <is>
          <t>Participa</t>
        </is>
      </c>
      <c r="F243" s="34" t="inlineStr">
        <is>
          <t>Participa</t>
        </is>
      </c>
      <c r="G243" s="34" t="inlineStr">
        <is>
          <t>Participa</t>
        </is>
      </c>
      <c r="H243" s="34" t="inlineStr">
        <is>
          <t>Não Participa</t>
        </is>
      </c>
      <c r="I243" s="34" t="inlineStr">
        <is>
          <t>Não Participa</t>
        </is>
      </c>
      <c r="J243" s="34" t="inlineStr">
        <is>
          <t>Não Participa</t>
        </is>
      </c>
      <c r="K243" s="34" t="inlineStr">
        <is>
          <t>Não Participa</t>
        </is>
      </c>
    </row>
    <row r="244">
      <c r="A244" s="34" t="inlineStr">
        <is>
          <t>Aluno 240</t>
        </is>
      </c>
      <c r="B244" s="34" t="inlineStr">
        <is>
          <t>Turma D</t>
        </is>
      </c>
      <c r="C244" s="34" t="inlineStr">
        <is>
          <t>Vespertino</t>
        </is>
      </c>
      <c r="D244" s="34" t="inlineStr">
        <is>
          <t>Participa</t>
        </is>
      </c>
      <c r="E244" s="34" t="inlineStr">
        <is>
          <t>Participa</t>
        </is>
      </c>
      <c r="F244" s="34" t="inlineStr">
        <is>
          <t>Participa</t>
        </is>
      </c>
      <c r="G244" s="34" t="inlineStr">
        <is>
          <t>Participa</t>
        </is>
      </c>
      <c r="H244" s="34" t="inlineStr">
        <is>
          <t>Participa</t>
        </is>
      </c>
      <c r="I244" s="34" t="inlineStr">
        <is>
          <t>Não Participa</t>
        </is>
      </c>
      <c r="J244" s="34" t="inlineStr">
        <is>
          <t>Participa</t>
        </is>
      </c>
      <c r="K244" s="34" t="inlineStr">
        <is>
          <t>Não Participa</t>
        </is>
      </c>
    </row>
    <row r="245">
      <c r="A245" s="34" t="inlineStr">
        <is>
          <t>Aluno 241</t>
        </is>
      </c>
      <c r="B245" s="34" t="inlineStr">
        <is>
          <t>Turma GR</t>
        </is>
      </c>
      <c r="C245" s="34" t="inlineStr">
        <is>
          <t>Vespertino</t>
        </is>
      </c>
      <c r="D245" s="34" t="inlineStr">
        <is>
          <t>Participa</t>
        </is>
      </c>
      <c r="E245" s="34" t="inlineStr">
        <is>
          <t>Participa</t>
        </is>
      </c>
      <c r="F245" s="34" t="inlineStr">
        <is>
          <t>Participa</t>
        </is>
      </c>
      <c r="G245" s="34" t="inlineStr">
        <is>
          <t>Participa</t>
        </is>
      </c>
      <c r="H245" s="34" t="inlineStr">
        <is>
          <t>Participa</t>
        </is>
      </c>
      <c r="I245" s="34" t="inlineStr">
        <is>
          <t>Participa</t>
        </is>
      </c>
      <c r="J245" s="34" t="inlineStr">
        <is>
          <t>Não Participa</t>
        </is>
      </c>
      <c r="K245" s="34" t="inlineStr">
        <is>
          <t>Não Participa</t>
        </is>
      </c>
    </row>
    <row r="246">
      <c r="A246" s="34" t="inlineStr">
        <is>
          <t>Aluno 249</t>
        </is>
      </c>
      <c r="B246" s="34" t="inlineStr">
        <is>
          <t>Turma GR</t>
        </is>
      </c>
      <c r="C246" s="34" t="inlineStr">
        <is>
          <t>Vespertino</t>
        </is>
      </c>
      <c r="D246" s="34" t="inlineStr">
        <is>
          <t>Não Participa</t>
        </is>
      </c>
      <c r="E246" s="34" t="inlineStr">
        <is>
          <t>Não Participa</t>
        </is>
      </c>
      <c r="F246" s="34" t="inlineStr">
        <is>
          <t>Participa</t>
        </is>
      </c>
      <c r="G246" s="34" t="inlineStr">
        <is>
          <t>Não Participa</t>
        </is>
      </c>
      <c r="H246" s="34" t="inlineStr">
        <is>
          <t>Não Participa</t>
        </is>
      </c>
      <c r="I246" s="34" t="inlineStr">
        <is>
          <t>Participa</t>
        </is>
      </c>
      <c r="J246" s="34" t="inlineStr">
        <is>
          <t>Não Participa</t>
        </is>
      </c>
      <c r="K246" s="34" t="inlineStr">
        <is>
          <t>Participa</t>
        </is>
      </c>
    </row>
    <row r="247">
      <c r="A247" s="34" t="inlineStr">
        <is>
          <t>Aluno 242</t>
        </is>
      </c>
      <c r="B247" s="34" t="inlineStr">
        <is>
          <t>Turma D</t>
        </is>
      </c>
      <c r="C247" s="34" t="inlineStr">
        <is>
          <t>Matutino</t>
        </is>
      </c>
      <c r="D247" s="34" t="inlineStr">
        <is>
          <t>Participa</t>
        </is>
      </c>
      <c r="E247" s="34" t="inlineStr">
        <is>
          <t>Participa</t>
        </is>
      </c>
      <c r="F247" s="34" t="inlineStr">
        <is>
          <t>Participa</t>
        </is>
      </c>
      <c r="G247" s="34" t="inlineStr">
        <is>
          <t>Participa</t>
        </is>
      </c>
      <c r="H247" s="34" t="inlineStr">
        <is>
          <t>Participa</t>
        </is>
      </c>
      <c r="I247" s="34" t="inlineStr">
        <is>
          <t>Não Participa</t>
        </is>
      </c>
      <c r="J247" s="34" t="inlineStr">
        <is>
          <t>Participa</t>
        </is>
      </c>
      <c r="K247" s="34" t="inlineStr">
        <is>
          <t>Não Participa</t>
        </is>
      </c>
    </row>
    <row r="248">
      <c r="A248" s="18" t="inlineStr">
        <is>
          <t>Aluno 243</t>
        </is>
      </c>
      <c r="B248" s="34" t="inlineStr">
        <is>
          <t>Turma C</t>
        </is>
      </c>
      <c r="C248" s="34" t="inlineStr">
        <is>
          <t>Vespertino</t>
        </is>
      </c>
      <c r="D248" s="34" t="inlineStr">
        <is>
          <t>Não Participa</t>
        </is>
      </c>
      <c r="E248" s="34" t="inlineStr">
        <is>
          <t>Não Participa</t>
        </is>
      </c>
      <c r="F248" s="34" t="inlineStr">
        <is>
          <t>Não Participa</t>
        </is>
      </c>
      <c r="G248" s="34" t="inlineStr">
        <is>
          <t>Não Participa</t>
        </is>
      </c>
      <c r="H248" s="34" t="inlineStr">
        <is>
          <t>Não Participa</t>
        </is>
      </c>
      <c r="I248" s="34" t="inlineStr">
        <is>
          <t>Não Participa</t>
        </is>
      </c>
      <c r="J248" s="34" t="inlineStr">
        <is>
          <t>Não Participa</t>
        </is>
      </c>
      <c r="K248" s="34" t="inlineStr">
        <is>
          <t>Não Participa</t>
        </is>
      </c>
    </row>
    <row r="249">
      <c r="A249" s="18" t="inlineStr">
        <is>
          <t>Aluno 244</t>
        </is>
      </c>
      <c r="B249" s="34" t="inlineStr">
        <is>
          <t>Turma E</t>
        </is>
      </c>
      <c r="C249" s="34" t="inlineStr">
        <is>
          <t>Matutino</t>
        </is>
      </c>
      <c r="D249" s="34" t="inlineStr">
        <is>
          <t>Não Participa</t>
        </is>
      </c>
      <c r="E249" s="34" t="inlineStr">
        <is>
          <t>Não Participa</t>
        </is>
      </c>
      <c r="F249" s="34" t="inlineStr">
        <is>
          <t>Não Participa</t>
        </is>
      </c>
      <c r="G249" s="34" t="inlineStr">
        <is>
          <t>Não Participa</t>
        </is>
      </c>
      <c r="H249" s="34" t="inlineStr">
        <is>
          <t>Não Participa</t>
        </is>
      </c>
      <c r="I249" s="34" t="inlineStr">
        <is>
          <t>Não Participa</t>
        </is>
      </c>
      <c r="J249" s="34" t="inlineStr">
        <is>
          <t>Não Participa</t>
        </is>
      </c>
      <c r="K249" s="34" t="inlineStr">
        <is>
          <t>Não Participa</t>
        </is>
      </c>
    </row>
    <row r="250">
      <c r="A250" s="34" t="inlineStr">
        <is>
          <t>Aluno 245</t>
        </is>
      </c>
      <c r="B250" s="34" t="inlineStr">
        <is>
          <t>Turma B2</t>
        </is>
      </c>
      <c r="C250" s="34" t="inlineStr">
        <is>
          <t>Matutino</t>
        </is>
      </c>
      <c r="D250" s="34" t="inlineStr">
        <is>
          <t>Não Participa</t>
        </is>
      </c>
      <c r="E250" s="34" t="inlineStr">
        <is>
          <t>Não Participa</t>
        </is>
      </c>
      <c r="F250" s="34" t="inlineStr">
        <is>
          <t>Participa</t>
        </is>
      </c>
      <c r="G250" s="34" t="inlineStr">
        <is>
          <t>Participa</t>
        </is>
      </c>
      <c r="H250" s="34" t="inlineStr">
        <is>
          <t>Não Participa</t>
        </is>
      </c>
      <c r="I250" s="34" t="inlineStr">
        <is>
          <t>Não Participa</t>
        </is>
      </c>
      <c r="J250" s="34" t="inlineStr">
        <is>
          <t>Não Participa</t>
        </is>
      </c>
      <c r="K250" s="34" t="inlineStr">
        <is>
          <t>Não Participa</t>
        </is>
      </c>
    </row>
    <row r="251">
      <c r="A251" s="34" t="inlineStr">
        <is>
          <t>Aluno 246</t>
        </is>
      </c>
      <c r="B251" s="34" t="inlineStr">
        <is>
          <t>Turma A</t>
        </is>
      </c>
      <c r="C251" s="34" t="inlineStr">
        <is>
          <t>Matutino</t>
        </is>
      </c>
      <c r="D251" s="34" t="inlineStr">
        <is>
          <t>Não Participa</t>
        </is>
      </c>
      <c r="E251" s="34" t="inlineStr">
        <is>
          <t>Não Participa</t>
        </is>
      </c>
      <c r="F251" s="34" t="inlineStr">
        <is>
          <t>Participa</t>
        </is>
      </c>
      <c r="G251" s="34" t="inlineStr">
        <is>
          <t>Participa</t>
        </is>
      </c>
      <c r="H251" s="34" t="inlineStr">
        <is>
          <t>Não Participa</t>
        </is>
      </c>
      <c r="I251" s="34" t="inlineStr">
        <is>
          <t>Não Participa</t>
        </is>
      </c>
      <c r="J251" s="34" t="inlineStr">
        <is>
          <t>Não Participa</t>
        </is>
      </c>
      <c r="K251" s="34" t="inlineStr">
        <is>
          <t>Não Participa</t>
        </is>
      </c>
    </row>
    <row r="252">
      <c r="A252" s="34" t="inlineStr">
        <is>
          <t>Aluno 247</t>
        </is>
      </c>
      <c r="B252" s="34" t="inlineStr">
        <is>
          <t>Turma A</t>
        </is>
      </c>
      <c r="C252" s="34" t="inlineStr">
        <is>
          <t>Vespertino</t>
        </is>
      </c>
      <c r="D252" s="34" t="inlineStr">
        <is>
          <t>Não Participa</t>
        </is>
      </c>
      <c r="E252" s="34" t="inlineStr">
        <is>
          <t>Não Participa</t>
        </is>
      </c>
      <c r="F252" s="34" t="inlineStr">
        <is>
          <t>Participa</t>
        </is>
      </c>
      <c r="G252" s="34" t="inlineStr">
        <is>
          <t>Não Participa</t>
        </is>
      </c>
      <c r="H252" s="34" t="inlineStr">
        <is>
          <t>Não Participa</t>
        </is>
      </c>
      <c r="I252" s="34" t="inlineStr">
        <is>
          <t>Não Participa</t>
        </is>
      </c>
      <c r="J252" s="34" t="inlineStr">
        <is>
          <t>Não Participa</t>
        </is>
      </c>
      <c r="K252" s="34" t="inlineStr">
        <is>
          <t>Participa</t>
        </is>
      </c>
    </row>
    <row r="253">
      <c r="A253" s="18" t="inlineStr">
        <is>
          <t>Aluno 248</t>
        </is>
      </c>
      <c r="B253" s="34" t="inlineStr">
        <is>
          <t>Turma B1</t>
        </is>
      </c>
      <c r="C253" s="34" t="inlineStr">
        <is>
          <t>Matutino</t>
        </is>
      </c>
      <c r="D253" s="34" t="inlineStr">
        <is>
          <t>Não Participa</t>
        </is>
      </c>
      <c r="E253" s="34" t="inlineStr">
        <is>
          <t>Não Participa</t>
        </is>
      </c>
      <c r="F253" s="34" t="inlineStr">
        <is>
          <t>Não Participa</t>
        </is>
      </c>
      <c r="G253" s="34" t="inlineStr">
        <is>
          <t>Não Participa</t>
        </is>
      </c>
      <c r="H253" s="34" t="inlineStr">
        <is>
          <t>Não Participa</t>
        </is>
      </c>
      <c r="I253" s="34" t="inlineStr">
        <is>
          <t>Não Participa</t>
        </is>
      </c>
      <c r="J253" s="34" t="inlineStr">
        <is>
          <t>Não Participa</t>
        </is>
      </c>
      <c r="K253" s="34" t="inlineStr">
        <is>
          <t>Não Participa</t>
        </is>
      </c>
    </row>
    <row r="254">
      <c r="A254" s="34" t="inlineStr">
        <is>
          <t>Aluno 250</t>
        </is>
      </c>
      <c r="B254" s="34" t="inlineStr">
        <is>
          <t>Turma GR</t>
        </is>
      </c>
      <c r="C254" s="34" t="inlineStr">
        <is>
          <t>Vespertino</t>
        </is>
      </c>
      <c r="D254" s="34" t="inlineStr">
        <is>
          <t>Participa</t>
        </is>
      </c>
      <c r="E254" s="34" t="inlineStr">
        <is>
          <t>Participa</t>
        </is>
      </c>
      <c r="F254" s="34" t="inlineStr">
        <is>
          <t>Participa</t>
        </is>
      </c>
      <c r="G254" s="34" t="inlineStr">
        <is>
          <t>Participa</t>
        </is>
      </c>
      <c r="H254" s="34" t="inlineStr">
        <is>
          <t>Participa</t>
        </is>
      </c>
      <c r="I254" s="34" t="inlineStr">
        <is>
          <t>Participa</t>
        </is>
      </c>
      <c r="J254" s="34" t="inlineStr">
        <is>
          <t>Não Participa</t>
        </is>
      </c>
      <c r="K254" s="34" t="inlineStr">
        <is>
          <t>Não Participa</t>
        </is>
      </c>
    </row>
    <row r="255">
      <c r="A255" s="34" t="inlineStr">
        <is>
          <t>Aluno 251</t>
        </is>
      </c>
      <c r="B255" s="34" t="inlineStr">
        <is>
          <t>Turma GR</t>
        </is>
      </c>
      <c r="C255" s="34" t="inlineStr">
        <is>
          <t>Vespertino</t>
        </is>
      </c>
      <c r="D255" s="34" t="inlineStr">
        <is>
          <t>Participa</t>
        </is>
      </c>
      <c r="E255" s="34" t="inlineStr">
        <is>
          <t>Participa</t>
        </is>
      </c>
      <c r="F255" s="34" t="inlineStr">
        <is>
          <t>Participa</t>
        </is>
      </c>
      <c r="G255" s="34" t="inlineStr">
        <is>
          <t>Participa</t>
        </is>
      </c>
      <c r="H255" s="34" t="inlineStr">
        <is>
          <t>Participa</t>
        </is>
      </c>
      <c r="I255" s="34" t="inlineStr">
        <is>
          <t>Participa</t>
        </is>
      </c>
      <c r="J255" s="34" t="inlineStr">
        <is>
          <t>Não Participa</t>
        </is>
      </c>
      <c r="K255" s="34" t="inlineStr">
        <is>
          <t>Não Participa</t>
        </is>
      </c>
    </row>
    <row r="256">
      <c r="A256" s="34" t="inlineStr">
        <is>
          <t>Aluno 252</t>
        </is>
      </c>
      <c r="B256" s="34" t="inlineStr">
        <is>
          <t>Turma D</t>
        </is>
      </c>
      <c r="C256" s="34" t="inlineStr">
        <is>
          <t>Vespertino</t>
        </is>
      </c>
      <c r="D256" s="34" t="inlineStr">
        <is>
          <t>Participa</t>
        </is>
      </c>
      <c r="E256" s="34" t="inlineStr">
        <is>
          <t>Participa</t>
        </is>
      </c>
      <c r="F256" s="34" t="inlineStr">
        <is>
          <t>Participa</t>
        </is>
      </c>
      <c r="G256" s="34" t="inlineStr">
        <is>
          <t>Participa</t>
        </is>
      </c>
      <c r="H256" s="34" t="inlineStr">
        <is>
          <t>Participa</t>
        </is>
      </c>
      <c r="I256" s="34" t="inlineStr">
        <is>
          <t>Não Participa</t>
        </is>
      </c>
      <c r="J256" s="34" t="inlineStr">
        <is>
          <t>Participa</t>
        </is>
      </c>
      <c r="K256" s="34" t="inlineStr">
        <is>
          <t>Não Participa</t>
        </is>
      </c>
    </row>
    <row r="257">
      <c r="A257" s="18" t="inlineStr">
        <is>
          <t>Aluno 253</t>
        </is>
      </c>
      <c r="B257" s="34" t="inlineStr">
        <is>
          <t>Turma E</t>
        </is>
      </c>
      <c r="C257" s="34" t="inlineStr">
        <is>
          <t>Vespertino</t>
        </is>
      </c>
      <c r="D257" s="34" t="inlineStr">
        <is>
          <t>Não Participa</t>
        </is>
      </c>
      <c r="E257" s="34" t="inlineStr">
        <is>
          <t>Não Participa</t>
        </is>
      </c>
      <c r="F257" s="34" t="inlineStr">
        <is>
          <t>Não Participa</t>
        </is>
      </c>
      <c r="G257" s="34" t="inlineStr">
        <is>
          <t>Não Participa</t>
        </is>
      </c>
      <c r="H257" s="34" t="inlineStr">
        <is>
          <t>Não Participa</t>
        </is>
      </c>
      <c r="I257" s="34" t="inlineStr">
        <is>
          <t>Não Participa</t>
        </is>
      </c>
      <c r="J257" s="34" t="inlineStr">
        <is>
          <t>Não Participa</t>
        </is>
      </c>
      <c r="K257" s="34" t="inlineStr">
        <is>
          <t>Não Participa</t>
        </is>
      </c>
    </row>
    <row r="258">
      <c r="A258" s="34" t="inlineStr">
        <is>
          <t>Aluno 254</t>
        </is>
      </c>
      <c r="B258" s="34" t="inlineStr">
        <is>
          <t>Turma B1</t>
        </is>
      </c>
      <c r="C258" s="34" t="inlineStr">
        <is>
          <t>Vespertino</t>
        </is>
      </c>
      <c r="D258" s="34" t="inlineStr">
        <is>
          <t>Participa</t>
        </is>
      </c>
      <c r="E258" s="34" t="inlineStr">
        <is>
          <t>Não Participa</t>
        </is>
      </c>
      <c r="F258" s="34" t="inlineStr">
        <is>
          <t>Participa</t>
        </is>
      </c>
      <c r="G258" s="34" t="inlineStr">
        <is>
          <t>Participa</t>
        </is>
      </c>
      <c r="H258" s="34" t="inlineStr">
        <is>
          <t>Não Participa</t>
        </is>
      </c>
      <c r="I258" s="34" t="inlineStr">
        <is>
          <t>Não Participa</t>
        </is>
      </c>
      <c r="J258" s="34" t="inlineStr">
        <is>
          <t>Participa</t>
        </is>
      </c>
      <c r="K258" s="34" t="inlineStr">
        <is>
          <t>Não Participa</t>
        </is>
      </c>
    </row>
    <row r="259">
      <c r="A259" s="34" t="inlineStr">
        <is>
          <t>Aluno 255</t>
        </is>
      </c>
      <c r="B259" s="34" t="inlineStr">
        <is>
          <t>Turma C</t>
        </is>
      </c>
      <c r="C259" s="34" t="inlineStr">
        <is>
          <t>Matutino</t>
        </is>
      </c>
      <c r="D259" s="34" t="inlineStr">
        <is>
          <t>Participa</t>
        </is>
      </c>
      <c r="E259" s="34" t="inlineStr">
        <is>
          <t>Participa</t>
        </is>
      </c>
      <c r="F259" s="34" t="inlineStr">
        <is>
          <t>Participa</t>
        </is>
      </c>
      <c r="G259" s="34" t="inlineStr">
        <is>
          <t>Participa</t>
        </is>
      </c>
      <c r="H259" s="34" t="inlineStr">
        <is>
          <t>Não Participa</t>
        </is>
      </c>
      <c r="I259" s="34" t="inlineStr">
        <is>
          <t>Não Participa</t>
        </is>
      </c>
      <c r="J259" s="34" t="inlineStr">
        <is>
          <t>Não Participa</t>
        </is>
      </c>
      <c r="K259" s="34" t="inlineStr">
        <is>
          <t>Não Participa</t>
        </is>
      </c>
    </row>
    <row r="260">
      <c r="A260" s="34" t="inlineStr">
        <is>
          <t>Aluno 256</t>
        </is>
      </c>
      <c r="B260" s="34" t="inlineStr">
        <is>
          <t>Turma D</t>
        </is>
      </c>
      <c r="C260" s="34" t="inlineStr">
        <is>
          <t>Vespertino</t>
        </is>
      </c>
      <c r="D260" s="34" t="inlineStr">
        <is>
          <t>Participa</t>
        </is>
      </c>
      <c r="E260" s="34" t="inlineStr">
        <is>
          <t>Não Participa</t>
        </is>
      </c>
      <c r="F260" s="34" t="inlineStr">
        <is>
          <t>Participa</t>
        </is>
      </c>
      <c r="G260" s="34" t="inlineStr">
        <is>
          <t>Não Participa</t>
        </is>
      </c>
      <c r="H260" s="34" t="inlineStr">
        <is>
          <t>Não Participa</t>
        </is>
      </c>
      <c r="I260" s="34" t="inlineStr">
        <is>
          <t>Não Participa</t>
        </is>
      </c>
      <c r="J260" s="34" t="inlineStr">
        <is>
          <t>Participa</t>
        </is>
      </c>
      <c r="K260" s="34" t="inlineStr">
        <is>
          <t>Não Participa</t>
        </is>
      </c>
    </row>
    <row r="261">
      <c r="A261" s="34" t="inlineStr">
        <is>
          <t>Aluno 257</t>
        </is>
      </c>
      <c r="B261" s="34" t="inlineStr">
        <is>
          <t>Turma A</t>
        </is>
      </c>
      <c r="C261" s="34" t="inlineStr">
        <is>
          <t>Vespertino</t>
        </is>
      </c>
      <c r="D261" s="34" t="inlineStr">
        <is>
          <t>Participa</t>
        </is>
      </c>
      <c r="E261" s="34" t="inlineStr">
        <is>
          <t>Não Participa</t>
        </is>
      </c>
      <c r="F261" s="34" t="inlineStr">
        <is>
          <t>Participa</t>
        </is>
      </c>
      <c r="G261" s="34" t="inlineStr">
        <is>
          <t>Não Participa</t>
        </is>
      </c>
      <c r="H261" s="34" t="inlineStr">
        <is>
          <t>Não Participa</t>
        </is>
      </c>
      <c r="I261" s="34" t="inlineStr">
        <is>
          <t>Não Participa</t>
        </is>
      </c>
      <c r="J261" s="34" t="inlineStr">
        <is>
          <t>Não Participa</t>
        </is>
      </c>
      <c r="K261" s="34" t="inlineStr">
        <is>
          <t>Não Participa</t>
        </is>
      </c>
    </row>
    <row r="262">
      <c r="A262" s="34" t="inlineStr">
        <is>
          <t>Aluno 258</t>
        </is>
      </c>
      <c r="B262" s="34" t="inlineStr">
        <is>
          <t>Turma B1</t>
        </is>
      </c>
      <c r="C262" s="34" t="inlineStr">
        <is>
          <t>Vespertino</t>
        </is>
      </c>
      <c r="D262" s="34" t="inlineStr">
        <is>
          <t>Participa</t>
        </is>
      </c>
      <c r="E262" s="34" t="inlineStr">
        <is>
          <t>Participa</t>
        </is>
      </c>
      <c r="F262" s="34" t="inlineStr">
        <is>
          <t>Participa</t>
        </is>
      </c>
      <c r="G262" s="34" t="inlineStr">
        <is>
          <t>Participa</t>
        </is>
      </c>
      <c r="H262" s="34" t="inlineStr">
        <is>
          <t>Não Participa</t>
        </is>
      </c>
      <c r="I262" s="34" t="inlineStr">
        <is>
          <t>Não Participa</t>
        </is>
      </c>
      <c r="J262" s="34" t="inlineStr">
        <is>
          <t>Participa</t>
        </is>
      </c>
      <c r="K262" s="34" t="inlineStr">
        <is>
          <t>Participa</t>
        </is>
      </c>
    </row>
    <row r="263">
      <c r="A263" s="34" t="inlineStr">
        <is>
          <t>Aluno 259</t>
        </is>
      </c>
      <c r="B263" s="34" t="inlineStr">
        <is>
          <t>Turma C</t>
        </is>
      </c>
      <c r="C263" s="34" t="inlineStr">
        <is>
          <t>Matutino</t>
        </is>
      </c>
      <c r="D263" s="34" t="inlineStr">
        <is>
          <t>Não Participa</t>
        </is>
      </c>
      <c r="E263" s="34" t="inlineStr">
        <is>
          <t>Não Participa</t>
        </is>
      </c>
      <c r="F263" s="34" t="inlineStr">
        <is>
          <t>Participa</t>
        </is>
      </c>
      <c r="G263" s="34" t="inlineStr">
        <is>
          <t>Participa</t>
        </is>
      </c>
      <c r="H263" s="34" t="inlineStr">
        <is>
          <t>Participa</t>
        </is>
      </c>
      <c r="I263" s="34" t="inlineStr">
        <is>
          <t>Não Participa</t>
        </is>
      </c>
      <c r="J263" s="34" t="inlineStr">
        <is>
          <t>Não Participa</t>
        </is>
      </c>
      <c r="K263" s="34" t="inlineStr">
        <is>
          <t>Não Participa</t>
        </is>
      </c>
    </row>
    <row r="264">
      <c r="A264" s="18" t="inlineStr">
        <is>
          <t>Aluno 260</t>
        </is>
      </c>
      <c r="B264" s="34" t="inlineStr">
        <is>
          <t>Turma D</t>
        </is>
      </c>
      <c r="C264" s="34" t="inlineStr">
        <is>
          <t>Matutino</t>
        </is>
      </c>
      <c r="D264" s="34" t="inlineStr">
        <is>
          <t>Não Participa</t>
        </is>
      </c>
      <c r="E264" s="34" t="inlineStr">
        <is>
          <t>Não Participa</t>
        </is>
      </c>
      <c r="F264" s="34" t="inlineStr">
        <is>
          <t>Não Participa</t>
        </is>
      </c>
      <c r="G264" s="34" t="inlineStr">
        <is>
          <t>Não Participa</t>
        </is>
      </c>
      <c r="H264" s="34" t="inlineStr">
        <is>
          <t>Não Participa</t>
        </is>
      </c>
      <c r="I264" s="34" t="inlineStr">
        <is>
          <t>Não Participa</t>
        </is>
      </c>
      <c r="J264" s="34" t="inlineStr">
        <is>
          <t>Não Participa</t>
        </is>
      </c>
      <c r="K264" s="34" t="inlineStr">
        <is>
          <t>Não Participa</t>
        </is>
      </c>
    </row>
    <row r="265">
      <c r="A265" s="34" t="inlineStr">
        <is>
          <t>Aluno 261</t>
        </is>
      </c>
      <c r="B265" s="34" t="inlineStr">
        <is>
          <t>Turma E</t>
        </is>
      </c>
      <c r="C265" s="34" t="inlineStr">
        <is>
          <t>Vespertino</t>
        </is>
      </c>
      <c r="D265" s="34" t="inlineStr">
        <is>
          <t>Participa</t>
        </is>
      </c>
      <c r="E265" s="34" t="inlineStr">
        <is>
          <t>Participa</t>
        </is>
      </c>
      <c r="F265" s="34" t="inlineStr">
        <is>
          <t>Participa</t>
        </is>
      </c>
      <c r="G265" s="34" t="inlineStr">
        <is>
          <t>Participa</t>
        </is>
      </c>
      <c r="H265" s="34" t="inlineStr">
        <is>
          <t>Participa</t>
        </is>
      </c>
      <c r="I265" s="34" t="inlineStr">
        <is>
          <t>Participa</t>
        </is>
      </c>
      <c r="J265" s="34" t="inlineStr">
        <is>
          <t>Não Participa</t>
        </is>
      </c>
      <c r="K265" s="34" t="inlineStr">
        <is>
          <t>Não Participa</t>
        </is>
      </c>
    </row>
    <row r="266">
      <c r="A266" s="18" t="inlineStr">
        <is>
          <t>Aluno 262</t>
        </is>
      </c>
      <c r="B266" s="34" t="inlineStr">
        <is>
          <t>Turma C</t>
        </is>
      </c>
      <c r="C266" s="34" t="inlineStr">
        <is>
          <t>Matutino</t>
        </is>
      </c>
      <c r="D266" s="34" t="inlineStr">
        <is>
          <t>Não Participa</t>
        </is>
      </c>
      <c r="E266" s="34" t="inlineStr">
        <is>
          <t>Não Participa</t>
        </is>
      </c>
      <c r="F266" s="34" t="inlineStr">
        <is>
          <t>Não Participa</t>
        </is>
      </c>
      <c r="G266" s="34" t="inlineStr">
        <is>
          <t>Não Participa</t>
        </is>
      </c>
      <c r="H266" s="34" t="inlineStr">
        <is>
          <t>Não Participa</t>
        </is>
      </c>
      <c r="I266" s="34" t="inlineStr">
        <is>
          <t>Não Participa</t>
        </is>
      </c>
      <c r="J266" s="34" t="inlineStr">
        <is>
          <t>Não Participa</t>
        </is>
      </c>
      <c r="K266" s="34" t="inlineStr">
        <is>
          <t>Não Participa</t>
        </is>
      </c>
    </row>
    <row r="267">
      <c r="A267" s="18" t="inlineStr">
        <is>
          <t>Aluno 263</t>
        </is>
      </c>
      <c r="B267" s="34" t="inlineStr">
        <is>
          <t>Turma B1</t>
        </is>
      </c>
      <c r="C267" s="34" t="inlineStr">
        <is>
          <t>Matutino</t>
        </is>
      </c>
      <c r="D267" s="34" t="inlineStr">
        <is>
          <t>Não Participa</t>
        </is>
      </c>
      <c r="E267" s="34" t="inlineStr">
        <is>
          <t>Não Participa</t>
        </is>
      </c>
      <c r="F267" s="34" t="inlineStr">
        <is>
          <t>Não Participa</t>
        </is>
      </c>
      <c r="G267" s="34" t="inlineStr">
        <is>
          <t>Não Participa</t>
        </is>
      </c>
      <c r="H267" s="34" t="inlineStr">
        <is>
          <t>Não Participa</t>
        </is>
      </c>
      <c r="I267" s="34" t="inlineStr">
        <is>
          <t>Não Participa</t>
        </is>
      </c>
      <c r="J267" s="34" t="inlineStr">
        <is>
          <t>Não Participa</t>
        </is>
      </c>
      <c r="K267" s="34" t="inlineStr">
        <is>
          <t>Não Participa</t>
        </is>
      </c>
    </row>
    <row r="268">
      <c r="A268" s="18" t="inlineStr">
        <is>
          <t>Aluno 264</t>
        </is>
      </c>
      <c r="B268" s="34" t="inlineStr">
        <is>
          <t>Turma B1</t>
        </is>
      </c>
      <c r="C268" s="34" t="inlineStr">
        <is>
          <t>Matutino</t>
        </is>
      </c>
      <c r="D268" s="34" t="inlineStr">
        <is>
          <t>Não Participa</t>
        </is>
      </c>
      <c r="E268" s="34" t="inlineStr">
        <is>
          <t>Não Participa</t>
        </is>
      </c>
      <c r="F268" s="34" t="inlineStr">
        <is>
          <t>Não Participa</t>
        </is>
      </c>
      <c r="G268" s="34" t="inlineStr">
        <is>
          <t>Não Participa</t>
        </is>
      </c>
      <c r="H268" s="34" t="inlineStr">
        <is>
          <t>Não Participa</t>
        </is>
      </c>
      <c r="I268" s="34" t="inlineStr">
        <is>
          <t>Não Participa</t>
        </is>
      </c>
      <c r="J268" s="34" t="inlineStr">
        <is>
          <t>Não Participa</t>
        </is>
      </c>
      <c r="K268" s="34" t="inlineStr">
        <is>
          <t>Não Participa</t>
        </is>
      </c>
    </row>
    <row r="269">
      <c r="A269" s="18" t="inlineStr">
        <is>
          <t>Aluno 265</t>
        </is>
      </c>
      <c r="B269" s="34" t="inlineStr">
        <is>
          <t>Turma C</t>
        </is>
      </c>
      <c r="C269" s="34" t="inlineStr">
        <is>
          <t>Matutino</t>
        </is>
      </c>
      <c r="D269" s="34" t="inlineStr">
        <is>
          <t>Não Participa</t>
        </is>
      </c>
      <c r="E269" s="34" t="inlineStr">
        <is>
          <t>Não Participa</t>
        </is>
      </c>
      <c r="F269" s="34" t="inlineStr">
        <is>
          <t>Não Participa</t>
        </is>
      </c>
      <c r="G269" s="34" t="inlineStr">
        <is>
          <t>Não Participa</t>
        </is>
      </c>
      <c r="H269" s="34" t="inlineStr">
        <is>
          <t>Não Participa</t>
        </is>
      </c>
      <c r="I269" s="34" t="inlineStr">
        <is>
          <t>Não Participa</t>
        </is>
      </c>
      <c r="J269" s="34" t="inlineStr">
        <is>
          <t>Não Participa</t>
        </is>
      </c>
      <c r="K269" s="34" t="inlineStr">
        <is>
          <t>Não Participa</t>
        </is>
      </c>
    </row>
    <row r="270">
      <c r="A270" s="34" t="inlineStr">
        <is>
          <t>Aluno 266</t>
        </is>
      </c>
      <c r="B270" s="34" t="inlineStr">
        <is>
          <t>Turma D</t>
        </is>
      </c>
      <c r="C270" s="34" t="inlineStr">
        <is>
          <t>Matutino</t>
        </is>
      </c>
      <c r="D270" s="34" t="inlineStr">
        <is>
          <t>Participa</t>
        </is>
      </c>
      <c r="E270" s="34" t="inlineStr">
        <is>
          <t>Participa</t>
        </is>
      </c>
      <c r="F270" s="34" t="inlineStr">
        <is>
          <t>Participa</t>
        </is>
      </c>
      <c r="G270" s="34" t="inlineStr">
        <is>
          <t>Participa</t>
        </is>
      </c>
      <c r="H270" s="34" t="inlineStr">
        <is>
          <t>Não Participa</t>
        </is>
      </c>
      <c r="I270" s="34" t="inlineStr">
        <is>
          <t>Não Participa</t>
        </is>
      </c>
      <c r="J270" s="34" t="inlineStr">
        <is>
          <t>Participa</t>
        </is>
      </c>
      <c r="K270" s="34" t="inlineStr">
        <is>
          <t>Não Participa</t>
        </is>
      </c>
    </row>
    <row r="271">
      <c r="A271" s="18" t="inlineStr">
        <is>
          <t>Aluno 267</t>
        </is>
      </c>
      <c r="B271" s="34" t="inlineStr">
        <is>
          <t>Turma B2</t>
        </is>
      </c>
      <c r="C271" s="34" t="inlineStr">
        <is>
          <t>Matutino</t>
        </is>
      </c>
      <c r="D271" s="34" t="inlineStr">
        <is>
          <t>Não Participa</t>
        </is>
      </c>
      <c r="E271" s="34" t="inlineStr">
        <is>
          <t>Não Participa</t>
        </is>
      </c>
      <c r="F271" s="34" t="inlineStr">
        <is>
          <t>Não Participa</t>
        </is>
      </c>
      <c r="G271" s="34" t="inlineStr">
        <is>
          <t>Não Participa</t>
        </is>
      </c>
      <c r="H271" s="34" t="inlineStr">
        <is>
          <t>Não Participa</t>
        </is>
      </c>
      <c r="I271" s="34" t="inlineStr">
        <is>
          <t>Não Participa</t>
        </is>
      </c>
      <c r="J271" s="34" t="inlineStr">
        <is>
          <t>Não Participa</t>
        </is>
      </c>
      <c r="K271" s="34" t="inlineStr">
        <is>
          <t>Não Participa</t>
        </is>
      </c>
    </row>
    <row r="272">
      <c r="A272" s="18" t="inlineStr">
        <is>
          <t>Aluno 268</t>
        </is>
      </c>
      <c r="B272" s="34" t="inlineStr">
        <is>
          <t>Turma E</t>
        </is>
      </c>
      <c r="C272" s="34" t="inlineStr">
        <is>
          <t>Matutino</t>
        </is>
      </c>
      <c r="D272" s="34" t="inlineStr">
        <is>
          <t>Não Participa</t>
        </is>
      </c>
      <c r="E272" s="34" t="inlineStr">
        <is>
          <t>Não Participa</t>
        </is>
      </c>
      <c r="F272" s="34" t="inlineStr">
        <is>
          <t>Não Participa</t>
        </is>
      </c>
      <c r="G272" s="34" t="inlineStr">
        <is>
          <t>Não Participa</t>
        </is>
      </c>
      <c r="H272" s="34" t="inlineStr">
        <is>
          <t>Não Participa</t>
        </is>
      </c>
      <c r="I272" s="34" t="inlineStr">
        <is>
          <t>Não Participa</t>
        </is>
      </c>
      <c r="J272" s="34" t="inlineStr">
        <is>
          <t>Não Participa</t>
        </is>
      </c>
      <c r="K272" s="34" t="inlineStr">
        <is>
          <t>Não Participa</t>
        </is>
      </c>
    </row>
    <row r="273">
      <c r="A273" s="34" t="inlineStr">
        <is>
          <t>Aluno 269</t>
        </is>
      </c>
      <c r="B273" s="34" t="inlineStr">
        <is>
          <t>Turma D</t>
        </is>
      </c>
      <c r="C273" s="34" t="inlineStr">
        <is>
          <t>Matutino</t>
        </is>
      </c>
      <c r="D273" s="34" t="inlineStr">
        <is>
          <t>Participa</t>
        </is>
      </c>
      <c r="E273" s="34" t="inlineStr">
        <is>
          <t>Participa</t>
        </is>
      </c>
      <c r="F273" s="34" t="inlineStr">
        <is>
          <t>Participa</t>
        </is>
      </c>
      <c r="G273" s="34" t="inlineStr">
        <is>
          <t>Participa</t>
        </is>
      </c>
      <c r="H273" s="34" t="inlineStr">
        <is>
          <t>Participa</t>
        </is>
      </c>
      <c r="I273" s="34" t="inlineStr">
        <is>
          <t>Não Participa</t>
        </is>
      </c>
      <c r="J273" s="34" t="inlineStr">
        <is>
          <t>Participa</t>
        </is>
      </c>
      <c r="K273" s="34" t="inlineStr">
        <is>
          <t>Não Participa</t>
        </is>
      </c>
    </row>
    <row r="274">
      <c r="A274" s="18" t="inlineStr">
        <is>
          <t>Aluno 270</t>
        </is>
      </c>
      <c r="B274" s="34" t="inlineStr">
        <is>
          <t>Turma B1</t>
        </is>
      </c>
      <c r="C274" s="34" t="inlineStr">
        <is>
          <t>Matutino</t>
        </is>
      </c>
      <c r="D274" s="34" t="inlineStr">
        <is>
          <t>Não Participa</t>
        </is>
      </c>
      <c r="E274" s="34" t="inlineStr">
        <is>
          <t>Não Participa</t>
        </is>
      </c>
      <c r="F274" s="34" t="inlineStr">
        <is>
          <t>Não Participa</t>
        </is>
      </c>
      <c r="G274" s="34" t="inlineStr">
        <is>
          <t>Não Participa</t>
        </is>
      </c>
      <c r="H274" s="34" t="inlineStr">
        <is>
          <t>Não Participa</t>
        </is>
      </c>
      <c r="I274" s="34" t="inlineStr">
        <is>
          <t>Não Participa</t>
        </is>
      </c>
      <c r="J274" s="34" t="inlineStr">
        <is>
          <t>Não Participa</t>
        </is>
      </c>
      <c r="K274" s="34" t="inlineStr">
        <is>
          <t>Não Participa</t>
        </is>
      </c>
    </row>
    <row r="275">
      <c r="A275" s="18" t="inlineStr">
        <is>
          <t>Aluno 271</t>
        </is>
      </c>
      <c r="B275" s="34" t="inlineStr">
        <is>
          <t>Turma B1</t>
        </is>
      </c>
      <c r="C275" s="34" t="inlineStr">
        <is>
          <t>Matutino</t>
        </is>
      </c>
      <c r="D275" s="34" t="inlineStr">
        <is>
          <t>Não Participa</t>
        </is>
      </c>
      <c r="E275" s="34" t="inlineStr">
        <is>
          <t>Não Participa</t>
        </is>
      </c>
      <c r="F275" s="34" t="inlineStr">
        <is>
          <t>Não Participa</t>
        </is>
      </c>
      <c r="G275" s="34" t="inlineStr">
        <is>
          <t>Não Participa</t>
        </is>
      </c>
      <c r="H275" s="34" t="inlineStr">
        <is>
          <t>Não Participa</t>
        </is>
      </c>
      <c r="I275" s="34" t="inlineStr">
        <is>
          <t>Não Participa</t>
        </is>
      </c>
      <c r="J275" s="34" t="inlineStr">
        <is>
          <t>Não Participa</t>
        </is>
      </c>
      <c r="K275" s="34" t="inlineStr">
        <is>
          <t>Não Participa</t>
        </is>
      </c>
    </row>
    <row r="276">
      <c r="A276" s="34" t="inlineStr">
        <is>
          <t>Aluno 088</t>
        </is>
      </c>
      <c r="B276" s="34" t="inlineStr">
        <is>
          <t>Turma GR</t>
        </is>
      </c>
      <c r="C276" s="34" t="inlineStr">
        <is>
          <t>Vespertino</t>
        </is>
      </c>
      <c r="D276" s="34" t="inlineStr">
        <is>
          <t>Participa</t>
        </is>
      </c>
      <c r="E276" s="34" t="inlineStr">
        <is>
          <t>Participa</t>
        </is>
      </c>
      <c r="F276" s="34" t="inlineStr">
        <is>
          <t>Participa</t>
        </is>
      </c>
      <c r="G276" s="34" t="inlineStr">
        <is>
          <t>Participa</t>
        </is>
      </c>
      <c r="H276" s="34" t="inlineStr">
        <is>
          <t>Participa</t>
        </is>
      </c>
      <c r="I276" s="34" t="inlineStr">
        <is>
          <t>Participa</t>
        </is>
      </c>
      <c r="J276" s="34" t="inlineStr">
        <is>
          <t>Não Participa</t>
        </is>
      </c>
      <c r="K276" s="34" t="inlineStr">
        <is>
          <t>Não Participa</t>
        </is>
      </c>
    </row>
  </sheetData>
  <autoFilter ref="$A$1:$Z$276">
    <sortState ref="A1:Z276">
      <sortCondition ref="C1:C276"/>
      <sortCondition ref="B1:B276"/>
      <sortCondition ref="A1:A276"/>
    </sortState>
  </autoFilter>
  <conditionalFormatting sqref="A1:A981">
    <cfRule type="containsText" priority="1" operator="containsText" dxfId="0" text="M:M">
      <formula>NOT(ISERROR(SEARCH(("M:M"),(A1))))</formula>
    </cfRule>
    <cfRule type="expression" priority="2" dxfId="0">
      <formula>(M:M)</formula>
    </cfRule>
  </conditionalFormatting>
  <dataValidations count="1">
    <dataValidation sqref="D2:K276" showDropDown="0" showInputMessage="0" showErrorMessage="1" allowBlank="1" type="list">
      <formula1>"Participa,Não Participa"</formula1>
    </dataValidation>
  </dataValidations>
  <printOptions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D1000"/>
  <sheetViews>
    <sheetView workbookViewId="0">
      <selection activeCell="A1" sqref="A1"/>
    </sheetView>
  </sheetViews>
  <sheetFormatPr baseColWidth="8" defaultColWidth="12.63" defaultRowHeight="15.75" customHeight="1"/>
  <cols>
    <col width="21.63" customWidth="1" style="128" min="1" max="1"/>
  </cols>
  <sheetData>
    <row r="1">
      <c r="A1" s="20" t="inlineStr">
        <is>
          <t>Desconto de pontos</t>
        </is>
      </c>
    </row>
    <row r="2">
      <c r="A2" s="21" t="inlineStr">
        <is>
          <t>Nome</t>
        </is>
      </c>
      <c r="B2" s="21" t="inlineStr">
        <is>
          <t>Turma</t>
        </is>
      </c>
      <c r="C2" s="5" t="inlineStr">
        <is>
          <t>O que fez ?</t>
        </is>
      </c>
      <c r="D2" s="21" t="inlineStr">
        <is>
          <t>Quantidade</t>
        </is>
      </c>
    </row>
    <row r="3">
      <c r="A3" s="24" t="inlineStr">
        <is>
          <t>Aluno (n/d)</t>
        </is>
      </c>
      <c r="B3" s="24" t="inlineStr">
        <is>
          <t>B1 M</t>
        </is>
      </c>
      <c r="C3" s="25" t="inlineStr">
        <is>
          <t>Andando em cima da mureta mesmo após ser alertado</t>
        </is>
      </c>
      <c r="D3" s="24" t="n">
        <v>1</v>
      </c>
    </row>
    <row r="4">
      <c r="A4" s="24" t="inlineStr">
        <is>
          <t>Aluno (n/d)</t>
        </is>
      </c>
      <c r="B4" s="24" t="inlineStr">
        <is>
          <t xml:space="preserve">D V </t>
        </is>
      </c>
      <c r="C4" s="25" t="inlineStr">
        <is>
          <t>Prática Anti-Desportiva</t>
        </is>
      </c>
      <c r="D4" s="24" t="n">
        <v>2</v>
      </c>
    </row>
    <row r="5" hidden="1" s="128">
      <c r="A5" s="24" t="inlineStr">
        <is>
          <t>Aluno (n/d)</t>
        </is>
      </c>
      <c r="B5" s="24" t="inlineStr">
        <is>
          <t>D M</t>
        </is>
      </c>
      <c r="C5" s="25" t="inlineStr">
        <is>
          <t>Uso do equipamento sem autorização, Ameaça</t>
        </is>
      </c>
      <c r="D5" s="24" t="n">
        <v>4</v>
      </c>
    </row>
    <row r="6">
      <c r="A6" s="24" t="inlineStr">
        <is>
          <t>Aluno (n/d)</t>
        </is>
      </c>
      <c r="B6" s="24" t="inlineStr">
        <is>
          <t>D V</t>
        </is>
      </c>
      <c r="C6" s="25" t="inlineStr">
        <is>
          <t>Prática Anti-Desportiva</t>
        </is>
      </c>
      <c r="D6" s="24" t="n">
        <v>1</v>
      </c>
    </row>
    <row r="7" hidden="1" s="128">
      <c r="A7" s="24" t="inlineStr">
        <is>
          <t>Aluno 266</t>
        </is>
      </c>
      <c r="B7" s="24" t="inlineStr">
        <is>
          <t>D M</t>
        </is>
      </c>
      <c r="C7" s="25" t="inlineStr">
        <is>
          <t>Sairam sem autorização e trouxeram itens de fora para fundação</t>
        </is>
      </c>
      <c r="D7" s="24" t="n">
        <v>2</v>
      </c>
    </row>
    <row r="8" hidden="1" s="128">
      <c r="A8" s="24" t="inlineStr">
        <is>
          <t>Aluno (n/d)</t>
        </is>
      </c>
      <c r="B8" s="24" t="inlineStr">
        <is>
          <t>D M</t>
        </is>
      </c>
      <c r="C8" s="25" t="inlineStr">
        <is>
          <t>Sairam sem autorização e trouxeram itens de fora para fundação</t>
        </is>
      </c>
      <c r="D8" s="24" t="n">
        <v>2</v>
      </c>
    </row>
    <row r="9" hidden="1" s="128">
      <c r="A9" s="24" t="inlineStr">
        <is>
          <t>Aluno (n/d)</t>
        </is>
      </c>
      <c r="B9" s="24" t="inlineStr">
        <is>
          <t>D M</t>
        </is>
      </c>
      <c r="C9" s="25" t="inlineStr">
        <is>
          <t>Sairam sem autorização e trouxeram itens de fora para fundação</t>
        </is>
      </c>
      <c r="D9" s="24" t="n">
        <v>2</v>
      </c>
    </row>
    <row r="10" hidden="1" s="128">
      <c r="A10" s="24" t="inlineStr">
        <is>
          <t>Aluno 084</t>
        </is>
      </c>
      <c r="B10" s="24" t="inlineStr">
        <is>
          <t>C M</t>
        </is>
      </c>
      <c r="C10" s="25" t="inlineStr">
        <is>
          <t>Sairam sem autorização e trouxeram itens de fora para fundação</t>
        </is>
      </c>
      <c r="D10" s="24" t="n">
        <v>2</v>
      </c>
    </row>
    <row r="11" hidden="1" s="128">
      <c r="A11" s="24" t="inlineStr">
        <is>
          <t>Aluno (n/d)</t>
        </is>
      </c>
      <c r="B11" s="24" t="inlineStr">
        <is>
          <t>C M</t>
        </is>
      </c>
      <c r="C11" s="25" t="inlineStr">
        <is>
          <t>Sairam sem autorização e trouxeram itens de fora para fundação</t>
        </is>
      </c>
      <c r="D11" s="24" t="n">
        <v>2</v>
      </c>
    </row>
    <row r="12" hidden="1" s="128">
      <c r="A12" s="24" t="inlineStr">
        <is>
          <t>Aluno (n/d)</t>
        </is>
      </c>
      <c r="B12" s="24" t="inlineStr">
        <is>
          <t>B2 M</t>
        </is>
      </c>
      <c r="C12" s="25" t="inlineStr">
        <is>
          <t>Bagunça na linha do campo</t>
        </is>
      </c>
      <c r="D12" s="24" t="n">
        <v>1</v>
      </c>
    </row>
    <row r="13" hidden="1" s="128">
      <c r="A13" s="24" t="inlineStr">
        <is>
          <t>Aluno 183</t>
        </is>
      </c>
      <c r="B13" s="24" t="inlineStr">
        <is>
          <t>B1 V</t>
        </is>
      </c>
      <c r="C13" s="25" t="inlineStr">
        <is>
          <t>Bagunça na linha do campo</t>
        </is>
      </c>
      <c r="D13" s="24" t="n">
        <v>1</v>
      </c>
    </row>
    <row r="14" hidden="1" s="128">
      <c r="A14" s="24" t="inlineStr">
        <is>
          <t>Aluno 267</t>
        </is>
      </c>
      <c r="B14" s="24" t="inlineStr">
        <is>
          <t>D M</t>
        </is>
      </c>
      <c r="C14" s="25" t="inlineStr">
        <is>
          <t>Prática Anti-Desportiva</t>
        </is>
      </c>
      <c r="D14" s="24" t="n">
        <v>1</v>
      </c>
    </row>
    <row r="15" hidden="1" s="128">
      <c r="A15" s="24" t="inlineStr">
        <is>
          <t>Aluno 071</t>
        </is>
      </c>
      <c r="B15" s="24" t="inlineStr">
        <is>
          <t>GR</t>
        </is>
      </c>
      <c r="C15" s="25" t="inlineStr">
        <is>
          <t>Agreção ao professor</t>
        </is>
      </c>
      <c r="D15" s="24" t="n">
        <v>1</v>
      </c>
    </row>
    <row r="16" hidden="1" s="128">
      <c r="A16" s="24" t="inlineStr">
        <is>
          <t>Aluno (n/d)</t>
        </is>
      </c>
      <c r="B16" s="24" t="inlineStr">
        <is>
          <t>A V</t>
        </is>
      </c>
      <c r="C16" s="25" t="inlineStr">
        <is>
          <t>Gestos Obscenos</t>
        </is>
      </c>
      <c r="D16" s="24" t="n">
        <v>1</v>
      </c>
    </row>
    <row r="17" hidden="1" s="128">
      <c r="A17" s="24" t="inlineStr">
        <is>
          <t>Aluno (n/d)</t>
        </is>
      </c>
      <c r="B17" s="24" t="inlineStr">
        <is>
          <t>Todos</t>
        </is>
      </c>
      <c r="C17" s="25" t="inlineStr">
        <is>
          <t>Trouxeram Telefone</t>
        </is>
      </c>
      <c r="D17" s="24" t="n">
        <v>1</v>
      </c>
    </row>
    <row r="18">
      <c r="A18" s="24" t="n"/>
      <c r="B18" s="24" t="n"/>
      <c r="C18" s="25" t="n"/>
      <c r="D18" s="24" t="n"/>
    </row>
    <row r="19">
      <c r="A19" s="24" t="n"/>
      <c r="B19" s="24" t="n"/>
      <c r="C19" s="25" t="n"/>
      <c r="D19" s="24" t="n"/>
    </row>
    <row r="20">
      <c r="A20" s="24" t="n"/>
      <c r="B20" s="24" t="n"/>
      <c r="C20" s="25" t="n"/>
      <c r="D20" s="24" t="n"/>
    </row>
    <row r="21">
      <c r="A21" s="24" t="n"/>
      <c r="B21" s="24" t="n"/>
      <c r="C21" s="25" t="n"/>
      <c r="D21" s="24" t="n"/>
    </row>
    <row r="22">
      <c r="A22" s="24" t="n"/>
      <c r="B22" s="24" t="n"/>
      <c r="C22" s="25" t="n"/>
      <c r="D22" s="24" t="n"/>
    </row>
    <row r="23">
      <c r="A23" s="24" t="n"/>
      <c r="B23" s="24" t="n"/>
      <c r="C23" s="25" t="n"/>
      <c r="D23" s="24" t="n"/>
    </row>
    <row r="24">
      <c r="A24" s="24" t="n"/>
      <c r="B24" s="24" t="n"/>
      <c r="C24" s="25" t="n"/>
      <c r="D24" s="24" t="n"/>
    </row>
    <row r="25">
      <c r="A25" s="24" t="n"/>
      <c r="B25" s="24" t="n"/>
      <c r="C25" s="25" t="n"/>
      <c r="D25" s="24" t="n"/>
    </row>
    <row r="26">
      <c r="A26" s="24" t="n"/>
      <c r="B26" s="24" t="n"/>
      <c r="C26" s="25" t="n"/>
      <c r="D26" s="24" t="n"/>
    </row>
    <row r="27">
      <c r="A27" s="24" t="n"/>
      <c r="B27" s="24" t="n"/>
      <c r="C27" s="25" t="n"/>
      <c r="D27" s="24" t="n"/>
    </row>
    <row r="28">
      <c r="A28" s="24" t="n"/>
      <c r="B28" s="24" t="n"/>
      <c r="C28" s="25" t="n"/>
      <c r="D28" s="24" t="n"/>
    </row>
    <row r="29">
      <c r="A29" s="24" t="n"/>
      <c r="B29" s="24" t="n"/>
      <c r="C29" s="25" t="n"/>
      <c r="D29" s="24" t="n"/>
    </row>
    <row r="30">
      <c r="A30" s="24" t="n"/>
      <c r="B30" s="24" t="n"/>
      <c r="C30" s="25" t="n"/>
      <c r="D30" s="24" t="n"/>
    </row>
    <row r="31">
      <c r="A31" s="24" t="n"/>
      <c r="B31" s="24" t="n"/>
      <c r="C31" s="25" t="n"/>
      <c r="D31" s="24" t="n"/>
    </row>
    <row r="32">
      <c r="A32" s="24" t="n"/>
      <c r="B32" s="24" t="n"/>
      <c r="C32" s="25" t="n"/>
      <c r="D32" s="24" t="n"/>
    </row>
    <row r="33">
      <c r="A33" s="24" t="n"/>
      <c r="B33" s="24" t="n"/>
      <c r="C33" s="25" t="n"/>
      <c r="D33" s="24" t="n"/>
    </row>
    <row r="34">
      <c r="A34" s="24" t="n"/>
      <c r="B34" s="24" t="n"/>
      <c r="C34" s="25" t="n"/>
      <c r="D34" s="24" t="n"/>
    </row>
    <row r="35">
      <c r="A35" s="24" t="n"/>
      <c r="B35" s="24" t="n"/>
      <c r="C35" s="25" t="n"/>
      <c r="D35" s="24" t="n"/>
    </row>
    <row r="36">
      <c r="A36" s="24" t="n"/>
      <c r="B36" s="24" t="n"/>
      <c r="C36" s="25" t="n"/>
      <c r="D36" s="24" t="n"/>
    </row>
    <row r="37">
      <c r="A37" s="24" t="n"/>
      <c r="B37" s="24" t="n"/>
      <c r="C37" s="25" t="n"/>
      <c r="D37" s="24" t="n"/>
    </row>
    <row r="38">
      <c r="A38" s="24" t="n"/>
      <c r="B38" s="24" t="n"/>
      <c r="C38" s="25" t="n"/>
      <c r="D38" s="24" t="n"/>
    </row>
    <row r="39">
      <c r="A39" s="24" t="n"/>
      <c r="B39" s="24" t="n"/>
      <c r="C39" s="25" t="n"/>
      <c r="D39" s="24" t="n"/>
    </row>
    <row r="40">
      <c r="A40" s="24" t="n"/>
      <c r="B40" s="24" t="n"/>
      <c r="C40" s="25" t="n"/>
      <c r="D40" s="24" t="n"/>
    </row>
    <row r="41">
      <c r="A41" s="24" t="n"/>
      <c r="B41" s="24" t="n"/>
      <c r="C41" s="25" t="n"/>
      <c r="D41" s="24" t="n"/>
    </row>
    <row r="42">
      <c r="A42" s="24" t="n"/>
      <c r="B42" s="24" t="n"/>
      <c r="C42" s="25" t="n"/>
      <c r="D42" s="24" t="n"/>
    </row>
    <row r="43">
      <c r="A43" s="24" t="n"/>
      <c r="B43" s="24" t="n"/>
      <c r="C43" s="25" t="n"/>
      <c r="D43" s="24" t="n"/>
    </row>
    <row r="44">
      <c r="A44" s="24" t="n"/>
      <c r="B44" s="24" t="n"/>
      <c r="C44" s="25" t="n"/>
      <c r="D44" s="24" t="n"/>
    </row>
    <row r="45">
      <c r="A45" s="24" t="n"/>
      <c r="B45" s="24" t="n"/>
      <c r="C45" s="25" t="n"/>
      <c r="D45" s="24" t="n"/>
    </row>
    <row r="46">
      <c r="A46" s="24" t="n"/>
      <c r="B46" s="24" t="n"/>
      <c r="C46" s="25" t="n"/>
      <c r="D46" s="24" t="n"/>
    </row>
    <row r="47">
      <c r="A47" s="24" t="n"/>
      <c r="B47" s="24" t="n"/>
      <c r="C47" s="25" t="n"/>
      <c r="D47" s="24" t="n"/>
    </row>
    <row r="48">
      <c r="A48" s="24" t="n"/>
      <c r="B48" s="24" t="n"/>
      <c r="C48" s="25" t="n"/>
      <c r="D48" s="24" t="n"/>
    </row>
    <row r="49">
      <c r="A49" s="24" t="n"/>
      <c r="B49" s="24" t="n"/>
      <c r="C49" s="25" t="n"/>
      <c r="D49" s="24" t="n"/>
    </row>
    <row r="50">
      <c r="A50" s="24" t="n"/>
      <c r="B50" s="24" t="n"/>
      <c r="C50" s="25" t="n"/>
      <c r="D50" s="24" t="n"/>
    </row>
    <row r="51">
      <c r="A51" s="24" t="n"/>
      <c r="B51" s="24" t="n"/>
      <c r="C51" s="25" t="n"/>
      <c r="D51" s="24" t="n"/>
    </row>
    <row r="52">
      <c r="A52" s="24" t="n"/>
      <c r="B52" s="24" t="n"/>
      <c r="C52" s="25" t="n"/>
      <c r="D52" s="24" t="n"/>
    </row>
    <row r="53">
      <c r="A53" s="24" t="n"/>
      <c r="B53" s="24" t="n"/>
      <c r="C53" s="25" t="n"/>
      <c r="D53" s="24" t="n"/>
    </row>
    <row r="54">
      <c r="A54" s="24" t="n"/>
      <c r="B54" s="24" t="n"/>
      <c r="C54" s="25" t="n"/>
      <c r="D54" s="24" t="n"/>
    </row>
    <row r="55">
      <c r="A55" s="24" t="n"/>
      <c r="B55" s="24" t="n"/>
      <c r="C55" s="25" t="n"/>
      <c r="D55" s="24" t="n"/>
    </row>
    <row r="56">
      <c r="A56" s="24" t="n"/>
      <c r="B56" s="24" t="n"/>
      <c r="C56" s="25" t="n"/>
      <c r="D56" s="24" t="n"/>
    </row>
    <row r="57">
      <c r="A57" s="24" t="n"/>
      <c r="B57" s="24" t="n"/>
      <c r="C57" s="25" t="n"/>
      <c r="D57" s="24" t="n"/>
    </row>
    <row r="58">
      <c r="A58" s="24" t="n"/>
      <c r="B58" s="24" t="n"/>
      <c r="C58" s="25" t="n"/>
      <c r="D58" s="24" t="n"/>
    </row>
    <row r="59">
      <c r="A59" s="24" t="n"/>
      <c r="B59" s="24" t="n"/>
      <c r="C59" s="25" t="n"/>
      <c r="D59" s="24" t="n"/>
    </row>
    <row r="60">
      <c r="A60" s="24" t="n"/>
      <c r="B60" s="24" t="n"/>
      <c r="C60" s="25" t="n"/>
      <c r="D60" s="24" t="n"/>
    </row>
    <row r="61">
      <c r="A61" s="24" t="n"/>
      <c r="B61" s="24" t="n"/>
      <c r="C61" s="25" t="n"/>
      <c r="D61" s="24" t="n"/>
    </row>
    <row r="62">
      <c r="A62" s="24" t="n"/>
      <c r="B62" s="24" t="n"/>
      <c r="C62" s="25" t="n"/>
      <c r="D62" s="24" t="n"/>
    </row>
    <row r="63">
      <c r="A63" s="24" t="n"/>
      <c r="B63" s="24" t="n"/>
      <c r="C63" s="25" t="n"/>
      <c r="D63" s="24" t="n"/>
    </row>
    <row r="64">
      <c r="A64" s="24" t="n"/>
      <c r="B64" s="24" t="n"/>
      <c r="C64" s="25" t="n"/>
      <c r="D64" s="24" t="n"/>
    </row>
    <row r="65">
      <c r="A65" s="24" t="n"/>
      <c r="B65" s="24" t="n"/>
      <c r="C65" s="25" t="n"/>
      <c r="D65" s="24" t="n"/>
    </row>
    <row r="66">
      <c r="A66" s="24" t="n"/>
      <c r="B66" s="24" t="n"/>
      <c r="C66" s="25" t="n"/>
      <c r="D66" s="24" t="n"/>
    </row>
    <row r="67">
      <c r="A67" s="24" t="n"/>
      <c r="B67" s="24" t="n"/>
      <c r="C67" s="25" t="n"/>
      <c r="D67" s="24" t="n"/>
    </row>
    <row r="68">
      <c r="A68" s="24" t="n"/>
      <c r="B68" s="24" t="n"/>
      <c r="C68" s="25" t="n"/>
      <c r="D68" s="24" t="n"/>
    </row>
    <row r="69">
      <c r="A69" s="24" t="n"/>
      <c r="B69" s="24" t="n"/>
      <c r="C69" s="25" t="n"/>
      <c r="D69" s="24" t="n"/>
    </row>
    <row r="70">
      <c r="A70" s="24" t="n"/>
      <c r="B70" s="24" t="n"/>
      <c r="C70" s="25" t="n"/>
      <c r="D70" s="24" t="n"/>
    </row>
    <row r="71">
      <c r="A71" s="24" t="n"/>
      <c r="B71" s="24" t="n"/>
      <c r="C71" s="25" t="n"/>
      <c r="D71" s="24" t="n"/>
    </row>
    <row r="72">
      <c r="A72" s="24" t="n"/>
      <c r="B72" s="24" t="n"/>
      <c r="C72" s="25" t="n"/>
      <c r="D72" s="24" t="n"/>
    </row>
    <row r="73">
      <c r="A73" s="24" t="n"/>
      <c r="B73" s="24" t="n"/>
      <c r="C73" s="25" t="n"/>
      <c r="D73" s="24" t="n"/>
    </row>
    <row r="74">
      <c r="A74" s="24" t="n"/>
      <c r="B74" s="24" t="n"/>
      <c r="C74" s="25" t="n"/>
      <c r="D74" s="24" t="n"/>
    </row>
    <row r="75">
      <c r="A75" s="24" t="n"/>
      <c r="B75" s="24" t="n"/>
      <c r="C75" s="25" t="n"/>
      <c r="D75" s="24" t="n"/>
    </row>
    <row r="76">
      <c r="A76" s="24" t="n"/>
      <c r="B76" s="24" t="n"/>
      <c r="C76" s="25" t="n"/>
      <c r="D76" s="24" t="n"/>
    </row>
    <row r="77">
      <c r="A77" s="24" t="n"/>
      <c r="B77" s="24" t="n"/>
      <c r="C77" s="25" t="n"/>
      <c r="D77" s="24" t="n"/>
    </row>
    <row r="78">
      <c r="A78" s="24" t="n"/>
      <c r="B78" s="24" t="n"/>
      <c r="C78" s="25" t="n"/>
      <c r="D78" s="24" t="n"/>
    </row>
    <row r="79">
      <c r="A79" s="24" t="n"/>
      <c r="B79" s="24" t="n"/>
      <c r="C79" s="25" t="n"/>
      <c r="D79" s="24" t="n"/>
    </row>
    <row r="80">
      <c r="A80" s="24" t="n"/>
      <c r="B80" s="24" t="n"/>
      <c r="C80" s="25" t="n"/>
      <c r="D80" s="24" t="n"/>
    </row>
    <row r="81">
      <c r="A81" s="24" t="n"/>
      <c r="B81" s="24" t="n"/>
      <c r="C81" s="25" t="n"/>
      <c r="D81" s="24" t="n"/>
    </row>
    <row r="82">
      <c r="A82" s="24" t="n"/>
      <c r="B82" s="24" t="n"/>
      <c r="C82" s="25" t="n"/>
      <c r="D82" s="24" t="n"/>
    </row>
    <row r="83">
      <c r="A83" s="24" t="n"/>
      <c r="B83" s="24" t="n"/>
      <c r="C83" s="25" t="n"/>
      <c r="D83" s="24" t="n"/>
    </row>
    <row r="84">
      <c r="A84" s="24" t="n"/>
      <c r="B84" s="24" t="n"/>
      <c r="C84" s="25" t="n"/>
      <c r="D84" s="24" t="n"/>
    </row>
    <row r="85">
      <c r="A85" s="24" t="n"/>
      <c r="B85" s="24" t="n"/>
      <c r="C85" s="25" t="n"/>
      <c r="D85" s="24" t="n"/>
    </row>
    <row r="86">
      <c r="A86" s="24" t="n"/>
      <c r="B86" s="24" t="n"/>
      <c r="C86" s="25" t="n"/>
      <c r="D86" s="24" t="n"/>
    </row>
    <row r="87">
      <c r="A87" s="24" t="n"/>
      <c r="B87" s="24" t="n"/>
      <c r="C87" s="25" t="n"/>
      <c r="D87" s="24" t="n"/>
    </row>
    <row r="88">
      <c r="A88" s="24" t="n"/>
      <c r="B88" s="24" t="n"/>
      <c r="C88" s="25" t="n"/>
      <c r="D88" s="24" t="n"/>
    </row>
    <row r="89">
      <c r="A89" s="24" t="n"/>
      <c r="B89" s="24" t="n"/>
      <c r="C89" s="25" t="n"/>
      <c r="D89" s="24" t="n"/>
    </row>
    <row r="90">
      <c r="A90" s="24" t="n"/>
      <c r="B90" s="24" t="n"/>
      <c r="C90" s="25" t="n"/>
      <c r="D90" s="24" t="n"/>
    </row>
    <row r="91">
      <c r="A91" s="24" t="n"/>
      <c r="B91" s="24" t="n"/>
      <c r="C91" s="25" t="n"/>
      <c r="D91" s="24" t="n"/>
    </row>
    <row r="92">
      <c r="A92" s="24" t="n"/>
      <c r="B92" s="24" t="n"/>
      <c r="C92" s="25" t="n"/>
      <c r="D92" s="24" t="n"/>
    </row>
    <row r="93">
      <c r="A93" s="24" t="n"/>
      <c r="B93" s="24" t="n"/>
      <c r="C93" s="25" t="n"/>
      <c r="D93" s="24" t="n"/>
    </row>
    <row r="94">
      <c r="A94" s="24" t="n"/>
      <c r="B94" s="24" t="n"/>
      <c r="C94" s="25" t="n"/>
      <c r="D94" s="24" t="n"/>
    </row>
    <row r="95">
      <c r="A95" s="24" t="n"/>
      <c r="B95" s="24" t="n"/>
      <c r="C95" s="25" t="n"/>
      <c r="D95" s="24" t="n"/>
    </row>
    <row r="96">
      <c r="A96" s="24" t="n"/>
      <c r="B96" s="24" t="n"/>
      <c r="C96" s="25" t="n"/>
      <c r="D96" s="24" t="n"/>
    </row>
    <row r="97">
      <c r="A97" s="24" t="n"/>
      <c r="B97" s="24" t="n"/>
      <c r="C97" s="25" t="n"/>
      <c r="D97" s="24" t="n"/>
    </row>
    <row r="98">
      <c r="A98" s="24" t="n"/>
      <c r="B98" s="24" t="n"/>
      <c r="C98" s="25" t="n"/>
      <c r="D98" s="24" t="n"/>
    </row>
    <row r="99">
      <c r="A99" s="24" t="n"/>
      <c r="B99" s="24" t="n"/>
      <c r="C99" s="25" t="n"/>
      <c r="D99" s="24" t="n"/>
    </row>
    <row r="100">
      <c r="A100" s="24" t="n"/>
      <c r="B100" s="24" t="n"/>
      <c r="C100" s="25" t="n"/>
      <c r="D100" s="24" t="n"/>
    </row>
    <row r="101">
      <c r="A101" s="24" t="n"/>
      <c r="B101" s="24" t="n"/>
      <c r="C101" s="25" t="n"/>
      <c r="D101" s="24" t="n"/>
    </row>
    <row r="102">
      <c r="A102" s="24" t="n"/>
      <c r="B102" s="24" t="n"/>
      <c r="C102" s="25" t="n"/>
      <c r="D102" s="24" t="n"/>
    </row>
    <row r="103">
      <c r="A103" s="24" t="n"/>
      <c r="B103" s="24" t="n"/>
      <c r="C103" s="25" t="n"/>
      <c r="D103" s="24" t="n"/>
    </row>
    <row r="104">
      <c r="A104" s="24" t="n"/>
      <c r="B104" s="24" t="n"/>
      <c r="C104" s="25" t="n"/>
      <c r="D104" s="24" t="n"/>
    </row>
    <row r="105">
      <c r="A105" s="24" t="n"/>
      <c r="B105" s="24" t="n"/>
      <c r="C105" s="25" t="n"/>
      <c r="D105" s="24" t="n"/>
    </row>
    <row r="106">
      <c r="A106" s="24" t="n"/>
      <c r="B106" s="24" t="n"/>
      <c r="C106" s="25" t="n"/>
      <c r="D106" s="24" t="n"/>
    </row>
    <row r="107">
      <c r="A107" s="24" t="n"/>
      <c r="B107" s="24" t="n"/>
      <c r="C107" s="25" t="n"/>
      <c r="D107" s="24" t="n"/>
    </row>
    <row r="108">
      <c r="A108" s="24" t="n"/>
      <c r="B108" s="24" t="n"/>
      <c r="C108" s="25" t="n"/>
      <c r="D108" s="24" t="n"/>
    </row>
    <row r="109">
      <c r="A109" s="24" t="n"/>
      <c r="B109" s="24" t="n"/>
      <c r="C109" s="25" t="n"/>
      <c r="D109" s="24" t="n"/>
    </row>
    <row r="110">
      <c r="A110" s="24" t="n"/>
      <c r="B110" s="24" t="n"/>
      <c r="C110" s="25" t="n"/>
      <c r="D110" s="24" t="n"/>
    </row>
    <row r="111">
      <c r="A111" s="24" t="n"/>
      <c r="B111" s="24" t="n"/>
      <c r="C111" s="25" t="n"/>
      <c r="D111" s="24" t="n"/>
    </row>
    <row r="112">
      <c r="A112" s="24" t="n"/>
      <c r="B112" s="24" t="n"/>
      <c r="C112" s="25" t="n"/>
      <c r="D112" s="24" t="n"/>
    </row>
    <row r="113">
      <c r="A113" s="24" t="n"/>
      <c r="B113" s="24" t="n"/>
      <c r="C113" s="25" t="n"/>
      <c r="D113" s="24" t="n"/>
    </row>
    <row r="114">
      <c r="A114" s="24" t="n"/>
      <c r="B114" s="24" t="n"/>
      <c r="C114" s="25" t="n"/>
      <c r="D114" s="24" t="n"/>
    </row>
    <row r="115">
      <c r="A115" s="24" t="n"/>
      <c r="B115" s="24" t="n"/>
      <c r="C115" s="25" t="n"/>
      <c r="D115" s="24" t="n"/>
    </row>
    <row r="116">
      <c r="A116" s="24" t="n"/>
      <c r="B116" s="24" t="n"/>
      <c r="C116" s="25" t="n"/>
      <c r="D116" s="24" t="n"/>
    </row>
    <row r="117">
      <c r="A117" s="24" t="n"/>
      <c r="B117" s="24" t="n"/>
      <c r="C117" s="25" t="n"/>
      <c r="D117" s="24" t="n"/>
    </row>
    <row r="118">
      <c r="A118" s="24" t="n"/>
      <c r="B118" s="24" t="n"/>
      <c r="C118" s="25" t="n"/>
      <c r="D118" s="24" t="n"/>
    </row>
    <row r="119">
      <c r="A119" s="24" t="n"/>
      <c r="B119" s="24" t="n"/>
      <c r="C119" s="25" t="n"/>
      <c r="D119" s="24" t="n"/>
    </row>
    <row r="120">
      <c r="A120" s="24" t="n"/>
      <c r="B120" s="24" t="n"/>
      <c r="C120" s="25" t="n"/>
      <c r="D120" s="24" t="n"/>
    </row>
    <row r="121">
      <c r="A121" s="24" t="n"/>
      <c r="B121" s="24" t="n"/>
      <c r="C121" s="25" t="n"/>
      <c r="D121" s="24" t="n"/>
    </row>
    <row r="122">
      <c r="A122" s="24" t="n"/>
      <c r="B122" s="24" t="n"/>
      <c r="C122" s="25" t="n"/>
      <c r="D122" s="24" t="n"/>
    </row>
    <row r="123">
      <c r="A123" s="24" t="n"/>
      <c r="B123" s="24" t="n"/>
      <c r="C123" s="25" t="n"/>
      <c r="D123" s="24" t="n"/>
    </row>
    <row r="124">
      <c r="A124" s="24" t="n"/>
      <c r="B124" s="24" t="n"/>
      <c r="C124" s="25" t="n"/>
      <c r="D124" s="24" t="n"/>
    </row>
    <row r="125">
      <c r="A125" s="24" t="n"/>
      <c r="B125" s="24" t="n"/>
      <c r="C125" s="25" t="n"/>
      <c r="D125" s="24" t="n"/>
    </row>
    <row r="126">
      <c r="A126" s="24" t="n"/>
      <c r="B126" s="24" t="n"/>
      <c r="C126" s="25" t="n"/>
      <c r="D126" s="24" t="n"/>
    </row>
    <row r="127">
      <c r="A127" s="24" t="n"/>
      <c r="B127" s="24" t="n"/>
      <c r="C127" s="25" t="n"/>
      <c r="D127" s="24" t="n"/>
    </row>
    <row r="128">
      <c r="A128" s="24" t="n"/>
      <c r="B128" s="24" t="n"/>
      <c r="C128" s="25" t="n"/>
      <c r="D128" s="24" t="n"/>
    </row>
    <row r="129">
      <c r="A129" s="24" t="n"/>
      <c r="B129" s="24" t="n"/>
      <c r="C129" s="25" t="n"/>
      <c r="D129" s="24" t="n"/>
    </row>
    <row r="130">
      <c r="A130" s="24" t="n"/>
      <c r="B130" s="24" t="n"/>
      <c r="C130" s="25" t="n"/>
      <c r="D130" s="24" t="n"/>
    </row>
    <row r="131">
      <c r="A131" s="24" t="n"/>
      <c r="B131" s="24" t="n"/>
      <c r="C131" s="25" t="n"/>
      <c r="D131" s="24" t="n"/>
    </row>
    <row r="132">
      <c r="A132" s="24" t="n"/>
      <c r="B132" s="24" t="n"/>
      <c r="C132" s="25" t="n"/>
      <c r="D132" s="24" t="n"/>
    </row>
    <row r="133">
      <c r="A133" s="24" t="n"/>
      <c r="B133" s="24" t="n"/>
      <c r="C133" s="25" t="n"/>
      <c r="D133" s="24" t="n"/>
    </row>
    <row r="134">
      <c r="A134" s="24" t="n"/>
      <c r="B134" s="24" t="n"/>
      <c r="C134" s="25" t="n"/>
      <c r="D134" s="24" t="n"/>
    </row>
    <row r="135">
      <c r="A135" s="24" t="n"/>
      <c r="B135" s="24" t="n"/>
      <c r="C135" s="25" t="n"/>
      <c r="D135" s="24" t="n"/>
    </row>
    <row r="136">
      <c r="A136" s="24" t="n"/>
      <c r="B136" s="24" t="n"/>
      <c r="C136" s="25" t="n"/>
      <c r="D136" s="24" t="n"/>
    </row>
    <row r="137">
      <c r="A137" s="24" t="n"/>
      <c r="B137" s="24" t="n"/>
      <c r="C137" s="25" t="n"/>
      <c r="D137" s="24" t="n"/>
    </row>
    <row r="138">
      <c r="A138" s="24" t="n"/>
      <c r="B138" s="24" t="n"/>
      <c r="C138" s="25" t="n"/>
      <c r="D138" s="24" t="n"/>
    </row>
    <row r="139">
      <c r="A139" s="24" t="n"/>
      <c r="B139" s="24" t="n"/>
      <c r="C139" s="25" t="n"/>
      <c r="D139" s="24" t="n"/>
    </row>
    <row r="140">
      <c r="A140" s="24" t="n"/>
      <c r="B140" s="24" t="n"/>
      <c r="C140" s="25" t="n"/>
      <c r="D140" s="24" t="n"/>
    </row>
    <row r="141">
      <c r="A141" s="24" t="n"/>
      <c r="B141" s="24" t="n"/>
      <c r="C141" s="25" t="n"/>
      <c r="D141" s="24" t="n"/>
    </row>
    <row r="142">
      <c r="A142" s="24" t="n"/>
      <c r="B142" s="24" t="n"/>
      <c r="C142" s="25" t="n"/>
      <c r="D142" s="24" t="n"/>
    </row>
    <row r="143">
      <c r="A143" s="24" t="n"/>
      <c r="B143" s="24" t="n"/>
      <c r="C143" s="25" t="n"/>
      <c r="D143" s="24" t="n"/>
    </row>
    <row r="144">
      <c r="A144" s="24" t="n"/>
      <c r="B144" s="24" t="n"/>
      <c r="C144" s="25" t="n"/>
      <c r="D144" s="24" t="n"/>
    </row>
    <row r="145">
      <c r="A145" s="24" t="n"/>
      <c r="B145" s="24" t="n"/>
      <c r="C145" s="25" t="n"/>
      <c r="D145" s="24" t="n"/>
    </row>
    <row r="146">
      <c r="A146" s="24" t="n"/>
      <c r="B146" s="24" t="n"/>
      <c r="C146" s="25" t="n"/>
      <c r="D146" s="24" t="n"/>
    </row>
    <row r="147">
      <c r="A147" s="24" t="n"/>
      <c r="B147" s="24" t="n"/>
      <c r="C147" s="25" t="n"/>
      <c r="D147" s="24" t="n"/>
    </row>
    <row r="148">
      <c r="A148" s="24" t="n"/>
      <c r="B148" s="24" t="n"/>
      <c r="C148" s="25" t="n"/>
      <c r="D148" s="24" t="n"/>
    </row>
    <row r="149">
      <c r="A149" s="24" t="n"/>
      <c r="B149" s="24" t="n"/>
      <c r="C149" s="25" t="n"/>
      <c r="D149" s="24" t="n"/>
    </row>
    <row r="150">
      <c r="A150" s="24" t="n"/>
      <c r="B150" s="24" t="n"/>
      <c r="C150" s="25" t="n"/>
      <c r="D150" s="24" t="n"/>
    </row>
    <row r="151">
      <c r="A151" s="24" t="n"/>
      <c r="B151" s="24" t="n"/>
      <c r="C151" s="25" t="n"/>
      <c r="D151" s="24" t="n"/>
    </row>
    <row r="152">
      <c r="A152" s="24" t="n"/>
      <c r="B152" s="24" t="n"/>
      <c r="C152" s="25" t="n"/>
      <c r="D152" s="24" t="n"/>
    </row>
    <row r="153">
      <c r="A153" s="24" t="n"/>
      <c r="B153" s="24" t="n"/>
      <c r="C153" s="25" t="n"/>
      <c r="D153" s="24" t="n"/>
    </row>
    <row r="154">
      <c r="A154" s="24" t="n"/>
      <c r="B154" s="24" t="n"/>
      <c r="C154" s="25" t="n"/>
      <c r="D154" s="24" t="n"/>
    </row>
    <row r="155">
      <c r="A155" s="24" t="n"/>
      <c r="B155" s="24" t="n"/>
      <c r="C155" s="25" t="n"/>
      <c r="D155" s="24" t="n"/>
    </row>
    <row r="156">
      <c r="A156" s="24" t="n"/>
      <c r="B156" s="24" t="n"/>
      <c r="C156" s="25" t="n"/>
      <c r="D156" s="24" t="n"/>
    </row>
    <row r="157">
      <c r="A157" s="24" t="n"/>
      <c r="B157" s="24" t="n"/>
      <c r="C157" s="25" t="n"/>
      <c r="D157" s="24" t="n"/>
    </row>
    <row r="158">
      <c r="A158" s="24" t="n"/>
      <c r="B158" s="24" t="n"/>
      <c r="C158" s="25" t="n"/>
      <c r="D158" s="24" t="n"/>
    </row>
    <row r="159">
      <c r="A159" s="24" t="n"/>
      <c r="B159" s="24" t="n"/>
      <c r="C159" s="25" t="n"/>
      <c r="D159" s="24" t="n"/>
    </row>
    <row r="160">
      <c r="A160" s="24" t="n"/>
      <c r="B160" s="24" t="n"/>
      <c r="C160" s="25" t="n"/>
      <c r="D160" s="24" t="n"/>
    </row>
    <row r="161">
      <c r="A161" s="24" t="n"/>
      <c r="B161" s="24" t="n"/>
      <c r="C161" s="25" t="n"/>
      <c r="D161" s="24" t="n"/>
    </row>
    <row r="162">
      <c r="A162" s="24" t="n"/>
      <c r="B162" s="24" t="n"/>
      <c r="C162" s="25" t="n"/>
      <c r="D162" s="24" t="n"/>
    </row>
    <row r="163">
      <c r="A163" s="24" t="n"/>
      <c r="B163" s="24" t="n"/>
      <c r="C163" s="25" t="n"/>
      <c r="D163" s="24" t="n"/>
    </row>
    <row r="164">
      <c r="A164" s="24" t="n"/>
      <c r="B164" s="24" t="n"/>
      <c r="C164" s="25" t="n"/>
      <c r="D164" s="24" t="n"/>
    </row>
    <row r="165">
      <c r="A165" s="24" t="n"/>
      <c r="B165" s="24" t="n"/>
      <c r="C165" s="25" t="n"/>
      <c r="D165" s="24" t="n"/>
    </row>
    <row r="166">
      <c r="A166" s="24" t="n"/>
      <c r="B166" s="24" t="n"/>
      <c r="C166" s="25" t="n"/>
      <c r="D166" s="24" t="n"/>
    </row>
    <row r="167">
      <c r="A167" s="24" t="n"/>
      <c r="B167" s="24" t="n"/>
      <c r="C167" s="25" t="n"/>
      <c r="D167" s="24" t="n"/>
    </row>
    <row r="168">
      <c r="A168" s="24" t="n"/>
      <c r="B168" s="24" t="n"/>
      <c r="C168" s="25" t="n"/>
      <c r="D168" s="24" t="n"/>
    </row>
    <row r="169">
      <c r="A169" s="24" t="n"/>
      <c r="B169" s="24" t="n"/>
      <c r="C169" s="25" t="n"/>
      <c r="D169" s="24" t="n"/>
    </row>
    <row r="170">
      <c r="A170" s="24" t="n"/>
      <c r="B170" s="24" t="n"/>
      <c r="C170" s="25" t="n"/>
      <c r="D170" s="24" t="n"/>
    </row>
    <row r="171">
      <c r="A171" s="24" t="n"/>
      <c r="B171" s="24" t="n"/>
      <c r="C171" s="25" t="n"/>
      <c r="D171" s="24" t="n"/>
    </row>
    <row r="172">
      <c r="A172" s="24" t="n"/>
      <c r="B172" s="24" t="n"/>
      <c r="C172" s="25" t="n"/>
      <c r="D172" s="24" t="n"/>
    </row>
    <row r="173">
      <c r="A173" s="24" t="n"/>
      <c r="B173" s="24" t="n"/>
      <c r="C173" s="25" t="n"/>
      <c r="D173" s="24" t="n"/>
    </row>
    <row r="174">
      <c r="A174" s="24" t="n"/>
      <c r="B174" s="24" t="n"/>
      <c r="C174" s="25" t="n"/>
      <c r="D174" s="24" t="n"/>
    </row>
    <row r="175">
      <c r="A175" s="24" t="n"/>
      <c r="B175" s="24" t="n"/>
      <c r="C175" s="25" t="n"/>
      <c r="D175" s="24" t="n"/>
    </row>
    <row r="176">
      <c r="A176" s="24" t="n"/>
      <c r="B176" s="24" t="n"/>
      <c r="C176" s="25" t="n"/>
      <c r="D176" s="24" t="n"/>
    </row>
    <row r="177">
      <c r="A177" s="24" t="n"/>
      <c r="B177" s="24" t="n"/>
      <c r="C177" s="25" t="n"/>
      <c r="D177" s="24" t="n"/>
    </row>
    <row r="178">
      <c r="A178" s="24" t="n"/>
      <c r="B178" s="24" t="n"/>
      <c r="C178" s="25" t="n"/>
      <c r="D178" s="24" t="n"/>
    </row>
    <row r="179">
      <c r="A179" s="24" t="n"/>
      <c r="B179" s="24" t="n"/>
      <c r="C179" s="25" t="n"/>
      <c r="D179" s="24" t="n"/>
    </row>
    <row r="180">
      <c r="A180" s="24" t="n"/>
      <c r="B180" s="24" t="n"/>
      <c r="C180" s="25" t="n"/>
      <c r="D180" s="24" t="n"/>
    </row>
    <row r="181">
      <c r="A181" s="24" t="n"/>
      <c r="B181" s="24" t="n"/>
      <c r="C181" s="25" t="n"/>
      <c r="D181" s="24" t="n"/>
    </row>
    <row r="182">
      <c r="A182" s="24" t="n"/>
      <c r="B182" s="24" t="n"/>
      <c r="C182" s="25" t="n"/>
      <c r="D182" s="24" t="n"/>
    </row>
    <row r="183">
      <c r="A183" s="24" t="n"/>
      <c r="B183" s="24" t="n"/>
      <c r="C183" s="25" t="n"/>
      <c r="D183" s="24" t="n"/>
    </row>
    <row r="184">
      <c r="A184" s="24" t="n"/>
      <c r="B184" s="24" t="n"/>
      <c r="C184" s="25" t="n"/>
      <c r="D184" s="24" t="n"/>
    </row>
    <row r="185">
      <c r="A185" s="24" t="n"/>
      <c r="B185" s="24" t="n"/>
      <c r="C185" s="25" t="n"/>
      <c r="D185" s="24" t="n"/>
    </row>
    <row r="186">
      <c r="A186" s="24" t="n"/>
      <c r="B186" s="24" t="n"/>
      <c r="C186" s="25" t="n"/>
      <c r="D186" s="24" t="n"/>
    </row>
    <row r="187">
      <c r="A187" s="24" t="n"/>
      <c r="B187" s="24" t="n"/>
      <c r="C187" s="25" t="n"/>
      <c r="D187" s="24" t="n"/>
    </row>
    <row r="188">
      <c r="A188" s="24" t="n"/>
      <c r="B188" s="24" t="n"/>
      <c r="C188" s="25" t="n"/>
      <c r="D188" s="24" t="n"/>
    </row>
    <row r="189">
      <c r="A189" s="24" t="n"/>
      <c r="B189" s="24" t="n"/>
      <c r="C189" s="25" t="n"/>
      <c r="D189" s="24" t="n"/>
    </row>
    <row r="190">
      <c r="A190" s="24" t="n"/>
      <c r="B190" s="24" t="n"/>
      <c r="C190" s="25" t="n"/>
      <c r="D190" s="24" t="n"/>
    </row>
    <row r="191">
      <c r="A191" s="24" t="n"/>
      <c r="B191" s="24" t="n"/>
      <c r="C191" s="25" t="n"/>
      <c r="D191" s="24" t="n"/>
    </row>
    <row r="192">
      <c r="A192" s="24" t="n"/>
      <c r="B192" s="24" t="n"/>
      <c r="C192" s="25" t="n"/>
      <c r="D192" s="24" t="n"/>
    </row>
    <row r="193">
      <c r="A193" s="24" t="n"/>
      <c r="B193" s="24" t="n"/>
      <c r="C193" s="25" t="n"/>
      <c r="D193" s="24" t="n"/>
    </row>
    <row r="194">
      <c r="A194" s="24" t="n"/>
      <c r="B194" s="24" t="n"/>
      <c r="C194" s="25" t="n"/>
      <c r="D194" s="24" t="n"/>
    </row>
    <row r="195">
      <c r="A195" s="24" t="n"/>
      <c r="B195" s="24" t="n"/>
      <c r="C195" s="25" t="n"/>
      <c r="D195" s="24" t="n"/>
    </row>
    <row r="196">
      <c r="A196" s="24" t="n"/>
      <c r="B196" s="24" t="n"/>
      <c r="C196" s="25" t="n"/>
      <c r="D196" s="24" t="n"/>
    </row>
    <row r="197">
      <c r="A197" s="24" t="n"/>
      <c r="B197" s="24" t="n"/>
      <c r="C197" s="25" t="n"/>
      <c r="D197" s="24" t="n"/>
    </row>
    <row r="198">
      <c r="A198" s="24" t="n"/>
      <c r="B198" s="24" t="n"/>
      <c r="C198" s="25" t="n"/>
      <c r="D198" s="24" t="n"/>
    </row>
    <row r="199">
      <c r="A199" s="24" t="n"/>
      <c r="B199" s="24" t="n"/>
      <c r="C199" s="25" t="n"/>
      <c r="D199" s="24" t="n"/>
    </row>
    <row r="200">
      <c r="A200" s="24" t="n"/>
      <c r="B200" s="24" t="n"/>
      <c r="C200" s="25" t="n"/>
      <c r="D200" s="24" t="n"/>
    </row>
    <row r="201">
      <c r="A201" s="24" t="n"/>
      <c r="B201" s="24" t="n"/>
      <c r="C201" s="25" t="n"/>
      <c r="D201" s="24" t="n"/>
    </row>
    <row r="202">
      <c r="A202" s="24" t="n"/>
      <c r="B202" s="24" t="n"/>
      <c r="C202" s="25" t="n"/>
      <c r="D202" s="24" t="n"/>
    </row>
    <row r="203">
      <c r="A203" s="24" t="n"/>
      <c r="B203" s="24" t="n"/>
      <c r="C203" s="25" t="n"/>
      <c r="D203" s="24" t="n"/>
    </row>
    <row r="204">
      <c r="A204" s="24" t="n"/>
      <c r="B204" s="24" t="n"/>
      <c r="C204" s="25" t="n"/>
      <c r="D204" s="24" t="n"/>
    </row>
    <row r="205">
      <c r="A205" s="24" t="n"/>
      <c r="B205" s="24" t="n"/>
      <c r="C205" s="25" t="n"/>
      <c r="D205" s="24" t="n"/>
    </row>
    <row r="206">
      <c r="A206" s="24" t="n"/>
      <c r="B206" s="24" t="n"/>
      <c r="C206" s="25" t="n"/>
      <c r="D206" s="24" t="n"/>
    </row>
    <row r="207">
      <c r="A207" s="24" t="n"/>
      <c r="B207" s="24" t="n"/>
      <c r="C207" s="25" t="n"/>
      <c r="D207" s="24" t="n"/>
    </row>
    <row r="208">
      <c r="A208" s="24" t="n"/>
      <c r="B208" s="24" t="n"/>
      <c r="C208" s="25" t="n"/>
      <c r="D208" s="24" t="n"/>
    </row>
    <row r="209">
      <c r="A209" s="24" t="n"/>
      <c r="B209" s="24" t="n"/>
      <c r="C209" s="25" t="n"/>
      <c r="D209" s="24" t="n"/>
    </row>
    <row r="210">
      <c r="A210" s="24" t="n"/>
      <c r="B210" s="24" t="n"/>
      <c r="C210" s="25" t="n"/>
      <c r="D210" s="24" t="n"/>
    </row>
    <row r="211">
      <c r="A211" s="24" t="n"/>
      <c r="B211" s="24" t="n"/>
      <c r="C211" s="25" t="n"/>
      <c r="D211" s="24" t="n"/>
    </row>
    <row r="212">
      <c r="A212" s="24" t="n"/>
      <c r="B212" s="24" t="n"/>
      <c r="C212" s="25" t="n"/>
      <c r="D212" s="24" t="n"/>
    </row>
    <row r="213">
      <c r="A213" s="24" t="n"/>
      <c r="B213" s="24" t="n"/>
      <c r="C213" s="25" t="n"/>
      <c r="D213" s="24" t="n"/>
    </row>
    <row r="214">
      <c r="A214" s="24" t="n"/>
      <c r="B214" s="24" t="n"/>
      <c r="C214" s="25" t="n"/>
      <c r="D214" s="24" t="n"/>
    </row>
    <row r="215">
      <c r="A215" s="24" t="n"/>
      <c r="B215" s="24" t="n"/>
      <c r="C215" s="25" t="n"/>
      <c r="D215" s="24" t="n"/>
    </row>
    <row r="216">
      <c r="A216" s="24" t="n"/>
      <c r="B216" s="24" t="n"/>
      <c r="C216" s="25" t="n"/>
      <c r="D216" s="24" t="n"/>
    </row>
    <row r="217">
      <c r="A217" s="24" t="n"/>
      <c r="B217" s="24" t="n"/>
      <c r="C217" s="25" t="n"/>
      <c r="D217" s="24" t="n"/>
    </row>
    <row r="218">
      <c r="A218" s="24" t="n"/>
      <c r="B218" s="24" t="n"/>
      <c r="C218" s="25" t="n"/>
      <c r="D218" s="24" t="n"/>
    </row>
    <row r="219">
      <c r="A219" s="24" t="n"/>
      <c r="B219" s="24" t="n"/>
      <c r="C219" s="25" t="n"/>
      <c r="D219" s="24" t="n"/>
    </row>
    <row r="220">
      <c r="A220" s="24" t="n"/>
      <c r="B220" s="24" t="n"/>
      <c r="C220" s="25" t="n"/>
      <c r="D220" s="24" t="n"/>
    </row>
    <row r="221">
      <c r="A221" s="24" t="n"/>
      <c r="B221" s="24" t="n"/>
      <c r="C221" s="25" t="n"/>
      <c r="D221" s="24" t="n"/>
    </row>
    <row r="222">
      <c r="A222" s="24" t="n"/>
      <c r="B222" s="24" t="n"/>
      <c r="C222" s="25" t="n"/>
      <c r="D222" s="24" t="n"/>
    </row>
    <row r="223">
      <c r="A223" s="24" t="n"/>
      <c r="B223" s="24" t="n"/>
      <c r="C223" s="25" t="n"/>
      <c r="D223" s="24" t="n"/>
    </row>
    <row r="224">
      <c r="A224" s="24" t="n"/>
      <c r="B224" s="24" t="n"/>
      <c r="C224" s="25" t="n"/>
      <c r="D224" s="24" t="n"/>
    </row>
    <row r="225">
      <c r="A225" s="24" t="n"/>
      <c r="B225" s="24" t="n"/>
      <c r="C225" s="25" t="n"/>
      <c r="D225" s="24" t="n"/>
    </row>
    <row r="226">
      <c r="A226" s="24" t="n"/>
      <c r="B226" s="24" t="n"/>
      <c r="C226" s="25" t="n"/>
      <c r="D226" s="24" t="n"/>
    </row>
    <row r="227">
      <c r="A227" s="24" t="n"/>
      <c r="B227" s="24" t="n"/>
      <c r="C227" s="25" t="n"/>
      <c r="D227" s="24" t="n"/>
    </row>
    <row r="228">
      <c r="A228" s="24" t="n"/>
      <c r="B228" s="24" t="n"/>
      <c r="C228" s="25" t="n"/>
      <c r="D228" s="24" t="n"/>
    </row>
    <row r="229">
      <c r="A229" s="24" t="n"/>
      <c r="B229" s="24" t="n"/>
      <c r="C229" s="25" t="n"/>
      <c r="D229" s="24" t="n"/>
    </row>
    <row r="230">
      <c r="A230" s="24" t="n"/>
      <c r="B230" s="24" t="n"/>
      <c r="C230" s="25" t="n"/>
      <c r="D230" s="24" t="n"/>
    </row>
    <row r="231">
      <c r="A231" s="24" t="n"/>
      <c r="B231" s="24" t="n"/>
      <c r="C231" s="25" t="n"/>
      <c r="D231" s="24" t="n"/>
    </row>
    <row r="232">
      <c r="A232" s="24" t="n"/>
      <c r="B232" s="24" t="n"/>
      <c r="C232" s="25" t="n"/>
      <c r="D232" s="24" t="n"/>
    </row>
    <row r="233">
      <c r="A233" s="24" t="n"/>
      <c r="B233" s="24" t="n"/>
      <c r="C233" s="25" t="n"/>
      <c r="D233" s="24" t="n"/>
    </row>
    <row r="234">
      <c r="A234" s="24" t="n"/>
      <c r="B234" s="24" t="n"/>
      <c r="C234" s="25" t="n"/>
      <c r="D234" s="24" t="n"/>
    </row>
    <row r="235">
      <c r="A235" s="24" t="n"/>
      <c r="B235" s="24" t="n"/>
      <c r="C235" s="25" t="n"/>
      <c r="D235" s="24" t="n"/>
    </row>
    <row r="236">
      <c r="A236" s="24" t="n"/>
      <c r="B236" s="24" t="n"/>
      <c r="C236" s="25" t="n"/>
      <c r="D236" s="24" t="n"/>
    </row>
    <row r="237">
      <c r="A237" s="24" t="n"/>
      <c r="B237" s="24" t="n"/>
      <c r="C237" s="25" t="n"/>
      <c r="D237" s="24" t="n"/>
    </row>
    <row r="238">
      <c r="A238" s="24" t="n"/>
      <c r="B238" s="24" t="n"/>
      <c r="C238" s="25" t="n"/>
      <c r="D238" s="24" t="n"/>
    </row>
    <row r="239">
      <c r="A239" s="24" t="n"/>
      <c r="B239" s="24" t="n"/>
      <c r="C239" s="25" t="n"/>
      <c r="D239" s="24" t="n"/>
    </row>
    <row r="240">
      <c r="A240" s="24" t="n"/>
      <c r="B240" s="24" t="n"/>
      <c r="C240" s="25" t="n"/>
      <c r="D240" s="24" t="n"/>
    </row>
    <row r="241">
      <c r="A241" s="24" t="n"/>
      <c r="B241" s="24" t="n"/>
      <c r="C241" s="25" t="n"/>
      <c r="D241" s="24" t="n"/>
    </row>
    <row r="242">
      <c r="A242" s="24" t="n"/>
      <c r="B242" s="24" t="n"/>
      <c r="C242" s="25" t="n"/>
      <c r="D242" s="24" t="n"/>
    </row>
    <row r="243">
      <c r="A243" s="24" t="n"/>
      <c r="B243" s="24" t="n"/>
      <c r="C243" s="25" t="n"/>
      <c r="D243" s="24" t="n"/>
    </row>
    <row r="244">
      <c r="A244" s="24" t="n"/>
      <c r="B244" s="24" t="n"/>
      <c r="C244" s="25" t="n"/>
      <c r="D244" s="24" t="n"/>
    </row>
    <row r="245">
      <c r="A245" s="24" t="n"/>
      <c r="B245" s="24" t="n"/>
      <c r="C245" s="25" t="n"/>
      <c r="D245" s="24" t="n"/>
    </row>
    <row r="246">
      <c r="A246" s="24" t="n"/>
      <c r="B246" s="24" t="n"/>
      <c r="C246" s="25" t="n"/>
      <c r="D246" s="24" t="n"/>
    </row>
    <row r="247">
      <c r="A247" s="24" t="n"/>
      <c r="B247" s="24" t="n"/>
      <c r="C247" s="25" t="n"/>
      <c r="D247" s="24" t="n"/>
    </row>
    <row r="248">
      <c r="A248" s="24" t="n"/>
      <c r="B248" s="24" t="n"/>
      <c r="C248" s="25" t="n"/>
      <c r="D248" s="24" t="n"/>
    </row>
    <row r="249">
      <c r="A249" s="24" t="n"/>
      <c r="B249" s="24" t="n"/>
      <c r="C249" s="25" t="n"/>
      <c r="D249" s="24" t="n"/>
    </row>
    <row r="250">
      <c r="A250" s="24" t="n"/>
      <c r="B250" s="24" t="n"/>
      <c r="C250" s="25" t="n"/>
      <c r="D250" s="24" t="n"/>
    </row>
    <row r="251">
      <c r="A251" s="24" t="n"/>
      <c r="B251" s="24" t="n"/>
      <c r="C251" s="25" t="n"/>
      <c r="D251" s="24" t="n"/>
    </row>
    <row r="252">
      <c r="A252" s="24" t="n"/>
      <c r="B252" s="24" t="n"/>
      <c r="C252" s="25" t="n"/>
      <c r="D252" s="24" t="n"/>
    </row>
    <row r="253">
      <c r="A253" s="24" t="n"/>
      <c r="B253" s="24" t="n"/>
      <c r="C253" s="25" t="n"/>
      <c r="D253" s="24" t="n"/>
    </row>
    <row r="254">
      <c r="A254" s="24" t="n"/>
      <c r="B254" s="24" t="n"/>
      <c r="C254" s="25" t="n"/>
      <c r="D254" s="24" t="n"/>
    </row>
    <row r="255">
      <c r="A255" s="24" t="n"/>
      <c r="B255" s="24" t="n"/>
      <c r="C255" s="25" t="n"/>
      <c r="D255" s="24" t="n"/>
    </row>
    <row r="256">
      <c r="A256" s="24" t="n"/>
      <c r="B256" s="24" t="n"/>
      <c r="C256" s="25" t="n"/>
      <c r="D256" s="24" t="n"/>
    </row>
    <row r="257">
      <c r="A257" s="24" t="n"/>
      <c r="B257" s="24" t="n"/>
      <c r="C257" s="25" t="n"/>
      <c r="D257" s="24" t="n"/>
    </row>
    <row r="258">
      <c r="A258" s="24" t="n"/>
      <c r="B258" s="24" t="n"/>
      <c r="C258" s="25" t="n"/>
      <c r="D258" s="24" t="n"/>
    </row>
    <row r="259">
      <c r="A259" s="24" t="n"/>
      <c r="B259" s="24" t="n"/>
      <c r="C259" s="25" t="n"/>
      <c r="D259" s="24" t="n"/>
    </row>
    <row r="260">
      <c r="A260" s="24" t="n"/>
      <c r="B260" s="24" t="n"/>
      <c r="C260" s="25" t="n"/>
      <c r="D260" s="24" t="n"/>
    </row>
    <row r="261">
      <c r="A261" s="24" t="n"/>
      <c r="B261" s="24" t="n"/>
      <c r="C261" s="25" t="n"/>
      <c r="D261" s="24" t="n"/>
    </row>
    <row r="262">
      <c r="A262" s="24" t="n"/>
      <c r="B262" s="24" t="n"/>
      <c r="C262" s="25" t="n"/>
      <c r="D262" s="24" t="n"/>
    </row>
    <row r="263">
      <c r="A263" s="24" t="n"/>
      <c r="B263" s="24" t="n"/>
      <c r="C263" s="25" t="n"/>
      <c r="D263" s="24" t="n"/>
    </row>
    <row r="264">
      <c r="A264" s="24" t="n"/>
      <c r="B264" s="24" t="n"/>
      <c r="C264" s="25" t="n"/>
      <c r="D264" s="24" t="n"/>
    </row>
    <row r="265">
      <c r="A265" s="24" t="n"/>
      <c r="B265" s="24" t="n"/>
      <c r="C265" s="25" t="n"/>
      <c r="D265" s="24" t="n"/>
    </row>
    <row r="266">
      <c r="A266" s="24" t="n"/>
      <c r="B266" s="24" t="n"/>
      <c r="C266" s="25" t="n"/>
      <c r="D266" s="24" t="n"/>
    </row>
    <row r="267">
      <c r="A267" s="24" t="n"/>
      <c r="B267" s="24" t="n"/>
      <c r="C267" s="25" t="n"/>
      <c r="D267" s="24" t="n"/>
    </row>
    <row r="268">
      <c r="A268" s="24" t="n"/>
      <c r="B268" s="24" t="n"/>
      <c r="C268" s="25" t="n"/>
      <c r="D268" s="24" t="n"/>
    </row>
    <row r="269">
      <c r="A269" s="24" t="n"/>
      <c r="B269" s="24" t="n"/>
      <c r="C269" s="25" t="n"/>
      <c r="D269" s="24" t="n"/>
    </row>
    <row r="270">
      <c r="A270" s="24" t="n"/>
      <c r="B270" s="24" t="n"/>
      <c r="C270" s="25" t="n"/>
      <c r="D270" s="24" t="n"/>
    </row>
    <row r="271">
      <c r="A271" s="24" t="n"/>
      <c r="B271" s="24" t="n"/>
      <c r="C271" s="25" t="n"/>
      <c r="D271" s="24" t="n"/>
    </row>
    <row r="272">
      <c r="A272" s="24" t="n"/>
      <c r="B272" s="24" t="n"/>
      <c r="C272" s="25" t="n"/>
      <c r="D272" s="24" t="n"/>
    </row>
    <row r="273">
      <c r="A273" s="24" t="n"/>
      <c r="B273" s="24" t="n"/>
      <c r="C273" s="25" t="n"/>
      <c r="D273" s="24" t="n"/>
    </row>
    <row r="274">
      <c r="A274" s="24" t="n"/>
      <c r="B274" s="24" t="n"/>
      <c r="C274" s="25" t="n"/>
      <c r="D274" s="24" t="n"/>
    </row>
    <row r="275">
      <c r="A275" s="24" t="n"/>
      <c r="B275" s="24" t="n"/>
      <c r="C275" s="25" t="n"/>
      <c r="D275" s="24" t="n"/>
    </row>
    <row r="276">
      <c r="A276" s="24" t="n"/>
      <c r="B276" s="24" t="n"/>
      <c r="C276" s="25" t="n"/>
      <c r="D276" s="24" t="n"/>
    </row>
    <row r="277">
      <c r="A277" s="24" t="n"/>
      <c r="B277" s="24" t="n"/>
      <c r="C277" s="25" t="n"/>
      <c r="D277" s="24" t="n"/>
    </row>
    <row r="278">
      <c r="A278" s="24" t="n"/>
      <c r="B278" s="24" t="n"/>
      <c r="C278" s="25" t="n"/>
      <c r="D278" s="24" t="n"/>
    </row>
    <row r="279">
      <c r="A279" s="24" t="n"/>
      <c r="B279" s="24" t="n"/>
      <c r="C279" s="25" t="n"/>
      <c r="D279" s="24" t="n"/>
    </row>
    <row r="280">
      <c r="A280" s="24" t="n"/>
      <c r="B280" s="24" t="n"/>
      <c r="C280" s="25" t="n"/>
      <c r="D280" s="24" t="n"/>
    </row>
    <row r="281">
      <c r="A281" s="24" t="n"/>
      <c r="B281" s="24" t="n"/>
      <c r="C281" s="25" t="n"/>
      <c r="D281" s="24" t="n"/>
    </row>
    <row r="282">
      <c r="A282" s="24" t="n"/>
      <c r="B282" s="24" t="n"/>
      <c r="C282" s="25" t="n"/>
      <c r="D282" s="24" t="n"/>
    </row>
    <row r="283">
      <c r="A283" s="24" t="n"/>
      <c r="B283" s="24" t="n"/>
      <c r="C283" s="25" t="n"/>
      <c r="D283" s="24" t="n"/>
    </row>
    <row r="284">
      <c r="A284" s="24" t="n"/>
      <c r="B284" s="24" t="n"/>
      <c r="C284" s="25" t="n"/>
      <c r="D284" s="24" t="n"/>
    </row>
    <row r="285">
      <c r="A285" s="24" t="n"/>
      <c r="B285" s="24" t="n"/>
      <c r="C285" s="25" t="n"/>
      <c r="D285" s="24" t="n"/>
    </row>
    <row r="286">
      <c r="A286" s="24" t="n"/>
      <c r="B286" s="24" t="n"/>
      <c r="C286" s="25" t="n"/>
      <c r="D286" s="24" t="n"/>
    </row>
    <row r="287">
      <c r="A287" s="24" t="n"/>
      <c r="B287" s="24" t="n"/>
      <c r="C287" s="25" t="n"/>
      <c r="D287" s="24" t="n"/>
    </row>
    <row r="288">
      <c r="A288" s="24" t="n"/>
      <c r="B288" s="24" t="n"/>
      <c r="C288" s="25" t="n"/>
      <c r="D288" s="24" t="n"/>
    </row>
    <row r="289">
      <c r="A289" s="24" t="n"/>
      <c r="B289" s="24" t="n"/>
      <c r="C289" s="25" t="n"/>
      <c r="D289" s="24" t="n"/>
    </row>
    <row r="290">
      <c r="A290" s="24" t="n"/>
      <c r="B290" s="24" t="n"/>
      <c r="C290" s="25" t="n"/>
      <c r="D290" s="24" t="n"/>
    </row>
    <row r="291">
      <c r="A291" s="24" t="n"/>
      <c r="B291" s="24" t="n"/>
      <c r="C291" s="25" t="n"/>
      <c r="D291" s="24" t="n"/>
    </row>
    <row r="292">
      <c r="A292" s="24" t="n"/>
      <c r="B292" s="24" t="n"/>
      <c r="C292" s="25" t="n"/>
      <c r="D292" s="24" t="n"/>
    </row>
    <row r="293">
      <c r="A293" s="24" t="n"/>
      <c r="B293" s="24" t="n"/>
      <c r="C293" s="25" t="n"/>
      <c r="D293" s="24" t="n"/>
    </row>
    <row r="294">
      <c r="A294" s="24" t="n"/>
      <c r="B294" s="24" t="n"/>
      <c r="C294" s="25" t="n"/>
      <c r="D294" s="24" t="n"/>
    </row>
    <row r="295">
      <c r="A295" s="24" t="n"/>
      <c r="B295" s="24" t="n"/>
      <c r="C295" s="25" t="n"/>
      <c r="D295" s="24" t="n"/>
    </row>
    <row r="296">
      <c r="A296" s="24" t="n"/>
      <c r="B296" s="24" t="n"/>
      <c r="C296" s="25" t="n"/>
      <c r="D296" s="24" t="n"/>
    </row>
    <row r="297">
      <c r="A297" s="24" t="n"/>
      <c r="B297" s="24" t="n"/>
      <c r="C297" s="25" t="n"/>
      <c r="D297" s="24" t="n"/>
    </row>
    <row r="298">
      <c r="A298" s="24" t="n"/>
      <c r="B298" s="24" t="n"/>
      <c r="C298" s="25" t="n"/>
      <c r="D298" s="24" t="n"/>
    </row>
    <row r="299">
      <c r="A299" s="24" t="n"/>
      <c r="B299" s="24" t="n"/>
      <c r="C299" s="25" t="n"/>
      <c r="D299" s="24" t="n"/>
    </row>
    <row r="300">
      <c r="A300" s="24" t="n"/>
      <c r="B300" s="24" t="n"/>
      <c r="C300" s="25" t="n"/>
      <c r="D300" s="24" t="n"/>
    </row>
    <row r="301">
      <c r="A301" s="24" t="n"/>
      <c r="B301" s="24" t="n"/>
      <c r="C301" s="25" t="n"/>
      <c r="D301" s="24" t="n"/>
    </row>
    <row r="302">
      <c r="A302" s="24" t="n"/>
      <c r="B302" s="24" t="n"/>
      <c r="C302" s="25" t="n"/>
      <c r="D302" s="24" t="n"/>
    </row>
    <row r="303">
      <c r="A303" s="24" t="n"/>
      <c r="B303" s="24" t="n"/>
      <c r="C303" s="25" t="n"/>
      <c r="D303" s="24" t="n"/>
    </row>
    <row r="304">
      <c r="A304" s="24" t="n"/>
      <c r="B304" s="24" t="n"/>
      <c r="C304" s="25" t="n"/>
      <c r="D304" s="24" t="n"/>
    </row>
    <row r="305">
      <c r="A305" s="24" t="n"/>
      <c r="B305" s="24" t="n"/>
      <c r="C305" s="25" t="n"/>
      <c r="D305" s="24" t="n"/>
    </row>
    <row r="306">
      <c r="A306" s="24" t="n"/>
      <c r="B306" s="24" t="n"/>
      <c r="C306" s="25" t="n"/>
      <c r="D306" s="24" t="n"/>
    </row>
    <row r="307">
      <c r="A307" s="24" t="n"/>
      <c r="B307" s="24" t="n"/>
      <c r="C307" s="25" t="n"/>
      <c r="D307" s="24" t="n"/>
    </row>
    <row r="308">
      <c r="A308" s="24" t="n"/>
      <c r="B308" s="24" t="n"/>
      <c r="C308" s="25" t="n"/>
      <c r="D308" s="24" t="n"/>
    </row>
    <row r="309">
      <c r="A309" s="24" t="n"/>
      <c r="B309" s="24" t="n"/>
      <c r="C309" s="25" t="n"/>
      <c r="D309" s="24" t="n"/>
    </row>
    <row r="310">
      <c r="A310" s="24" t="n"/>
      <c r="B310" s="24" t="n"/>
      <c r="C310" s="25" t="n"/>
      <c r="D310" s="24" t="n"/>
    </row>
    <row r="311">
      <c r="A311" s="24" t="n"/>
      <c r="B311" s="24" t="n"/>
      <c r="C311" s="25" t="n"/>
      <c r="D311" s="24" t="n"/>
    </row>
    <row r="312">
      <c r="A312" s="24" t="n"/>
      <c r="B312" s="24" t="n"/>
      <c r="C312" s="25" t="n"/>
      <c r="D312" s="24" t="n"/>
    </row>
    <row r="313">
      <c r="A313" s="24" t="n"/>
      <c r="B313" s="24" t="n"/>
      <c r="C313" s="25" t="n"/>
      <c r="D313" s="24" t="n"/>
    </row>
    <row r="314">
      <c r="A314" s="24" t="n"/>
      <c r="B314" s="24" t="n"/>
      <c r="C314" s="25" t="n"/>
      <c r="D314" s="24" t="n"/>
    </row>
    <row r="315">
      <c r="A315" s="24" t="n"/>
      <c r="B315" s="24" t="n"/>
      <c r="C315" s="25" t="n"/>
      <c r="D315" s="24" t="n"/>
    </row>
    <row r="316">
      <c r="A316" s="24" t="n"/>
      <c r="B316" s="24" t="n"/>
      <c r="C316" s="25" t="n"/>
      <c r="D316" s="24" t="n"/>
    </row>
    <row r="317">
      <c r="A317" s="24" t="n"/>
      <c r="B317" s="24" t="n"/>
      <c r="C317" s="25" t="n"/>
      <c r="D317" s="24" t="n"/>
    </row>
    <row r="318">
      <c r="A318" s="24" t="n"/>
      <c r="B318" s="24" t="n"/>
      <c r="C318" s="25" t="n"/>
      <c r="D318" s="24" t="n"/>
    </row>
    <row r="319">
      <c r="A319" s="24" t="n"/>
      <c r="B319" s="24" t="n"/>
      <c r="C319" s="25" t="n"/>
      <c r="D319" s="24" t="n"/>
    </row>
    <row r="320">
      <c r="A320" s="24" t="n"/>
      <c r="B320" s="24" t="n"/>
      <c r="C320" s="25" t="n"/>
      <c r="D320" s="24" t="n"/>
    </row>
    <row r="321">
      <c r="A321" s="24" t="n"/>
      <c r="B321" s="24" t="n"/>
      <c r="C321" s="25" t="n"/>
      <c r="D321" s="24" t="n"/>
    </row>
    <row r="322">
      <c r="A322" s="24" t="n"/>
      <c r="B322" s="24" t="n"/>
      <c r="C322" s="25" t="n"/>
      <c r="D322" s="24" t="n"/>
    </row>
    <row r="323">
      <c r="A323" s="24" t="n"/>
      <c r="B323" s="24" t="n"/>
      <c r="C323" s="25" t="n"/>
      <c r="D323" s="24" t="n"/>
    </row>
    <row r="324">
      <c r="A324" s="24" t="n"/>
      <c r="B324" s="24" t="n"/>
      <c r="C324" s="25" t="n"/>
      <c r="D324" s="24" t="n"/>
    </row>
    <row r="325">
      <c r="A325" s="24" t="n"/>
      <c r="B325" s="24" t="n"/>
      <c r="C325" s="25" t="n"/>
      <c r="D325" s="24" t="n"/>
    </row>
    <row r="326">
      <c r="A326" s="24" t="n"/>
      <c r="B326" s="24" t="n"/>
      <c r="C326" s="25" t="n"/>
      <c r="D326" s="24" t="n"/>
    </row>
    <row r="327">
      <c r="A327" s="24" t="n"/>
      <c r="B327" s="24" t="n"/>
      <c r="C327" s="25" t="n"/>
      <c r="D327" s="24" t="n"/>
    </row>
    <row r="328">
      <c r="A328" s="24" t="n"/>
      <c r="B328" s="24" t="n"/>
      <c r="C328" s="25" t="n"/>
      <c r="D328" s="24" t="n"/>
    </row>
    <row r="329">
      <c r="A329" s="24" t="n"/>
      <c r="B329" s="24" t="n"/>
      <c r="C329" s="25" t="n"/>
      <c r="D329" s="24" t="n"/>
    </row>
    <row r="330">
      <c r="A330" s="24" t="n"/>
      <c r="B330" s="24" t="n"/>
      <c r="C330" s="25" t="n"/>
      <c r="D330" s="24" t="n"/>
    </row>
    <row r="331">
      <c r="A331" s="24" t="n"/>
      <c r="B331" s="24" t="n"/>
      <c r="C331" s="25" t="n"/>
      <c r="D331" s="24" t="n"/>
    </row>
    <row r="332">
      <c r="A332" s="24" t="n"/>
      <c r="B332" s="24" t="n"/>
      <c r="C332" s="25" t="n"/>
      <c r="D332" s="24" t="n"/>
    </row>
    <row r="333">
      <c r="A333" s="24" t="n"/>
      <c r="B333" s="24" t="n"/>
      <c r="C333" s="25" t="n"/>
      <c r="D333" s="24" t="n"/>
    </row>
    <row r="334">
      <c r="A334" s="24" t="n"/>
      <c r="B334" s="24" t="n"/>
      <c r="C334" s="25" t="n"/>
      <c r="D334" s="24" t="n"/>
    </row>
    <row r="335">
      <c r="A335" s="24" t="n"/>
      <c r="B335" s="24" t="n"/>
      <c r="C335" s="25" t="n"/>
      <c r="D335" s="24" t="n"/>
    </row>
    <row r="336">
      <c r="A336" s="24" t="n"/>
      <c r="B336" s="24" t="n"/>
      <c r="C336" s="25" t="n"/>
      <c r="D336" s="24" t="n"/>
    </row>
    <row r="337">
      <c r="A337" s="24" t="n"/>
      <c r="B337" s="24" t="n"/>
      <c r="C337" s="25" t="n"/>
      <c r="D337" s="24" t="n"/>
    </row>
    <row r="338">
      <c r="A338" s="24" t="n"/>
      <c r="B338" s="24" t="n"/>
      <c r="C338" s="25" t="n"/>
      <c r="D338" s="24" t="n"/>
    </row>
    <row r="339">
      <c r="A339" s="24" t="n"/>
      <c r="B339" s="24" t="n"/>
      <c r="C339" s="25" t="n"/>
      <c r="D339" s="24" t="n"/>
    </row>
    <row r="340">
      <c r="A340" s="24" t="n"/>
      <c r="B340" s="24" t="n"/>
      <c r="C340" s="25" t="n"/>
      <c r="D340" s="24" t="n"/>
    </row>
    <row r="341">
      <c r="A341" s="24" t="n"/>
      <c r="B341" s="24" t="n"/>
      <c r="C341" s="25" t="n"/>
      <c r="D341" s="24" t="n"/>
    </row>
    <row r="342">
      <c r="A342" s="24" t="n"/>
      <c r="B342" s="24" t="n"/>
      <c r="C342" s="25" t="n"/>
      <c r="D342" s="24" t="n"/>
    </row>
    <row r="343">
      <c r="A343" s="24" t="n"/>
      <c r="B343" s="24" t="n"/>
      <c r="C343" s="25" t="n"/>
      <c r="D343" s="24" t="n"/>
    </row>
    <row r="344">
      <c r="A344" s="24" t="n"/>
      <c r="B344" s="24" t="n"/>
      <c r="C344" s="25" t="n"/>
      <c r="D344" s="24" t="n"/>
    </row>
    <row r="345">
      <c r="A345" s="24" t="n"/>
      <c r="B345" s="24" t="n"/>
      <c r="C345" s="25" t="n"/>
      <c r="D345" s="24" t="n"/>
    </row>
    <row r="346">
      <c r="A346" s="24" t="n"/>
      <c r="B346" s="24" t="n"/>
      <c r="C346" s="25" t="n"/>
      <c r="D346" s="24" t="n"/>
    </row>
    <row r="347">
      <c r="A347" s="24" t="n"/>
      <c r="B347" s="24" t="n"/>
      <c r="C347" s="25" t="n"/>
      <c r="D347" s="24" t="n"/>
    </row>
    <row r="348">
      <c r="A348" s="24" t="n"/>
      <c r="B348" s="24" t="n"/>
      <c r="C348" s="25" t="n"/>
      <c r="D348" s="24" t="n"/>
    </row>
    <row r="349">
      <c r="A349" s="24" t="n"/>
      <c r="B349" s="24" t="n"/>
      <c r="C349" s="25" t="n"/>
      <c r="D349" s="24" t="n"/>
    </row>
    <row r="350">
      <c r="A350" s="24" t="n"/>
      <c r="B350" s="24" t="n"/>
      <c r="C350" s="25" t="n"/>
      <c r="D350" s="24" t="n"/>
    </row>
    <row r="351">
      <c r="A351" s="24" t="n"/>
      <c r="B351" s="24" t="n"/>
      <c r="C351" s="25" t="n"/>
      <c r="D351" s="24" t="n"/>
    </row>
    <row r="352">
      <c r="A352" s="24" t="n"/>
      <c r="B352" s="24" t="n"/>
      <c r="C352" s="25" t="n"/>
      <c r="D352" s="24" t="n"/>
    </row>
    <row r="353">
      <c r="A353" s="24" t="n"/>
      <c r="B353" s="24" t="n"/>
      <c r="C353" s="25" t="n"/>
      <c r="D353" s="24" t="n"/>
    </row>
    <row r="354">
      <c r="A354" s="24" t="n"/>
      <c r="B354" s="24" t="n"/>
      <c r="C354" s="25" t="n"/>
      <c r="D354" s="24" t="n"/>
    </row>
    <row r="355">
      <c r="A355" s="24" t="n"/>
      <c r="B355" s="24" t="n"/>
      <c r="C355" s="25" t="n"/>
      <c r="D355" s="24" t="n"/>
    </row>
    <row r="356">
      <c r="A356" s="24" t="n"/>
      <c r="B356" s="24" t="n"/>
      <c r="C356" s="25" t="n"/>
      <c r="D356" s="24" t="n"/>
    </row>
    <row r="357">
      <c r="A357" s="24" t="n"/>
      <c r="B357" s="24" t="n"/>
      <c r="C357" s="25" t="n"/>
      <c r="D357" s="24" t="n"/>
    </row>
    <row r="358">
      <c r="A358" s="24" t="n"/>
      <c r="B358" s="24" t="n"/>
      <c r="C358" s="25" t="n"/>
      <c r="D358" s="24" t="n"/>
    </row>
    <row r="359">
      <c r="A359" s="24" t="n"/>
      <c r="B359" s="24" t="n"/>
      <c r="C359" s="25" t="n"/>
      <c r="D359" s="24" t="n"/>
    </row>
    <row r="360">
      <c r="A360" s="24" t="n"/>
      <c r="B360" s="24" t="n"/>
      <c r="C360" s="25" t="n"/>
      <c r="D360" s="24" t="n"/>
    </row>
    <row r="361">
      <c r="A361" s="24" t="n"/>
      <c r="B361" s="24" t="n"/>
      <c r="C361" s="25" t="n"/>
      <c r="D361" s="24" t="n"/>
    </row>
    <row r="362">
      <c r="A362" s="24" t="n"/>
      <c r="B362" s="24" t="n"/>
      <c r="C362" s="25" t="n"/>
      <c r="D362" s="24" t="n"/>
    </row>
    <row r="363">
      <c r="A363" s="24" t="n"/>
      <c r="B363" s="24" t="n"/>
      <c r="C363" s="25" t="n"/>
      <c r="D363" s="24" t="n"/>
    </row>
    <row r="364">
      <c r="A364" s="24" t="n"/>
      <c r="B364" s="24" t="n"/>
      <c r="C364" s="25" t="n"/>
      <c r="D364" s="24" t="n"/>
    </row>
    <row r="365">
      <c r="A365" s="24" t="n"/>
      <c r="B365" s="24" t="n"/>
      <c r="C365" s="25" t="n"/>
      <c r="D365" s="24" t="n"/>
    </row>
    <row r="366">
      <c r="A366" s="24" t="n"/>
      <c r="B366" s="24" t="n"/>
      <c r="C366" s="25" t="n"/>
      <c r="D366" s="24" t="n"/>
    </row>
    <row r="367">
      <c r="A367" s="24" t="n"/>
      <c r="B367" s="24" t="n"/>
      <c r="C367" s="25" t="n"/>
      <c r="D367" s="24" t="n"/>
    </row>
    <row r="368">
      <c r="A368" s="24" t="n"/>
      <c r="B368" s="24" t="n"/>
      <c r="C368" s="25" t="n"/>
      <c r="D368" s="24" t="n"/>
    </row>
    <row r="369">
      <c r="A369" s="24" t="n"/>
      <c r="B369" s="24" t="n"/>
      <c r="C369" s="25" t="n"/>
      <c r="D369" s="24" t="n"/>
    </row>
    <row r="370">
      <c r="A370" s="24" t="n"/>
      <c r="B370" s="24" t="n"/>
      <c r="C370" s="25" t="n"/>
      <c r="D370" s="24" t="n"/>
    </row>
    <row r="371">
      <c r="A371" s="24" t="n"/>
      <c r="B371" s="24" t="n"/>
      <c r="C371" s="25" t="n"/>
      <c r="D371" s="24" t="n"/>
    </row>
    <row r="372">
      <c r="A372" s="24" t="n"/>
      <c r="B372" s="24" t="n"/>
      <c r="C372" s="25" t="n"/>
      <c r="D372" s="24" t="n"/>
    </row>
    <row r="373">
      <c r="A373" s="24" t="n"/>
      <c r="B373" s="24" t="n"/>
      <c r="C373" s="25" t="n"/>
      <c r="D373" s="24" t="n"/>
    </row>
    <row r="374">
      <c r="A374" s="24" t="n"/>
      <c r="B374" s="24" t="n"/>
      <c r="C374" s="25" t="n"/>
      <c r="D374" s="24" t="n"/>
    </row>
    <row r="375">
      <c r="A375" s="24" t="n"/>
      <c r="B375" s="24" t="n"/>
      <c r="C375" s="25" t="n"/>
      <c r="D375" s="24" t="n"/>
    </row>
    <row r="376">
      <c r="A376" s="24" t="n"/>
      <c r="B376" s="24" t="n"/>
      <c r="C376" s="25" t="n"/>
      <c r="D376" s="24" t="n"/>
    </row>
    <row r="377">
      <c r="A377" s="24" t="n"/>
      <c r="B377" s="24" t="n"/>
      <c r="C377" s="25" t="n"/>
      <c r="D377" s="24" t="n"/>
    </row>
    <row r="378">
      <c r="A378" s="24" t="n"/>
      <c r="B378" s="24" t="n"/>
      <c r="C378" s="25" t="n"/>
      <c r="D378" s="24" t="n"/>
    </row>
    <row r="379">
      <c r="A379" s="24" t="n"/>
      <c r="B379" s="24" t="n"/>
      <c r="C379" s="25" t="n"/>
      <c r="D379" s="24" t="n"/>
    </row>
    <row r="380">
      <c r="A380" s="24" t="n"/>
      <c r="B380" s="24" t="n"/>
      <c r="C380" s="25" t="n"/>
      <c r="D380" s="24" t="n"/>
    </row>
    <row r="381">
      <c r="A381" s="24" t="n"/>
      <c r="B381" s="24" t="n"/>
      <c r="C381" s="25" t="n"/>
      <c r="D381" s="24" t="n"/>
    </row>
    <row r="382">
      <c r="A382" s="24" t="n"/>
      <c r="B382" s="24" t="n"/>
      <c r="C382" s="25" t="n"/>
      <c r="D382" s="24" t="n"/>
    </row>
    <row r="383">
      <c r="A383" s="24" t="n"/>
      <c r="B383" s="24" t="n"/>
      <c r="C383" s="25" t="n"/>
      <c r="D383" s="24" t="n"/>
    </row>
    <row r="384">
      <c r="A384" s="24" t="n"/>
      <c r="B384" s="24" t="n"/>
      <c r="C384" s="25" t="n"/>
      <c r="D384" s="24" t="n"/>
    </row>
    <row r="385">
      <c r="A385" s="24" t="n"/>
      <c r="B385" s="24" t="n"/>
      <c r="C385" s="25" t="n"/>
      <c r="D385" s="24" t="n"/>
    </row>
    <row r="386">
      <c r="A386" s="24" t="n"/>
      <c r="B386" s="24" t="n"/>
      <c r="C386" s="25" t="n"/>
      <c r="D386" s="24" t="n"/>
    </row>
    <row r="387">
      <c r="A387" s="24" t="n"/>
      <c r="B387" s="24" t="n"/>
      <c r="C387" s="25" t="n"/>
      <c r="D387" s="24" t="n"/>
    </row>
    <row r="388">
      <c r="A388" s="24" t="n"/>
      <c r="B388" s="24" t="n"/>
      <c r="C388" s="25" t="n"/>
      <c r="D388" s="24" t="n"/>
    </row>
    <row r="389">
      <c r="A389" s="24" t="n"/>
      <c r="B389" s="24" t="n"/>
      <c r="C389" s="25" t="n"/>
      <c r="D389" s="24" t="n"/>
    </row>
    <row r="390">
      <c r="A390" s="24" t="n"/>
      <c r="B390" s="24" t="n"/>
      <c r="C390" s="25" t="n"/>
      <c r="D390" s="24" t="n"/>
    </row>
    <row r="391">
      <c r="A391" s="24" t="n"/>
      <c r="B391" s="24" t="n"/>
      <c r="C391" s="25" t="n"/>
      <c r="D391" s="24" t="n"/>
    </row>
    <row r="392">
      <c r="A392" s="24" t="n"/>
      <c r="B392" s="24" t="n"/>
      <c r="C392" s="25" t="n"/>
      <c r="D392" s="24" t="n"/>
    </row>
    <row r="393">
      <c r="A393" s="24" t="n"/>
      <c r="B393" s="24" t="n"/>
      <c r="C393" s="25" t="n"/>
      <c r="D393" s="24" t="n"/>
    </row>
    <row r="394">
      <c r="A394" s="24" t="n"/>
      <c r="B394" s="24" t="n"/>
      <c r="C394" s="25" t="n"/>
      <c r="D394" s="24" t="n"/>
    </row>
    <row r="395">
      <c r="A395" s="24" t="n"/>
      <c r="B395" s="24" t="n"/>
      <c r="C395" s="25" t="n"/>
      <c r="D395" s="24" t="n"/>
    </row>
    <row r="396">
      <c r="A396" s="24" t="n"/>
      <c r="B396" s="24" t="n"/>
      <c r="C396" s="25" t="n"/>
      <c r="D396" s="24" t="n"/>
    </row>
    <row r="397">
      <c r="A397" s="24" t="n"/>
      <c r="B397" s="24" t="n"/>
      <c r="C397" s="25" t="n"/>
      <c r="D397" s="24" t="n"/>
    </row>
    <row r="398">
      <c r="A398" s="24" t="n"/>
      <c r="B398" s="24" t="n"/>
      <c r="C398" s="25" t="n"/>
      <c r="D398" s="24" t="n"/>
    </row>
    <row r="399">
      <c r="A399" s="24" t="n"/>
      <c r="B399" s="24" t="n"/>
      <c r="C399" s="25" t="n"/>
      <c r="D399" s="24" t="n"/>
    </row>
    <row r="400">
      <c r="A400" s="24" t="n"/>
      <c r="B400" s="24" t="n"/>
      <c r="C400" s="25" t="n"/>
      <c r="D400" s="24" t="n"/>
    </row>
    <row r="401">
      <c r="A401" s="24" t="n"/>
      <c r="B401" s="24" t="n"/>
      <c r="C401" s="25" t="n"/>
      <c r="D401" s="24" t="n"/>
    </row>
    <row r="402">
      <c r="A402" s="24" t="n"/>
      <c r="B402" s="24" t="n"/>
      <c r="C402" s="25" t="n"/>
      <c r="D402" s="24" t="n"/>
    </row>
    <row r="403">
      <c r="A403" s="24" t="n"/>
      <c r="B403" s="24" t="n"/>
      <c r="C403" s="25" t="n"/>
      <c r="D403" s="24" t="n"/>
    </row>
    <row r="404">
      <c r="A404" s="24" t="n"/>
      <c r="B404" s="24" t="n"/>
      <c r="C404" s="25" t="n"/>
      <c r="D404" s="24" t="n"/>
    </row>
    <row r="405">
      <c r="A405" s="24" t="n"/>
      <c r="B405" s="24" t="n"/>
      <c r="C405" s="25" t="n"/>
      <c r="D405" s="24" t="n"/>
    </row>
    <row r="406">
      <c r="A406" s="24" t="n"/>
      <c r="B406" s="24" t="n"/>
      <c r="C406" s="25" t="n"/>
      <c r="D406" s="24" t="n"/>
    </row>
    <row r="407">
      <c r="A407" s="24" t="n"/>
      <c r="B407" s="24" t="n"/>
      <c r="C407" s="25" t="n"/>
      <c r="D407" s="24" t="n"/>
    </row>
    <row r="408">
      <c r="A408" s="24" t="n"/>
      <c r="B408" s="24" t="n"/>
      <c r="C408" s="25" t="n"/>
      <c r="D408" s="24" t="n"/>
    </row>
    <row r="409">
      <c r="A409" s="24" t="n"/>
      <c r="B409" s="24" t="n"/>
      <c r="C409" s="25" t="n"/>
      <c r="D409" s="24" t="n"/>
    </row>
    <row r="410">
      <c r="A410" s="24" t="n"/>
      <c r="B410" s="24" t="n"/>
      <c r="C410" s="25" t="n"/>
      <c r="D410" s="24" t="n"/>
    </row>
    <row r="411">
      <c r="A411" s="24" t="n"/>
      <c r="B411" s="24" t="n"/>
      <c r="C411" s="25" t="n"/>
      <c r="D411" s="24" t="n"/>
    </row>
    <row r="412">
      <c r="A412" s="24" t="n"/>
      <c r="B412" s="24" t="n"/>
      <c r="C412" s="25" t="n"/>
      <c r="D412" s="24" t="n"/>
    </row>
    <row r="413">
      <c r="A413" s="24" t="n"/>
      <c r="B413" s="24" t="n"/>
      <c r="C413" s="25" t="n"/>
      <c r="D413" s="24" t="n"/>
    </row>
    <row r="414">
      <c r="A414" s="24" t="n"/>
      <c r="B414" s="24" t="n"/>
      <c r="C414" s="25" t="n"/>
      <c r="D414" s="24" t="n"/>
    </row>
    <row r="415">
      <c r="A415" s="24" t="n"/>
      <c r="B415" s="24" t="n"/>
      <c r="C415" s="25" t="n"/>
      <c r="D415" s="24" t="n"/>
    </row>
    <row r="416">
      <c r="A416" s="24" t="n"/>
      <c r="B416" s="24" t="n"/>
      <c r="C416" s="25" t="n"/>
      <c r="D416" s="24" t="n"/>
    </row>
    <row r="417">
      <c r="A417" s="24" t="n"/>
      <c r="B417" s="24" t="n"/>
      <c r="C417" s="25" t="n"/>
      <c r="D417" s="24" t="n"/>
    </row>
    <row r="418">
      <c r="A418" s="24" t="n"/>
      <c r="B418" s="24" t="n"/>
      <c r="C418" s="25" t="n"/>
      <c r="D418" s="24" t="n"/>
    </row>
    <row r="419">
      <c r="A419" s="24" t="n"/>
      <c r="B419" s="24" t="n"/>
      <c r="C419" s="25" t="n"/>
      <c r="D419" s="24" t="n"/>
    </row>
    <row r="420">
      <c r="A420" s="24" t="n"/>
      <c r="B420" s="24" t="n"/>
      <c r="C420" s="25" t="n"/>
      <c r="D420" s="24" t="n"/>
    </row>
    <row r="421">
      <c r="A421" s="24" t="n"/>
      <c r="B421" s="24" t="n"/>
      <c r="C421" s="25" t="n"/>
      <c r="D421" s="24" t="n"/>
    </row>
    <row r="422">
      <c r="A422" s="24" t="n"/>
      <c r="B422" s="24" t="n"/>
      <c r="C422" s="25" t="n"/>
      <c r="D422" s="24" t="n"/>
    </row>
    <row r="423">
      <c r="A423" s="24" t="n"/>
      <c r="B423" s="24" t="n"/>
      <c r="C423" s="25" t="n"/>
      <c r="D423" s="24" t="n"/>
    </row>
    <row r="424">
      <c r="A424" s="24" t="n"/>
      <c r="B424" s="24" t="n"/>
      <c r="C424" s="25" t="n"/>
      <c r="D424" s="24" t="n"/>
    </row>
    <row r="425">
      <c r="A425" s="24" t="n"/>
      <c r="B425" s="24" t="n"/>
      <c r="C425" s="25" t="n"/>
      <c r="D425" s="24" t="n"/>
    </row>
    <row r="426">
      <c r="A426" s="24" t="n"/>
      <c r="B426" s="24" t="n"/>
      <c r="C426" s="25" t="n"/>
      <c r="D426" s="24" t="n"/>
    </row>
    <row r="427">
      <c r="A427" s="24" t="n"/>
      <c r="B427" s="24" t="n"/>
      <c r="C427" s="25" t="n"/>
      <c r="D427" s="24" t="n"/>
    </row>
    <row r="428">
      <c r="A428" s="24" t="n"/>
      <c r="B428" s="24" t="n"/>
      <c r="C428" s="25" t="n"/>
      <c r="D428" s="24" t="n"/>
    </row>
    <row r="429">
      <c r="A429" s="24" t="n"/>
      <c r="B429" s="24" t="n"/>
      <c r="C429" s="25" t="n"/>
      <c r="D429" s="24" t="n"/>
    </row>
    <row r="430">
      <c r="A430" s="24" t="n"/>
      <c r="B430" s="24" t="n"/>
      <c r="C430" s="25" t="n"/>
      <c r="D430" s="24" t="n"/>
    </row>
    <row r="431">
      <c r="A431" s="24" t="n"/>
      <c r="B431" s="24" t="n"/>
      <c r="C431" s="25" t="n"/>
      <c r="D431" s="24" t="n"/>
    </row>
    <row r="432">
      <c r="A432" s="24" t="n"/>
      <c r="B432" s="24" t="n"/>
      <c r="C432" s="25" t="n"/>
      <c r="D432" s="24" t="n"/>
    </row>
    <row r="433">
      <c r="A433" s="24" t="n"/>
      <c r="B433" s="24" t="n"/>
      <c r="C433" s="25" t="n"/>
      <c r="D433" s="24" t="n"/>
    </row>
    <row r="434">
      <c r="A434" s="24" t="n"/>
      <c r="B434" s="24" t="n"/>
      <c r="C434" s="25" t="n"/>
      <c r="D434" s="24" t="n"/>
    </row>
    <row r="435">
      <c r="A435" s="24" t="n"/>
      <c r="B435" s="24" t="n"/>
      <c r="C435" s="25" t="n"/>
      <c r="D435" s="24" t="n"/>
    </row>
    <row r="436">
      <c r="A436" s="24" t="n"/>
      <c r="B436" s="24" t="n"/>
      <c r="C436" s="25" t="n"/>
      <c r="D436" s="24" t="n"/>
    </row>
    <row r="437">
      <c r="A437" s="24" t="n"/>
      <c r="B437" s="24" t="n"/>
      <c r="C437" s="25" t="n"/>
      <c r="D437" s="24" t="n"/>
    </row>
    <row r="438">
      <c r="A438" s="24" t="n"/>
      <c r="B438" s="24" t="n"/>
      <c r="C438" s="25" t="n"/>
      <c r="D438" s="24" t="n"/>
    </row>
    <row r="439">
      <c r="A439" s="24" t="n"/>
      <c r="B439" s="24" t="n"/>
      <c r="C439" s="25" t="n"/>
      <c r="D439" s="24" t="n"/>
    </row>
    <row r="440">
      <c r="A440" s="24" t="n"/>
      <c r="B440" s="24" t="n"/>
      <c r="C440" s="25" t="n"/>
      <c r="D440" s="24" t="n"/>
    </row>
    <row r="441">
      <c r="A441" s="24" t="n"/>
      <c r="B441" s="24" t="n"/>
      <c r="C441" s="25" t="n"/>
      <c r="D441" s="24" t="n"/>
    </row>
    <row r="442">
      <c r="A442" s="24" t="n"/>
      <c r="B442" s="24" t="n"/>
      <c r="C442" s="25" t="n"/>
      <c r="D442" s="24" t="n"/>
    </row>
    <row r="443">
      <c r="A443" s="24" t="n"/>
      <c r="B443" s="24" t="n"/>
      <c r="C443" s="25" t="n"/>
      <c r="D443" s="24" t="n"/>
    </row>
    <row r="444">
      <c r="A444" s="24" t="n"/>
      <c r="B444" s="24" t="n"/>
      <c r="C444" s="25" t="n"/>
      <c r="D444" s="24" t="n"/>
    </row>
    <row r="445">
      <c r="A445" s="24" t="n"/>
      <c r="B445" s="24" t="n"/>
      <c r="C445" s="25" t="n"/>
      <c r="D445" s="24" t="n"/>
    </row>
    <row r="446">
      <c r="A446" s="24" t="n"/>
      <c r="B446" s="24" t="n"/>
      <c r="C446" s="25" t="n"/>
      <c r="D446" s="24" t="n"/>
    </row>
    <row r="447">
      <c r="A447" s="24" t="n"/>
      <c r="B447" s="24" t="n"/>
      <c r="C447" s="25" t="n"/>
      <c r="D447" s="24" t="n"/>
    </row>
    <row r="448">
      <c r="A448" s="24" t="n"/>
      <c r="B448" s="24" t="n"/>
      <c r="C448" s="25" t="n"/>
      <c r="D448" s="24" t="n"/>
    </row>
    <row r="449">
      <c r="A449" s="24" t="n"/>
      <c r="B449" s="24" t="n"/>
      <c r="C449" s="25" t="n"/>
      <c r="D449" s="24" t="n"/>
    </row>
    <row r="450">
      <c r="A450" s="24" t="n"/>
      <c r="B450" s="24" t="n"/>
      <c r="C450" s="25" t="n"/>
      <c r="D450" s="24" t="n"/>
    </row>
    <row r="451">
      <c r="A451" s="24" t="n"/>
      <c r="B451" s="24" t="n"/>
      <c r="C451" s="25" t="n"/>
      <c r="D451" s="24" t="n"/>
    </row>
    <row r="452">
      <c r="A452" s="24" t="n"/>
      <c r="B452" s="24" t="n"/>
      <c r="C452" s="25" t="n"/>
      <c r="D452" s="24" t="n"/>
    </row>
    <row r="453">
      <c r="A453" s="24" t="n"/>
      <c r="B453" s="24" t="n"/>
      <c r="C453" s="25" t="n"/>
      <c r="D453" s="24" t="n"/>
    </row>
    <row r="454">
      <c r="A454" s="24" t="n"/>
      <c r="B454" s="24" t="n"/>
      <c r="C454" s="25" t="n"/>
      <c r="D454" s="24" t="n"/>
    </row>
    <row r="455">
      <c r="A455" s="24" t="n"/>
      <c r="B455" s="24" t="n"/>
      <c r="C455" s="25" t="n"/>
      <c r="D455" s="24" t="n"/>
    </row>
    <row r="456">
      <c r="A456" s="24" t="n"/>
      <c r="B456" s="24" t="n"/>
      <c r="C456" s="25" t="n"/>
      <c r="D456" s="24" t="n"/>
    </row>
    <row r="457">
      <c r="A457" s="24" t="n"/>
      <c r="B457" s="24" t="n"/>
      <c r="C457" s="25" t="n"/>
      <c r="D457" s="24" t="n"/>
    </row>
    <row r="458">
      <c r="A458" s="24" t="n"/>
      <c r="B458" s="24" t="n"/>
      <c r="C458" s="25" t="n"/>
      <c r="D458" s="24" t="n"/>
    </row>
    <row r="459">
      <c r="A459" s="24" t="n"/>
      <c r="B459" s="24" t="n"/>
      <c r="C459" s="25" t="n"/>
      <c r="D459" s="24" t="n"/>
    </row>
    <row r="460">
      <c r="A460" s="24" t="n"/>
      <c r="B460" s="24" t="n"/>
      <c r="C460" s="25" t="n"/>
      <c r="D460" s="24" t="n"/>
    </row>
    <row r="461">
      <c r="A461" s="24" t="n"/>
      <c r="B461" s="24" t="n"/>
      <c r="C461" s="25" t="n"/>
      <c r="D461" s="24" t="n"/>
    </row>
    <row r="462">
      <c r="A462" s="24" t="n"/>
      <c r="B462" s="24" t="n"/>
      <c r="C462" s="25" t="n"/>
      <c r="D462" s="24" t="n"/>
    </row>
    <row r="463">
      <c r="A463" s="24" t="n"/>
      <c r="B463" s="24" t="n"/>
      <c r="C463" s="25" t="n"/>
      <c r="D463" s="24" t="n"/>
    </row>
    <row r="464">
      <c r="A464" s="24" t="n"/>
      <c r="B464" s="24" t="n"/>
      <c r="C464" s="25" t="n"/>
      <c r="D464" s="24" t="n"/>
    </row>
    <row r="465">
      <c r="A465" s="24" t="n"/>
      <c r="B465" s="24" t="n"/>
      <c r="C465" s="25" t="n"/>
      <c r="D465" s="24" t="n"/>
    </row>
    <row r="466">
      <c r="A466" s="24" t="n"/>
      <c r="B466" s="24" t="n"/>
      <c r="C466" s="25" t="n"/>
      <c r="D466" s="24" t="n"/>
    </row>
    <row r="467">
      <c r="A467" s="24" t="n"/>
      <c r="B467" s="24" t="n"/>
      <c r="C467" s="25" t="n"/>
      <c r="D467" s="24" t="n"/>
    </row>
    <row r="468">
      <c r="A468" s="24" t="n"/>
      <c r="B468" s="24" t="n"/>
      <c r="C468" s="25" t="n"/>
      <c r="D468" s="24" t="n"/>
    </row>
    <row r="469">
      <c r="A469" s="24" t="n"/>
      <c r="B469" s="24" t="n"/>
      <c r="C469" s="25" t="n"/>
      <c r="D469" s="24" t="n"/>
    </row>
    <row r="470">
      <c r="A470" s="24" t="n"/>
      <c r="B470" s="24" t="n"/>
      <c r="C470" s="25" t="n"/>
      <c r="D470" s="24" t="n"/>
    </row>
    <row r="471">
      <c r="A471" s="24" t="n"/>
      <c r="B471" s="24" t="n"/>
      <c r="C471" s="25" t="n"/>
      <c r="D471" s="24" t="n"/>
    </row>
    <row r="472">
      <c r="A472" s="24" t="n"/>
      <c r="B472" s="24" t="n"/>
      <c r="C472" s="25" t="n"/>
      <c r="D472" s="24" t="n"/>
    </row>
    <row r="473">
      <c r="A473" s="24" t="n"/>
      <c r="B473" s="24" t="n"/>
      <c r="C473" s="25" t="n"/>
      <c r="D473" s="24" t="n"/>
    </row>
    <row r="474">
      <c r="A474" s="24" t="n"/>
      <c r="B474" s="24" t="n"/>
      <c r="C474" s="25" t="n"/>
      <c r="D474" s="24" t="n"/>
    </row>
    <row r="475">
      <c r="A475" s="24" t="n"/>
      <c r="B475" s="24" t="n"/>
      <c r="C475" s="25" t="n"/>
      <c r="D475" s="24" t="n"/>
    </row>
    <row r="476">
      <c r="A476" s="24" t="n"/>
      <c r="B476" s="24" t="n"/>
      <c r="C476" s="25" t="n"/>
      <c r="D476" s="24" t="n"/>
    </row>
    <row r="477">
      <c r="A477" s="24" t="n"/>
      <c r="B477" s="24" t="n"/>
      <c r="C477" s="25" t="n"/>
      <c r="D477" s="24" t="n"/>
    </row>
    <row r="478">
      <c r="A478" s="24" t="n"/>
      <c r="B478" s="24" t="n"/>
      <c r="C478" s="25" t="n"/>
      <c r="D478" s="24" t="n"/>
    </row>
    <row r="479">
      <c r="A479" s="24" t="n"/>
      <c r="B479" s="24" t="n"/>
      <c r="C479" s="25" t="n"/>
      <c r="D479" s="24" t="n"/>
    </row>
    <row r="480">
      <c r="A480" s="24" t="n"/>
      <c r="B480" s="24" t="n"/>
      <c r="C480" s="25" t="n"/>
      <c r="D480" s="24" t="n"/>
    </row>
    <row r="481">
      <c r="A481" s="24" t="n"/>
      <c r="B481" s="24" t="n"/>
      <c r="C481" s="25" t="n"/>
      <c r="D481" s="24" t="n"/>
    </row>
    <row r="482">
      <c r="A482" s="24" t="n"/>
      <c r="B482" s="24" t="n"/>
      <c r="C482" s="25" t="n"/>
      <c r="D482" s="24" t="n"/>
    </row>
    <row r="483">
      <c r="A483" s="24" t="n"/>
      <c r="B483" s="24" t="n"/>
      <c r="C483" s="25" t="n"/>
      <c r="D483" s="24" t="n"/>
    </row>
    <row r="484">
      <c r="A484" s="24" t="n"/>
      <c r="B484" s="24" t="n"/>
      <c r="C484" s="25" t="n"/>
      <c r="D484" s="24" t="n"/>
    </row>
    <row r="485">
      <c r="A485" s="24" t="n"/>
      <c r="B485" s="24" t="n"/>
      <c r="C485" s="25" t="n"/>
      <c r="D485" s="24" t="n"/>
    </row>
    <row r="486">
      <c r="A486" s="24" t="n"/>
      <c r="B486" s="24" t="n"/>
      <c r="C486" s="25" t="n"/>
      <c r="D486" s="24" t="n"/>
    </row>
    <row r="487">
      <c r="A487" s="24" t="n"/>
      <c r="B487" s="24" t="n"/>
      <c r="C487" s="25" t="n"/>
      <c r="D487" s="24" t="n"/>
    </row>
    <row r="488">
      <c r="A488" s="24" t="n"/>
      <c r="B488" s="24" t="n"/>
      <c r="C488" s="25" t="n"/>
      <c r="D488" s="24" t="n"/>
    </row>
    <row r="489">
      <c r="A489" s="24" t="n"/>
      <c r="B489" s="24" t="n"/>
      <c r="C489" s="25" t="n"/>
      <c r="D489" s="24" t="n"/>
    </row>
    <row r="490">
      <c r="A490" s="24" t="n"/>
      <c r="B490" s="24" t="n"/>
      <c r="C490" s="25" t="n"/>
      <c r="D490" s="24" t="n"/>
    </row>
    <row r="491">
      <c r="A491" s="24" t="n"/>
      <c r="B491" s="24" t="n"/>
      <c r="C491" s="25" t="n"/>
      <c r="D491" s="24" t="n"/>
    </row>
    <row r="492">
      <c r="A492" s="24" t="n"/>
      <c r="B492" s="24" t="n"/>
      <c r="C492" s="25" t="n"/>
      <c r="D492" s="24" t="n"/>
    </row>
    <row r="493">
      <c r="A493" s="24" t="n"/>
      <c r="B493" s="24" t="n"/>
      <c r="C493" s="25" t="n"/>
      <c r="D493" s="24" t="n"/>
    </row>
    <row r="494">
      <c r="A494" s="24" t="n"/>
      <c r="B494" s="24" t="n"/>
      <c r="C494" s="25" t="n"/>
      <c r="D494" s="24" t="n"/>
    </row>
    <row r="495">
      <c r="A495" s="24" t="n"/>
      <c r="B495" s="24" t="n"/>
      <c r="C495" s="25" t="n"/>
      <c r="D495" s="24" t="n"/>
    </row>
    <row r="496">
      <c r="A496" s="24" t="n"/>
      <c r="B496" s="24" t="n"/>
      <c r="C496" s="25" t="n"/>
      <c r="D496" s="24" t="n"/>
    </row>
    <row r="497">
      <c r="A497" s="24" t="n"/>
      <c r="B497" s="24" t="n"/>
      <c r="C497" s="25" t="n"/>
      <c r="D497" s="24" t="n"/>
    </row>
    <row r="498">
      <c r="A498" s="24" t="n"/>
      <c r="B498" s="24" t="n"/>
      <c r="C498" s="25" t="n"/>
      <c r="D498" s="24" t="n"/>
    </row>
    <row r="499">
      <c r="A499" s="24" t="n"/>
      <c r="B499" s="24" t="n"/>
      <c r="C499" s="25" t="n"/>
      <c r="D499" s="24" t="n"/>
    </row>
    <row r="500">
      <c r="A500" s="24" t="n"/>
      <c r="B500" s="24" t="n"/>
      <c r="C500" s="25" t="n"/>
      <c r="D500" s="24" t="n"/>
    </row>
    <row r="501">
      <c r="A501" s="24" t="n"/>
      <c r="B501" s="24" t="n"/>
      <c r="C501" s="25" t="n"/>
      <c r="D501" s="24" t="n"/>
    </row>
    <row r="502">
      <c r="A502" s="24" t="n"/>
      <c r="B502" s="24" t="n"/>
      <c r="C502" s="25" t="n"/>
      <c r="D502" s="24" t="n"/>
    </row>
    <row r="503">
      <c r="A503" s="24" t="n"/>
      <c r="B503" s="24" t="n"/>
      <c r="C503" s="25" t="n"/>
      <c r="D503" s="24" t="n"/>
    </row>
    <row r="504">
      <c r="A504" s="24" t="n"/>
      <c r="B504" s="24" t="n"/>
      <c r="C504" s="25" t="n"/>
      <c r="D504" s="24" t="n"/>
    </row>
    <row r="505">
      <c r="A505" s="24" t="n"/>
      <c r="B505" s="24" t="n"/>
      <c r="C505" s="25" t="n"/>
      <c r="D505" s="24" t="n"/>
    </row>
    <row r="506">
      <c r="A506" s="24" t="n"/>
      <c r="B506" s="24" t="n"/>
      <c r="C506" s="25" t="n"/>
      <c r="D506" s="24" t="n"/>
    </row>
    <row r="507">
      <c r="A507" s="24" t="n"/>
      <c r="B507" s="24" t="n"/>
      <c r="C507" s="25" t="n"/>
      <c r="D507" s="24" t="n"/>
    </row>
    <row r="508">
      <c r="A508" s="24" t="n"/>
      <c r="B508" s="24" t="n"/>
      <c r="C508" s="25" t="n"/>
      <c r="D508" s="24" t="n"/>
    </row>
    <row r="509">
      <c r="A509" s="24" t="n"/>
      <c r="B509" s="24" t="n"/>
      <c r="C509" s="25" t="n"/>
      <c r="D509" s="24" t="n"/>
    </row>
    <row r="510">
      <c r="A510" s="24" t="n"/>
      <c r="B510" s="24" t="n"/>
      <c r="C510" s="25" t="n"/>
      <c r="D510" s="24" t="n"/>
    </row>
    <row r="511">
      <c r="A511" s="24" t="n"/>
      <c r="B511" s="24" t="n"/>
      <c r="C511" s="25" t="n"/>
      <c r="D511" s="24" t="n"/>
    </row>
    <row r="512">
      <c r="A512" s="24" t="n"/>
      <c r="B512" s="24" t="n"/>
      <c r="C512" s="25" t="n"/>
      <c r="D512" s="24" t="n"/>
    </row>
    <row r="513">
      <c r="A513" s="24" t="n"/>
      <c r="B513" s="24" t="n"/>
      <c r="C513" s="25" t="n"/>
      <c r="D513" s="24" t="n"/>
    </row>
    <row r="514">
      <c r="A514" s="24" t="n"/>
      <c r="B514" s="24" t="n"/>
      <c r="C514" s="25" t="n"/>
      <c r="D514" s="24" t="n"/>
    </row>
    <row r="515">
      <c r="A515" s="24" t="n"/>
      <c r="B515" s="24" t="n"/>
      <c r="C515" s="25" t="n"/>
      <c r="D515" s="24" t="n"/>
    </row>
    <row r="516">
      <c r="A516" s="24" t="n"/>
      <c r="B516" s="24" t="n"/>
      <c r="C516" s="25" t="n"/>
      <c r="D516" s="24" t="n"/>
    </row>
    <row r="517">
      <c r="A517" s="24" t="n"/>
      <c r="B517" s="24" t="n"/>
      <c r="C517" s="25" t="n"/>
      <c r="D517" s="24" t="n"/>
    </row>
    <row r="518">
      <c r="A518" s="24" t="n"/>
      <c r="B518" s="24" t="n"/>
      <c r="C518" s="25" t="n"/>
      <c r="D518" s="24" t="n"/>
    </row>
    <row r="519">
      <c r="A519" s="24" t="n"/>
      <c r="B519" s="24" t="n"/>
      <c r="C519" s="25" t="n"/>
      <c r="D519" s="24" t="n"/>
    </row>
    <row r="520">
      <c r="A520" s="24" t="n"/>
      <c r="B520" s="24" t="n"/>
      <c r="C520" s="25" t="n"/>
      <c r="D520" s="24" t="n"/>
    </row>
    <row r="521">
      <c r="A521" s="24" t="n"/>
      <c r="B521" s="24" t="n"/>
      <c r="C521" s="25" t="n"/>
      <c r="D521" s="24" t="n"/>
    </row>
    <row r="522">
      <c r="A522" s="24" t="n"/>
      <c r="B522" s="24" t="n"/>
      <c r="C522" s="25" t="n"/>
      <c r="D522" s="24" t="n"/>
    </row>
    <row r="523">
      <c r="A523" s="24" t="n"/>
      <c r="B523" s="24" t="n"/>
      <c r="C523" s="25" t="n"/>
      <c r="D523" s="24" t="n"/>
    </row>
    <row r="524">
      <c r="A524" s="24" t="n"/>
      <c r="B524" s="24" t="n"/>
      <c r="C524" s="25" t="n"/>
      <c r="D524" s="24" t="n"/>
    </row>
    <row r="525">
      <c r="A525" s="24" t="n"/>
      <c r="B525" s="24" t="n"/>
      <c r="C525" s="25" t="n"/>
      <c r="D525" s="24" t="n"/>
    </row>
    <row r="526">
      <c r="A526" s="24" t="n"/>
      <c r="B526" s="24" t="n"/>
      <c r="C526" s="25" t="n"/>
      <c r="D526" s="24" t="n"/>
    </row>
    <row r="527">
      <c r="A527" s="24" t="n"/>
      <c r="B527" s="24" t="n"/>
      <c r="C527" s="25" t="n"/>
      <c r="D527" s="24" t="n"/>
    </row>
    <row r="528">
      <c r="A528" s="24" t="n"/>
      <c r="B528" s="24" t="n"/>
      <c r="C528" s="25" t="n"/>
      <c r="D528" s="24" t="n"/>
    </row>
    <row r="529">
      <c r="A529" s="24" t="n"/>
      <c r="B529" s="24" t="n"/>
      <c r="C529" s="25" t="n"/>
      <c r="D529" s="24" t="n"/>
    </row>
    <row r="530">
      <c r="A530" s="24" t="n"/>
      <c r="B530" s="24" t="n"/>
      <c r="C530" s="25" t="n"/>
      <c r="D530" s="24" t="n"/>
    </row>
    <row r="531">
      <c r="A531" s="24" t="n"/>
      <c r="B531" s="24" t="n"/>
      <c r="C531" s="25" t="n"/>
      <c r="D531" s="24" t="n"/>
    </row>
    <row r="532">
      <c r="A532" s="24" t="n"/>
      <c r="B532" s="24" t="n"/>
      <c r="C532" s="25" t="n"/>
      <c r="D532" s="24" t="n"/>
    </row>
    <row r="533">
      <c r="A533" s="24" t="n"/>
      <c r="B533" s="24" t="n"/>
      <c r="C533" s="25" t="n"/>
      <c r="D533" s="24" t="n"/>
    </row>
    <row r="534">
      <c r="A534" s="24" t="n"/>
      <c r="B534" s="24" t="n"/>
      <c r="C534" s="25" t="n"/>
      <c r="D534" s="24" t="n"/>
    </row>
    <row r="535">
      <c r="A535" s="24" t="n"/>
      <c r="B535" s="24" t="n"/>
      <c r="C535" s="25" t="n"/>
      <c r="D535" s="24" t="n"/>
    </row>
    <row r="536">
      <c r="A536" s="24" t="n"/>
      <c r="B536" s="24" t="n"/>
      <c r="C536" s="25" t="n"/>
      <c r="D536" s="24" t="n"/>
    </row>
    <row r="537">
      <c r="A537" s="24" t="n"/>
      <c r="B537" s="24" t="n"/>
      <c r="C537" s="25" t="n"/>
      <c r="D537" s="24" t="n"/>
    </row>
    <row r="538">
      <c r="A538" s="24" t="n"/>
      <c r="B538" s="24" t="n"/>
      <c r="C538" s="25" t="n"/>
      <c r="D538" s="24" t="n"/>
    </row>
    <row r="539">
      <c r="A539" s="24" t="n"/>
      <c r="B539" s="24" t="n"/>
      <c r="C539" s="25" t="n"/>
      <c r="D539" s="24" t="n"/>
    </row>
    <row r="540">
      <c r="A540" s="24" t="n"/>
      <c r="B540" s="24" t="n"/>
      <c r="C540" s="25" t="n"/>
      <c r="D540" s="24" t="n"/>
    </row>
    <row r="541">
      <c r="A541" s="24" t="n"/>
      <c r="B541" s="24" t="n"/>
      <c r="C541" s="25" t="n"/>
      <c r="D541" s="24" t="n"/>
    </row>
    <row r="542">
      <c r="A542" s="24" t="n"/>
      <c r="B542" s="24" t="n"/>
      <c r="C542" s="25" t="n"/>
      <c r="D542" s="24" t="n"/>
    </row>
    <row r="543">
      <c r="A543" s="24" t="n"/>
      <c r="B543" s="24" t="n"/>
      <c r="C543" s="25" t="n"/>
      <c r="D543" s="24" t="n"/>
    </row>
    <row r="544">
      <c r="A544" s="24" t="n"/>
      <c r="B544" s="24" t="n"/>
      <c r="C544" s="25" t="n"/>
      <c r="D544" s="24" t="n"/>
    </row>
    <row r="545">
      <c r="A545" s="24" t="n"/>
      <c r="B545" s="24" t="n"/>
      <c r="C545" s="25" t="n"/>
      <c r="D545" s="24" t="n"/>
    </row>
    <row r="546">
      <c r="A546" s="24" t="n"/>
      <c r="B546" s="24" t="n"/>
      <c r="C546" s="25" t="n"/>
      <c r="D546" s="24" t="n"/>
    </row>
    <row r="547">
      <c r="A547" s="24" t="n"/>
      <c r="B547" s="24" t="n"/>
      <c r="C547" s="25" t="n"/>
      <c r="D547" s="24" t="n"/>
    </row>
    <row r="548">
      <c r="A548" s="24" t="n"/>
      <c r="B548" s="24" t="n"/>
      <c r="C548" s="25" t="n"/>
      <c r="D548" s="24" t="n"/>
    </row>
    <row r="549">
      <c r="A549" s="24" t="n"/>
      <c r="B549" s="24" t="n"/>
      <c r="C549" s="25" t="n"/>
      <c r="D549" s="24" t="n"/>
    </row>
    <row r="550">
      <c r="A550" s="24" t="n"/>
      <c r="B550" s="24" t="n"/>
      <c r="C550" s="25" t="n"/>
      <c r="D550" s="24" t="n"/>
    </row>
    <row r="551">
      <c r="A551" s="24" t="n"/>
      <c r="B551" s="24" t="n"/>
      <c r="C551" s="25" t="n"/>
      <c r="D551" s="24" t="n"/>
    </row>
    <row r="552">
      <c r="A552" s="24" t="n"/>
      <c r="B552" s="24" t="n"/>
      <c r="C552" s="25" t="n"/>
      <c r="D552" s="24" t="n"/>
    </row>
    <row r="553">
      <c r="A553" s="24" t="n"/>
      <c r="B553" s="24" t="n"/>
      <c r="C553" s="25" t="n"/>
      <c r="D553" s="24" t="n"/>
    </row>
    <row r="554">
      <c r="A554" s="24" t="n"/>
      <c r="B554" s="24" t="n"/>
      <c r="C554" s="25" t="n"/>
      <c r="D554" s="24" t="n"/>
    </row>
    <row r="555">
      <c r="A555" s="24" t="n"/>
      <c r="B555" s="24" t="n"/>
      <c r="C555" s="25" t="n"/>
      <c r="D555" s="24" t="n"/>
    </row>
    <row r="556">
      <c r="A556" s="24" t="n"/>
      <c r="B556" s="24" t="n"/>
      <c r="C556" s="25" t="n"/>
      <c r="D556" s="24" t="n"/>
    </row>
    <row r="557">
      <c r="A557" s="24" t="n"/>
      <c r="B557" s="24" t="n"/>
      <c r="C557" s="25" t="n"/>
      <c r="D557" s="24" t="n"/>
    </row>
    <row r="558">
      <c r="A558" s="24" t="n"/>
      <c r="B558" s="24" t="n"/>
      <c r="C558" s="25" t="n"/>
      <c r="D558" s="24" t="n"/>
    </row>
    <row r="559">
      <c r="A559" s="24" t="n"/>
      <c r="B559" s="24" t="n"/>
      <c r="C559" s="25" t="n"/>
      <c r="D559" s="24" t="n"/>
    </row>
    <row r="560">
      <c r="A560" s="24" t="n"/>
      <c r="B560" s="24" t="n"/>
      <c r="C560" s="25" t="n"/>
      <c r="D560" s="24" t="n"/>
    </row>
    <row r="561">
      <c r="A561" s="24" t="n"/>
      <c r="B561" s="24" t="n"/>
      <c r="C561" s="25" t="n"/>
      <c r="D561" s="24" t="n"/>
    </row>
    <row r="562">
      <c r="A562" s="24" t="n"/>
      <c r="B562" s="24" t="n"/>
      <c r="C562" s="25" t="n"/>
      <c r="D562" s="24" t="n"/>
    </row>
    <row r="563">
      <c r="A563" s="24" t="n"/>
      <c r="B563" s="24" t="n"/>
      <c r="C563" s="25" t="n"/>
      <c r="D563" s="24" t="n"/>
    </row>
    <row r="564">
      <c r="A564" s="24" t="n"/>
      <c r="B564" s="24" t="n"/>
      <c r="C564" s="25" t="n"/>
      <c r="D564" s="24" t="n"/>
    </row>
    <row r="565">
      <c r="A565" s="24" t="n"/>
      <c r="B565" s="24" t="n"/>
      <c r="C565" s="25" t="n"/>
      <c r="D565" s="24" t="n"/>
    </row>
    <row r="566">
      <c r="A566" s="24" t="n"/>
      <c r="B566" s="24" t="n"/>
      <c r="C566" s="25" t="n"/>
      <c r="D566" s="24" t="n"/>
    </row>
    <row r="567">
      <c r="A567" s="24" t="n"/>
      <c r="B567" s="24" t="n"/>
      <c r="C567" s="25" t="n"/>
      <c r="D567" s="24" t="n"/>
    </row>
    <row r="568">
      <c r="A568" s="24" t="n"/>
      <c r="B568" s="24" t="n"/>
      <c r="C568" s="25" t="n"/>
      <c r="D568" s="24" t="n"/>
    </row>
    <row r="569">
      <c r="A569" s="24" t="n"/>
      <c r="B569" s="24" t="n"/>
      <c r="C569" s="25" t="n"/>
      <c r="D569" s="24" t="n"/>
    </row>
    <row r="570">
      <c r="A570" s="24" t="n"/>
      <c r="B570" s="24" t="n"/>
      <c r="C570" s="25" t="n"/>
      <c r="D570" s="24" t="n"/>
    </row>
    <row r="571">
      <c r="A571" s="24" t="n"/>
      <c r="B571" s="24" t="n"/>
      <c r="C571" s="25" t="n"/>
      <c r="D571" s="24" t="n"/>
    </row>
    <row r="572">
      <c r="A572" s="24" t="n"/>
      <c r="B572" s="24" t="n"/>
      <c r="C572" s="25" t="n"/>
      <c r="D572" s="24" t="n"/>
    </row>
    <row r="573">
      <c r="A573" s="24" t="n"/>
      <c r="B573" s="24" t="n"/>
      <c r="C573" s="25" t="n"/>
      <c r="D573" s="24" t="n"/>
    </row>
    <row r="574">
      <c r="A574" s="24" t="n"/>
      <c r="B574" s="24" t="n"/>
      <c r="C574" s="25" t="n"/>
      <c r="D574" s="24" t="n"/>
    </row>
    <row r="575">
      <c r="A575" s="24" t="n"/>
      <c r="B575" s="24" t="n"/>
      <c r="C575" s="25" t="n"/>
      <c r="D575" s="24" t="n"/>
    </row>
    <row r="576">
      <c r="A576" s="24" t="n"/>
      <c r="B576" s="24" t="n"/>
      <c r="C576" s="25" t="n"/>
      <c r="D576" s="24" t="n"/>
    </row>
    <row r="577">
      <c r="A577" s="24" t="n"/>
      <c r="B577" s="24" t="n"/>
      <c r="C577" s="25" t="n"/>
      <c r="D577" s="24" t="n"/>
    </row>
    <row r="578">
      <c r="A578" s="24" t="n"/>
      <c r="B578" s="24" t="n"/>
      <c r="C578" s="25" t="n"/>
      <c r="D578" s="24" t="n"/>
    </row>
    <row r="579">
      <c r="A579" s="24" t="n"/>
      <c r="B579" s="24" t="n"/>
      <c r="C579" s="25" t="n"/>
      <c r="D579" s="24" t="n"/>
    </row>
    <row r="580">
      <c r="A580" s="24" t="n"/>
      <c r="B580" s="24" t="n"/>
      <c r="C580" s="25" t="n"/>
      <c r="D580" s="24" t="n"/>
    </row>
    <row r="581">
      <c r="A581" s="24" t="n"/>
      <c r="B581" s="24" t="n"/>
      <c r="C581" s="25" t="n"/>
      <c r="D581" s="24" t="n"/>
    </row>
    <row r="582">
      <c r="A582" s="24" t="n"/>
      <c r="B582" s="24" t="n"/>
      <c r="C582" s="25" t="n"/>
      <c r="D582" s="24" t="n"/>
    </row>
    <row r="583">
      <c r="A583" s="24" t="n"/>
      <c r="B583" s="24" t="n"/>
      <c r="C583" s="25" t="n"/>
      <c r="D583" s="24" t="n"/>
    </row>
    <row r="584">
      <c r="A584" s="24" t="n"/>
      <c r="B584" s="24" t="n"/>
      <c r="C584" s="25" t="n"/>
      <c r="D584" s="24" t="n"/>
    </row>
    <row r="585">
      <c r="A585" s="24" t="n"/>
      <c r="B585" s="24" t="n"/>
      <c r="C585" s="25" t="n"/>
      <c r="D585" s="24" t="n"/>
    </row>
    <row r="586">
      <c r="A586" s="24" t="n"/>
      <c r="B586" s="24" t="n"/>
      <c r="C586" s="25" t="n"/>
      <c r="D586" s="24" t="n"/>
    </row>
    <row r="587">
      <c r="A587" s="24" t="n"/>
      <c r="B587" s="24" t="n"/>
      <c r="C587" s="25" t="n"/>
      <c r="D587" s="24" t="n"/>
    </row>
    <row r="588">
      <c r="A588" s="24" t="n"/>
      <c r="B588" s="24" t="n"/>
      <c r="C588" s="25" t="n"/>
      <c r="D588" s="24" t="n"/>
    </row>
    <row r="589">
      <c r="A589" s="24" t="n"/>
      <c r="B589" s="24" t="n"/>
      <c r="C589" s="25" t="n"/>
      <c r="D589" s="24" t="n"/>
    </row>
    <row r="590">
      <c r="A590" s="24" t="n"/>
      <c r="B590" s="24" t="n"/>
      <c r="C590" s="25" t="n"/>
      <c r="D590" s="24" t="n"/>
    </row>
    <row r="591">
      <c r="A591" s="24" t="n"/>
      <c r="B591" s="24" t="n"/>
      <c r="C591" s="25" t="n"/>
      <c r="D591" s="24" t="n"/>
    </row>
    <row r="592">
      <c r="A592" s="24" t="n"/>
      <c r="B592" s="24" t="n"/>
      <c r="C592" s="25" t="n"/>
      <c r="D592" s="24" t="n"/>
    </row>
    <row r="593">
      <c r="A593" s="24" t="n"/>
      <c r="B593" s="24" t="n"/>
      <c r="C593" s="25" t="n"/>
      <c r="D593" s="24" t="n"/>
    </row>
    <row r="594">
      <c r="A594" s="24" t="n"/>
      <c r="B594" s="24" t="n"/>
      <c r="C594" s="25" t="n"/>
      <c r="D594" s="24" t="n"/>
    </row>
    <row r="595">
      <c r="A595" s="24" t="n"/>
      <c r="B595" s="24" t="n"/>
      <c r="C595" s="25" t="n"/>
      <c r="D595" s="24" t="n"/>
    </row>
    <row r="596">
      <c r="A596" s="24" t="n"/>
      <c r="B596" s="24" t="n"/>
      <c r="C596" s="25" t="n"/>
      <c r="D596" s="24" t="n"/>
    </row>
    <row r="597">
      <c r="A597" s="24" t="n"/>
      <c r="B597" s="24" t="n"/>
      <c r="C597" s="25" t="n"/>
      <c r="D597" s="24" t="n"/>
    </row>
    <row r="598">
      <c r="A598" s="24" t="n"/>
      <c r="B598" s="24" t="n"/>
      <c r="C598" s="25" t="n"/>
      <c r="D598" s="24" t="n"/>
    </row>
    <row r="599">
      <c r="A599" s="24" t="n"/>
      <c r="B599" s="24" t="n"/>
      <c r="C599" s="25" t="n"/>
      <c r="D599" s="24" t="n"/>
    </row>
    <row r="600">
      <c r="A600" s="24" t="n"/>
      <c r="B600" s="24" t="n"/>
      <c r="C600" s="25" t="n"/>
      <c r="D600" s="24" t="n"/>
    </row>
    <row r="601">
      <c r="A601" s="24" t="n"/>
      <c r="B601" s="24" t="n"/>
      <c r="C601" s="25" t="n"/>
      <c r="D601" s="24" t="n"/>
    </row>
    <row r="602">
      <c r="A602" s="24" t="n"/>
      <c r="B602" s="24" t="n"/>
      <c r="C602" s="25" t="n"/>
      <c r="D602" s="24" t="n"/>
    </row>
    <row r="603">
      <c r="A603" s="24" t="n"/>
      <c r="B603" s="24" t="n"/>
      <c r="C603" s="25" t="n"/>
      <c r="D603" s="24" t="n"/>
    </row>
    <row r="604">
      <c r="A604" s="24" t="n"/>
      <c r="B604" s="24" t="n"/>
      <c r="C604" s="25" t="n"/>
      <c r="D604" s="24" t="n"/>
    </row>
    <row r="605">
      <c r="A605" s="24" t="n"/>
      <c r="B605" s="24" t="n"/>
      <c r="C605" s="25" t="n"/>
      <c r="D605" s="24" t="n"/>
    </row>
    <row r="606">
      <c r="A606" s="24" t="n"/>
      <c r="B606" s="24" t="n"/>
      <c r="C606" s="25" t="n"/>
      <c r="D606" s="24" t="n"/>
    </row>
    <row r="607">
      <c r="A607" s="24" t="n"/>
      <c r="B607" s="24" t="n"/>
      <c r="C607" s="25" t="n"/>
      <c r="D607" s="24" t="n"/>
    </row>
    <row r="608">
      <c r="A608" s="24" t="n"/>
      <c r="B608" s="24" t="n"/>
      <c r="C608" s="25" t="n"/>
      <c r="D608" s="24" t="n"/>
    </row>
    <row r="609">
      <c r="A609" s="24" t="n"/>
      <c r="B609" s="24" t="n"/>
      <c r="C609" s="25" t="n"/>
      <c r="D609" s="24" t="n"/>
    </row>
    <row r="610">
      <c r="A610" s="24" t="n"/>
      <c r="B610" s="24" t="n"/>
      <c r="C610" s="25" t="n"/>
      <c r="D610" s="24" t="n"/>
    </row>
    <row r="611">
      <c r="A611" s="24" t="n"/>
      <c r="B611" s="24" t="n"/>
      <c r="C611" s="25" t="n"/>
      <c r="D611" s="24" t="n"/>
    </row>
    <row r="612">
      <c r="A612" s="24" t="n"/>
      <c r="B612" s="24" t="n"/>
      <c r="C612" s="25" t="n"/>
      <c r="D612" s="24" t="n"/>
    </row>
    <row r="613">
      <c r="A613" s="24" t="n"/>
      <c r="B613" s="24" t="n"/>
      <c r="C613" s="25" t="n"/>
      <c r="D613" s="24" t="n"/>
    </row>
    <row r="614">
      <c r="A614" s="24" t="n"/>
      <c r="B614" s="24" t="n"/>
      <c r="C614" s="25" t="n"/>
      <c r="D614" s="24" t="n"/>
    </row>
    <row r="615">
      <c r="A615" s="24" t="n"/>
      <c r="B615" s="24" t="n"/>
      <c r="C615" s="25" t="n"/>
      <c r="D615" s="24" t="n"/>
    </row>
    <row r="616">
      <c r="A616" s="24" t="n"/>
      <c r="B616" s="24" t="n"/>
      <c r="C616" s="25" t="n"/>
      <c r="D616" s="24" t="n"/>
    </row>
    <row r="617">
      <c r="A617" s="24" t="n"/>
      <c r="B617" s="24" t="n"/>
      <c r="C617" s="25" t="n"/>
      <c r="D617" s="24" t="n"/>
    </row>
    <row r="618">
      <c r="A618" s="24" t="n"/>
      <c r="B618" s="24" t="n"/>
      <c r="C618" s="25" t="n"/>
      <c r="D618" s="24" t="n"/>
    </row>
    <row r="619">
      <c r="A619" s="24" t="n"/>
      <c r="B619" s="24" t="n"/>
      <c r="C619" s="25" t="n"/>
      <c r="D619" s="24" t="n"/>
    </row>
    <row r="620">
      <c r="A620" s="24" t="n"/>
      <c r="B620" s="24" t="n"/>
      <c r="C620" s="25" t="n"/>
      <c r="D620" s="24" t="n"/>
    </row>
    <row r="621">
      <c r="A621" s="24" t="n"/>
      <c r="B621" s="24" t="n"/>
      <c r="C621" s="25" t="n"/>
      <c r="D621" s="24" t="n"/>
    </row>
    <row r="622">
      <c r="A622" s="24" t="n"/>
      <c r="B622" s="24" t="n"/>
      <c r="C622" s="25" t="n"/>
      <c r="D622" s="24" t="n"/>
    </row>
    <row r="623">
      <c r="A623" s="24" t="n"/>
      <c r="B623" s="24" t="n"/>
      <c r="C623" s="25" t="n"/>
      <c r="D623" s="24" t="n"/>
    </row>
    <row r="624">
      <c r="A624" s="24" t="n"/>
      <c r="B624" s="24" t="n"/>
      <c r="C624" s="25" t="n"/>
      <c r="D624" s="24" t="n"/>
    </row>
    <row r="625">
      <c r="A625" s="24" t="n"/>
      <c r="B625" s="24" t="n"/>
      <c r="C625" s="25" t="n"/>
      <c r="D625" s="24" t="n"/>
    </row>
    <row r="626">
      <c r="A626" s="24" t="n"/>
      <c r="B626" s="24" t="n"/>
      <c r="C626" s="25" t="n"/>
      <c r="D626" s="24" t="n"/>
    </row>
    <row r="627">
      <c r="A627" s="24" t="n"/>
      <c r="B627" s="24" t="n"/>
      <c r="C627" s="25" t="n"/>
      <c r="D627" s="24" t="n"/>
    </row>
    <row r="628">
      <c r="A628" s="24" t="n"/>
      <c r="B628" s="24" t="n"/>
      <c r="C628" s="25" t="n"/>
      <c r="D628" s="24" t="n"/>
    </row>
    <row r="629">
      <c r="A629" s="24" t="n"/>
      <c r="B629" s="24" t="n"/>
      <c r="C629" s="25" t="n"/>
      <c r="D629" s="24" t="n"/>
    </row>
    <row r="630">
      <c r="A630" s="24" t="n"/>
      <c r="B630" s="24" t="n"/>
      <c r="C630" s="25" t="n"/>
      <c r="D630" s="24" t="n"/>
    </row>
    <row r="631">
      <c r="A631" s="24" t="n"/>
      <c r="B631" s="24" t="n"/>
      <c r="C631" s="25" t="n"/>
      <c r="D631" s="24" t="n"/>
    </row>
    <row r="632">
      <c r="A632" s="24" t="n"/>
      <c r="B632" s="24" t="n"/>
      <c r="C632" s="25" t="n"/>
      <c r="D632" s="24" t="n"/>
    </row>
    <row r="633">
      <c r="A633" s="24" t="n"/>
      <c r="B633" s="24" t="n"/>
      <c r="C633" s="25" t="n"/>
      <c r="D633" s="24" t="n"/>
    </row>
    <row r="634">
      <c r="A634" s="24" t="n"/>
      <c r="B634" s="24" t="n"/>
      <c r="C634" s="25" t="n"/>
      <c r="D634" s="24" t="n"/>
    </row>
    <row r="635">
      <c r="A635" s="24" t="n"/>
      <c r="B635" s="24" t="n"/>
      <c r="C635" s="25" t="n"/>
      <c r="D635" s="24" t="n"/>
    </row>
    <row r="636">
      <c r="A636" s="24" t="n"/>
      <c r="B636" s="24" t="n"/>
      <c r="C636" s="25" t="n"/>
      <c r="D636" s="24" t="n"/>
    </row>
    <row r="637">
      <c r="A637" s="24" t="n"/>
      <c r="B637" s="24" t="n"/>
      <c r="C637" s="25" t="n"/>
      <c r="D637" s="24" t="n"/>
    </row>
    <row r="638">
      <c r="A638" s="24" t="n"/>
      <c r="B638" s="24" t="n"/>
      <c r="C638" s="25" t="n"/>
      <c r="D638" s="24" t="n"/>
    </row>
    <row r="639">
      <c r="A639" s="24" t="n"/>
      <c r="B639" s="24" t="n"/>
      <c r="C639" s="25" t="n"/>
      <c r="D639" s="24" t="n"/>
    </row>
    <row r="640">
      <c r="A640" s="24" t="n"/>
      <c r="B640" s="24" t="n"/>
      <c r="C640" s="25" t="n"/>
      <c r="D640" s="24" t="n"/>
    </row>
    <row r="641">
      <c r="A641" s="24" t="n"/>
      <c r="B641" s="24" t="n"/>
      <c r="C641" s="25" t="n"/>
      <c r="D641" s="24" t="n"/>
    </row>
    <row r="642">
      <c r="A642" s="24" t="n"/>
      <c r="B642" s="24" t="n"/>
      <c r="C642" s="25" t="n"/>
      <c r="D642" s="24" t="n"/>
    </row>
    <row r="643">
      <c r="A643" s="24" t="n"/>
      <c r="B643" s="24" t="n"/>
      <c r="C643" s="25" t="n"/>
      <c r="D643" s="24" t="n"/>
    </row>
    <row r="644">
      <c r="A644" s="24" t="n"/>
      <c r="B644" s="24" t="n"/>
      <c r="C644" s="25" t="n"/>
      <c r="D644" s="24" t="n"/>
    </row>
    <row r="645">
      <c r="A645" s="24" t="n"/>
      <c r="B645" s="24" t="n"/>
      <c r="C645" s="25" t="n"/>
      <c r="D645" s="24" t="n"/>
    </row>
    <row r="646">
      <c r="A646" s="24" t="n"/>
      <c r="B646" s="24" t="n"/>
      <c r="C646" s="25" t="n"/>
      <c r="D646" s="24" t="n"/>
    </row>
    <row r="647">
      <c r="A647" s="24" t="n"/>
      <c r="B647" s="24" t="n"/>
      <c r="C647" s="25" t="n"/>
      <c r="D647" s="24" t="n"/>
    </row>
    <row r="648">
      <c r="A648" s="24" t="n"/>
      <c r="B648" s="24" t="n"/>
      <c r="C648" s="25" t="n"/>
      <c r="D648" s="24" t="n"/>
    </row>
    <row r="649">
      <c r="A649" s="24" t="n"/>
      <c r="B649" s="24" t="n"/>
      <c r="C649" s="25" t="n"/>
      <c r="D649" s="24" t="n"/>
    </row>
    <row r="650">
      <c r="A650" s="24" t="n"/>
      <c r="B650" s="24" t="n"/>
      <c r="C650" s="25" t="n"/>
      <c r="D650" s="24" t="n"/>
    </row>
    <row r="651">
      <c r="A651" s="24" t="n"/>
      <c r="B651" s="24" t="n"/>
      <c r="C651" s="25" t="n"/>
      <c r="D651" s="24" t="n"/>
    </row>
    <row r="652">
      <c r="A652" s="24" t="n"/>
      <c r="B652" s="24" t="n"/>
      <c r="C652" s="25" t="n"/>
      <c r="D652" s="24" t="n"/>
    </row>
    <row r="653">
      <c r="A653" s="24" t="n"/>
      <c r="B653" s="24" t="n"/>
      <c r="C653" s="25" t="n"/>
      <c r="D653" s="24" t="n"/>
    </row>
    <row r="654">
      <c r="A654" s="24" t="n"/>
      <c r="B654" s="24" t="n"/>
      <c r="C654" s="25" t="n"/>
      <c r="D654" s="24" t="n"/>
    </row>
    <row r="655">
      <c r="A655" s="24" t="n"/>
      <c r="B655" s="24" t="n"/>
      <c r="C655" s="25" t="n"/>
      <c r="D655" s="24" t="n"/>
    </row>
    <row r="656">
      <c r="A656" s="24" t="n"/>
      <c r="B656" s="24" t="n"/>
      <c r="C656" s="25" t="n"/>
      <c r="D656" s="24" t="n"/>
    </row>
    <row r="657">
      <c r="A657" s="24" t="n"/>
      <c r="B657" s="24" t="n"/>
      <c r="C657" s="25" t="n"/>
      <c r="D657" s="24" t="n"/>
    </row>
    <row r="658">
      <c r="A658" s="24" t="n"/>
      <c r="B658" s="24" t="n"/>
      <c r="C658" s="25" t="n"/>
      <c r="D658" s="24" t="n"/>
    </row>
    <row r="659">
      <c r="A659" s="24" t="n"/>
      <c r="B659" s="24" t="n"/>
      <c r="C659" s="25" t="n"/>
      <c r="D659" s="24" t="n"/>
    </row>
    <row r="660">
      <c r="A660" s="24" t="n"/>
      <c r="B660" s="24" t="n"/>
      <c r="C660" s="25" t="n"/>
      <c r="D660" s="24" t="n"/>
    </row>
    <row r="661">
      <c r="A661" s="24" t="n"/>
      <c r="B661" s="24" t="n"/>
      <c r="C661" s="25" t="n"/>
      <c r="D661" s="24" t="n"/>
    </row>
    <row r="662">
      <c r="A662" s="24" t="n"/>
      <c r="B662" s="24" t="n"/>
      <c r="C662" s="25" t="n"/>
      <c r="D662" s="24" t="n"/>
    </row>
    <row r="663">
      <c r="A663" s="24" t="n"/>
      <c r="B663" s="24" t="n"/>
      <c r="C663" s="25" t="n"/>
      <c r="D663" s="24" t="n"/>
    </row>
    <row r="664">
      <c r="A664" s="24" t="n"/>
      <c r="B664" s="24" t="n"/>
      <c r="C664" s="25" t="n"/>
      <c r="D664" s="24" t="n"/>
    </row>
    <row r="665">
      <c r="A665" s="24" t="n"/>
      <c r="B665" s="24" t="n"/>
      <c r="C665" s="25" t="n"/>
      <c r="D665" s="24" t="n"/>
    </row>
    <row r="666">
      <c r="A666" s="24" t="n"/>
      <c r="B666" s="24" t="n"/>
      <c r="C666" s="25" t="n"/>
      <c r="D666" s="24" t="n"/>
    </row>
    <row r="667">
      <c r="A667" s="24" t="n"/>
      <c r="B667" s="24" t="n"/>
      <c r="C667" s="25" t="n"/>
      <c r="D667" s="24" t="n"/>
    </row>
    <row r="668">
      <c r="A668" s="24" t="n"/>
      <c r="B668" s="24" t="n"/>
      <c r="C668" s="25" t="n"/>
      <c r="D668" s="24" t="n"/>
    </row>
    <row r="669">
      <c r="A669" s="24" t="n"/>
      <c r="B669" s="24" t="n"/>
      <c r="C669" s="25" t="n"/>
      <c r="D669" s="24" t="n"/>
    </row>
    <row r="670">
      <c r="A670" s="24" t="n"/>
      <c r="B670" s="24" t="n"/>
      <c r="C670" s="25" t="n"/>
      <c r="D670" s="24" t="n"/>
    </row>
    <row r="671">
      <c r="A671" s="24" t="n"/>
      <c r="B671" s="24" t="n"/>
      <c r="C671" s="25" t="n"/>
      <c r="D671" s="24" t="n"/>
    </row>
    <row r="672">
      <c r="A672" s="24" t="n"/>
      <c r="B672" s="24" t="n"/>
      <c r="C672" s="25" t="n"/>
      <c r="D672" s="24" t="n"/>
    </row>
    <row r="673">
      <c r="A673" s="24" t="n"/>
      <c r="B673" s="24" t="n"/>
      <c r="C673" s="25" t="n"/>
      <c r="D673" s="24" t="n"/>
    </row>
    <row r="674">
      <c r="A674" s="24" t="n"/>
      <c r="B674" s="24" t="n"/>
      <c r="C674" s="25" t="n"/>
      <c r="D674" s="24" t="n"/>
    </row>
    <row r="675">
      <c r="A675" s="24" t="n"/>
      <c r="B675" s="24" t="n"/>
      <c r="C675" s="25" t="n"/>
      <c r="D675" s="24" t="n"/>
    </row>
    <row r="676">
      <c r="A676" s="24" t="n"/>
      <c r="B676" s="24" t="n"/>
      <c r="C676" s="25" t="n"/>
      <c r="D676" s="24" t="n"/>
    </row>
    <row r="677">
      <c r="A677" s="24" t="n"/>
      <c r="B677" s="24" t="n"/>
      <c r="C677" s="25" t="n"/>
      <c r="D677" s="24" t="n"/>
    </row>
    <row r="678">
      <c r="A678" s="24" t="n"/>
      <c r="B678" s="24" t="n"/>
      <c r="C678" s="25" t="n"/>
      <c r="D678" s="24" t="n"/>
    </row>
    <row r="679">
      <c r="A679" s="24" t="n"/>
      <c r="B679" s="24" t="n"/>
      <c r="C679" s="25" t="n"/>
      <c r="D679" s="24" t="n"/>
    </row>
    <row r="680">
      <c r="A680" s="24" t="n"/>
      <c r="B680" s="24" t="n"/>
      <c r="C680" s="25" t="n"/>
      <c r="D680" s="24" t="n"/>
    </row>
    <row r="681">
      <c r="A681" s="24" t="n"/>
      <c r="B681" s="24" t="n"/>
      <c r="C681" s="25" t="n"/>
      <c r="D681" s="24" t="n"/>
    </row>
    <row r="682">
      <c r="A682" s="24" t="n"/>
      <c r="B682" s="24" t="n"/>
      <c r="C682" s="25" t="n"/>
      <c r="D682" s="24" t="n"/>
    </row>
    <row r="683">
      <c r="A683" s="24" t="n"/>
      <c r="B683" s="24" t="n"/>
      <c r="C683" s="25" t="n"/>
      <c r="D683" s="24" t="n"/>
    </row>
    <row r="684">
      <c r="A684" s="24" t="n"/>
      <c r="B684" s="24" t="n"/>
      <c r="C684" s="25" t="n"/>
      <c r="D684" s="24" t="n"/>
    </row>
    <row r="685">
      <c r="A685" s="24" t="n"/>
      <c r="B685" s="24" t="n"/>
      <c r="C685" s="25" t="n"/>
      <c r="D685" s="24" t="n"/>
    </row>
    <row r="686">
      <c r="A686" s="24" t="n"/>
      <c r="B686" s="24" t="n"/>
      <c r="C686" s="25" t="n"/>
      <c r="D686" s="24" t="n"/>
    </row>
    <row r="687">
      <c r="A687" s="24" t="n"/>
      <c r="B687" s="24" t="n"/>
      <c r="C687" s="25" t="n"/>
      <c r="D687" s="24" t="n"/>
    </row>
    <row r="688">
      <c r="A688" s="24" t="n"/>
      <c r="B688" s="24" t="n"/>
      <c r="C688" s="25" t="n"/>
      <c r="D688" s="24" t="n"/>
    </row>
    <row r="689">
      <c r="A689" s="24" t="n"/>
      <c r="B689" s="24" t="n"/>
      <c r="C689" s="25" t="n"/>
      <c r="D689" s="24" t="n"/>
    </row>
    <row r="690">
      <c r="A690" s="24" t="n"/>
      <c r="B690" s="24" t="n"/>
      <c r="C690" s="25" t="n"/>
      <c r="D690" s="24" t="n"/>
    </row>
    <row r="691">
      <c r="A691" s="24" t="n"/>
      <c r="B691" s="24" t="n"/>
      <c r="C691" s="25" t="n"/>
      <c r="D691" s="24" t="n"/>
    </row>
    <row r="692">
      <c r="A692" s="24" t="n"/>
      <c r="B692" s="24" t="n"/>
      <c r="C692" s="25" t="n"/>
      <c r="D692" s="24" t="n"/>
    </row>
    <row r="693">
      <c r="A693" s="24" t="n"/>
      <c r="B693" s="24" t="n"/>
      <c r="C693" s="25" t="n"/>
      <c r="D693" s="24" t="n"/>
    </row>
    <row r="694">
      <c r="A694" s="24" t="n"/>
      <c r="B694" s="24" t="n"/>
      <c r="C694" s="25" t="n"/>
      <c r="D694" s="24" t="n"/>
    </row>
    <row r="695">
      <c r="A695" s="24" t="n"/>
      <c r="B695" s="24" t="n"/>
      <c r="C695" s="25" t="n"/>
      <c r="D695" s="24" t="n"/>
    </row>
    <row r="696">
      <c r="A696" s="24" t="n"/>
      <c r="B696" s="24" t="n"/>
      <c r="C696" s="25" t="n"/>
      <c r="D696" s="24" t="n"/>
    </row>
    <row r="697">
      <c r="A697" s="24" t="n"/>
      <c r="B697" s="24" t="n"/>
      <c r="C697" s="25" t="n"/>
      <c r="D697" s="24" t="n"/>
    </row>
    <row r="698">
      <c r="A698" s="24" t="n"/>
      <c r="B698" s="24" t="n"/>
      <c r="C698" s="25" t="n"/>
      <c r="D698" s="24" t="n"/>
    </row>
    <row r="699">
      <c r="A699" s="24" t="n"/>
      <c r="B699" s="24" t="n"/>
      <c r="C699" s="25" t="n"/>
      <c r="D699" s="24" t="n"/>
    </row>
    <row r="700">
      <c r="A700" s="24" t="n"/>
      <c r="B700" s="24" t="n"/>
      <c r="C700" s="25" t="n"/>
      <c r="D700" s="24" t="n"/>
    </row>
    <row r="701">
      <c r="A701" s="24" t="n"/>
      <c r="B701" s="24" t="n"/>
      <c r="C701" s="25" t="n"/>
      <c r="D701" s="24" t="n"/>
    </row>
    <row r="702">
      <c r="A702" s="24" t="n"/>
      <c r="B702" s="24" t="n"/>
      <c r="C702" s="25" t="n"/>
      <c r="D702" s="24" t="n"/>
    </row>
    <row r="703">
      <c r="A703" s="24" t="n"/>
      <c r="B703" s="24" t="n"/>
      <c r="C703" s="25" t="n"/>
      <c r="D703" s="24" t="n"/>
    </row>
    <row r="704">
      <c r="A704" s="24" t="n"/>
      <c r="B704" s="24" t="n"/>
      <c r="C704" s="25" t="n"/>
      <c r="D704" s="24" t="n"/>
    </row>
    <row r="705">
      <c r="A705" s="24" t="n"/>
      <c r="B705" s="24" t="n"/>
      <c r="C705" s="25" t="n"/>
      <c r="D705" s="24" t="n"/>
    </row>
    <row r="706">
      <c r="A706" s="24" t="n"/>
      <c r="B706" s="24" t="n"/>
      <c r="C706" s="25" t="n"/>
      <c r="D706" s="24" t="n"/>
    </row>
    <row r="707">
      <c r="A707" s="24" t="n"/>
      <c r="B707" s="24" t="n"/>
      <c r="C707" s="25" t="n"/>
      <c r="D707" s="24" t="n"/>
    </row>
    <row r="708">
      <c r="A708" s="24" t="n"/>
      <c r="B708" s="24" t="n"/>
      <c r="C708" s="25" t="n"/>
      <c r="D708" s="24" t="n"/>
    </row>
    <row r="709">
      <c r="A709" s="24" t="n"/>
      <c r="B709" s="24" t="n"/>
      <c r="C709" s="25" t="n"/>
      <c r="D709" s="24" t="n"/>
    </row>
    <row r="710">
      <c r="A710" s="24" t="n"/>
      <c r="B710" s="24" t="n"/>
      <c r="C710" s="25" t="n"/>
      <c r="D710" s="24" t="n"/>
    </row>
    <row r="711">
      <c r="A711" s="24" t="n"/>
      <c r="B711" s="24" t="n"/>
      <c r="C711" s="25" t="n"/>
      <c r="D711" s="24" t="n"/>
    </row>
    <row r="712">
      <c r="A712" s="24" t="n"/>
      <c r="B712" s="24" t="n"/>
      <c r="C712" s="25" t="n"/>
      <c r="D712" s="24" t="n"/>
    </row>
    <row r="713">
      <c r="A713" s="24" t="n"/>
      <c r="B713" s="24" t="n"/>
      <c r="C713" s="25" t="n"/>
      <c r="D713" s="24" t="n"/>
    </row>
    <row r="714">
      <c r="A714" s="24" t="n"/>
      <c r="B714" s="24" t="n"/>
      <c r="C714" s="25" t="n"/>
      <c r="D714" s="24" t="n"/>
    </row>
    <row r="715">
      <c r="A715" s="24" t="n"/>
      <c r="B715" s="24" t="n"/>
      <c r="C715" s="25" t="n"/>
      <c r="D715" s="24" t="n"/>
    </row>
    <row r="716">
      <c r="A716" s="24" t="n"/>
      <c r="B716" s="24" t="n"/>
      <c r="C716" s="25" t="n"/>
      <c r="D716" s="24" t="n"/>
    </row>
    <row r="717">
      <c r="A717" s="24" t="n"/>
      <c r="B717" s="24" t="n"/>
      <c r="C717" s="25" t="n"/>
      <c r="D717" s="24" t="n"/>
    </row>
    <row r="718">
      <c r="A718" s="24" t="n"/>
      <c r="B718" s="24" t="n"/>
      <c r="C718" s="25" t="n"/>
      <c r="D718" s="24" t="n"/>
    </row>
    <row r="719">
      <c r="A719" s="24" t="n"/>
      <c r="B719" s="24" t="n"/>
      <c r="C719" s="25" t="n"/>
      <c r="D719" s="24" t="n"/>
    </row>
    <row r="720">
      <c r="A720" s="24" t="n"/>
      <c r="B720" s="24" t="n"/>
      <c r="C720" s="25" t="n"/>
      <c r="D720" s="24" t="n"/>
    </row>
    <row r="721">
      <c r="A721" s="24" t="n"/>
      <c r="B721" s="24" t="n"/>
      <c r="C721" s="25" t="n"/>
      <c r="D721" s="24" t="n"/>
    </row>
    <row r="722">
      <c r="A722" s="24" t="n"/>
      <c r="B722" s="24" t="n"/>
      <c r="C722" s="25" t="n"/>
      <c r="D722" s="24" t="n"/>
    </row>
    <row r="723">
      <c r="A723" s="24" t="n"/>
      <c r="B723" s="24" t="n"/>
      <c r="C723" s="25" t="n"/>
      <c r="D723" s="24" t="n"/>
    </row>
    <row r="724">
      <c r="A724" s="24" t="n"/>
      <c r="B724" s="24" t="n"/>
      <c r="C724" s="25" t="n"/>
      <c r="D724" s="24" t="n"/>
    </row>
    <row r="725">
      <c r="A725" s="24" t="n"/>
      <c r="B725" s="24" t="n"/>
      <c r="C725" s="25" t="n"/>
      <c r="D725" s="24" t="n"/>
    </row>
    <row r="726">
      <c r="A726" s="24" t="n"/>
      <c r="B726" s="24" t="n"/>
      <c r="C726" s="25" t="n"/>
      <c r="D726" s="24" t="n"/>
    </row>
    <row r="727">
      <c r="A727" s="24" t="n"/>
      <c r="B727" s="24" t="n"/>
      <c r="C727" s="25" t="n"/>
      <c r="D727" s="24" t="n"/>
    </row>
    <row r="728">
      <c r="A728" s="24" t="n"/>
      <c r="B728" s="24" t="n"/>
      <c r="C728" s="25" t="n"/>
      <c r="D728" s="24" t="n"/>
    </row>
    <row r="729">
      <c r="A729" s="24" t="n"/>
      <c r="B729" s="24" t="n"/>
      <c r="C729" s="25" t="n"/>
      <c r="D729" s="24" t="n"/>
    </row>
    <row r="730">
      <c r="A730" s="24" t="n"/>
      <c r="B730" s="24" t="n"/>
      <c r="C730" s="25" t="n"/>
      <c r="D730" s="24" t="n"/>
    </row>
    <row r="731">
      <c r="A731" s="24" t="n"/>
      <c r="B731" s="24" t="n"/>
      <c r="C731" s="25" t="n"/>
      <c r="D731" s="24" t="n"/>
    </row>
    <row r="732">
      <c r="A732" s="24" t="n"/>
      <c r="B732" s="24" t="n"/>
      <c r="C732" s="25" t="n"/>
      <c r="D732" s="24" t="n"/>
    </row>
    <row r="733">
      <c r="A733" s="24" t="n"/>
      <c r="B733" s="24" t="n"/>
      <c r="C733" s="25" t="n"/>
      <c r="D733" s="24" t="n"/>
    </row>
    <row r="734">
      <c r="A734" s="24" t="n"/>
      <c r="B734" s="24" t="n"/>
      <c r="C734" s="25" t="n"/>
      <c r="D734" s="24" t="n"/>
    </row>
    <row r="735">
      <c r="A735" s="24" t="n"/>
      <c r="B735" s="24" t="n"/>
      <c r="C735" s="25" t="n"/>
      <c r="D735" s="24" t="n"/>
    </row>
    <row r="736">
      <c r="A736" s="24" t="n"/>
      <c r="B736" s="24" t="n"/>
      <c r="C736" s="25" t="n"/>
      <c r="D736" s="24" t="n"/>
    </row>
    <row r="737">
      <c r="A737" s="24" t="n"/>
      <c r="B737" s="24" t="n"/>
      <c r="C737" s="25" t="n"/>
      <c r="D737" s="24" t="n"/>
    </row>
    <row r="738">
      <c r="A738" s="24" t="n"/>
      <c r="B738" s="24" t="n"/>
      <c r="C738" s="25" t="n"/>
      <c r="D738" s="24" t="n"/>
    </row>
    <row r="739">
      <c r="A739" s="24" t="n"/>
      <c r="B739" s="24" t="n"/>
      <c r="C739" s="25" t="n"/>
      <c r="D739" s="24" t="n"/>
    </row>
    <row r="740">
      <c r="A740" s="24" t="n"/>
      <c r="B740" s="24" t="n"/>
      <c r="C740" s="25" t="n"/>
      <c r="D740" s="24" t="n"/>
    </row>
    <row r="741">
      <c r="A741" s="24" t="n"/>
      <c r="B741" s="24" t="n"/>
      <c r="C741" s="25" t="n"/>
      <c r="D741" s="24" t="n"/>
    </row>
    <row r="742">
      <c r="A742" s="24" t="n"/>
      <c r="B742" s="24" t="n"/>
      <c r="C742" s="25" t="n"/>
      <c r="D742" s="24" t="n"/>
    </row>
    <row r="743">
      <c r="A743" s="24" t="n"/>
      <c r="B743" s="24" t="n"/>
      <c r="C743" s="25" t="n"/>
      <c r="D743" s="24" t="n"/>
    </row>
    <row r="744">
      <c r="A744" s="24" t="n"/>
      <c r="B744" s="24" t="n"/>
      <c r="C744" s="25" t="n"/>
      <c r="D744" s="24" t="n"/>
    </row>
    <row r="745">
      <c r="A745" s="24" t="n"/>
      <c r="B745" s="24" t="n"/>
      <c r="C745" s="25" t="n"/>
      <c r="D745" s="24" t="n"/>
    </row>
    <row r="746">
      <c r="A746" s="24" t="n"/>
      <c r="B746" s="24" t="n"/>
      <c r="C746" s="25" t="n"/>
      <c r="D746" s="24" t="n"/>
    </row>
    <row r="747">
      <c r="A747" s="24" t="n"/>
      <c r="B747" s="24" t="n"/>
      <c r="C747" s="25" t="n"/>
      <c r="D747" s="24" t="n"/>
    </row>
    <row r="748">
      <c r="A748" s="24" t="n"/>
      <c r="B748" s="24" t="n"/>
      <c r="C748" s="25" t="n"/>
      <c r="D748" s="24" t="n"/>
    </row>
    <row r="749">
      <c r="A749" s="24" t="n"/>
      <c r="B749" s="24" t="n"/>
      <c r="C749" s="25" t="n"/>
      <c r="D749" s="24" t="n"/>
    </row>
    <row r="750">
      <c r="A750" s="24" t="n"/>
      <c r="B750" s="24" t="n"/>
      <c r="C750" s="25" t="n"/>
      <c r="D750" s="24" t="n"/>
    </row>
    <row r="751">
      <c r="A751" s="24" t="n"/>
      <c r="B751" s="24" t="n"/>
      <c r="C751" s="25" t="n"/>
      <c r="D751" s="24" t="n"/>
    </row>
    <row r="752">
      <c r="A752" s="24" t="n"/>
      <c r="B752" s="24" t="n"/>
      <c r="C752" s="25" t="n"/>
      <c r="D752" s="24" t="n"/>
    </row>
    <row r="753">
      <c r="A753" s="24" t="n"/>
      <c r="B753" s="24" t="n"/>
      <c r="C753" s="25" t="n"/>
      <c r="D753" s="24" t="n"/>
    </row>
    <row r="754">
      <c r="A754" s="24" t="n"/>
      <c r="B754" s="24" t="n"/>
      <c r="C754" s="25" t="n"/>
      <c r="D754" s="24" t="n"/>
    </row>
    <row r="755">
      <c r="A755" s="24" t="n"/>
      <c r="B755" s="24" t="n"/>
      <c r="C755" s="25" t="n"/>
      <c r="D755" s="24" t="n"/>
    </row>
    <row r="756">
      <c r="A756" s="24" t="n"/>
      <c r="B756" s="24" t="n"/>
      <c r="C756" s="25" t="n"/>
      <c r="D756" s="24" t="n"/>
    </row>
    <row r="757">
      <c r="A757" s="24" t="n"/>
      <c r="B757" s="24" t="n"/>
      <c r="C757" s="25" t="n"/>
      <c r="D757" s="24" t="n"/>
    </row>
    <row r="758">
      <c r="A758" s="24" t="n"/>
      <c r="B758" s="24" t="n"/>
      <c r="C758" s="25" t="n"/>
      <c r="D758" s="24" t="n"/>
    </row>
    <row r="759">
      <c r="A759" s="24" t="n"/>
      <c r="B759" s="24" t="n"/>
      <c r="C759" s="25" t="n"/>
      <c r="D759" s="24" t="n"/>
    </row>
    <row r="760">
      <c r="A760" s="24" t="n"/>
      <c r="B760" s="24" t="n"/>
      <c r="C760" s="25" t="n"/>
      <c r="D760" s="24" t="n"/>
    </row>
    <row r="761">
      <c r="A761" s="24" t="n"/>
      <c r="B761" s="24" t="n"/>
      <c r="C761" s="25" t="n"/>
      <c r="D761" s="24" t="n"/>
    </row>
    <row r="762">
      <c r="A762" s="24" t="n"/>
      <c r="B762" s="24" t="n"/>
      <c r="C762" s="25" t="n"/>
      <c r="D762" s="24" t="n"/>
    </row>
    <row r="763">
      <c r="A763" s="24" t="n"/>
      <c r="B763" s="24" t="n"/>
      <c r="C763" s="25" t="n"/>
      <c r="D763" s="24" t="n"/>
    </row>
    <row r="764">
      <c r="A764" s="24" t="n"/>
      <c r="B764" s="24" t="n"/>
      <c r="C764" s="25" t="n"/>
      <c r="D764" s="24" t="n"/>
    </row>
    <row r="765">
      <c r="A765" s="24" t="n"/>
      <c r="B765" s="24" t="n"/>
      <c r="C765" s="25" t="n"/>
      <c r="D765" s="24" t="n"/>
    </row>
    <row r="766">
      <c r="A766" s="24" t="n"/>
      <c r="B766" s="24" t="n"/>
      <c r="C766" s="25" t="n"/>
      <c r="D766" s="24" t="n"/>
    </row>
    <row r="767">
      <c r="A767" s="24" t="n"/>
      <c r="B767" s="24" t="n"/>
      <c r="C767" s="25" t="n"/>
      <c r="D767" s="24" t="n"/>
    </row>
    <row r="768">
      <c r="A768" s="24" t="n"/>
      <c r="B768" s="24" t="n"/>
      <c r="C768" s="25" t="n"/>
      <c r="D768" s="24" t="n"/>
    </row>
    <row r="769">
      <c r="A769" s="24" t="n"/>
      <c r="B769" s="24" t="n"/>
      <c r="C769" s="25" t="n"/>
      <c r="D769" s="24" t="n"/>
    </row>
    <row r="770">
      <c r="A770" s="24" t="n"/>
      <c r="B770" s="24" t="n"/>
      <c r="C770" s="25" t="n"/>
      <c r="D770" s="24" t="n"/>
    </row>
    <row r="771">
      <c r="A771" s="24" t="n"/>
      <c r="B771" s="24" t="n"/>
      <c r="C771" s="25" t="n"/>
      <c r="D771" s="24" t="n"/>
    </row>
    <row r="772">
      <c r="A772" s="24" t="n"/>
      <c r="B772" s="24" t="n"/>
      <c r="C772" s="25" t="n"/>
      <c r="D772" s="24" t="n"/>
    </row>
    <row r="773">
      <c r="A773" s="24" t="n"/>
      <c r="B773" s="24" t="n"/>
      <c r="C773" s="25" t="n"/>
      <c r="D773" s="24" t="n"/>
    </row>
    <row r="774">
      <c r="A774" s="24" t="n"/>
      <c r="B774" s="24" t="n"/>
      <c r="C774" s="25" t="n"/>
      <c r="D774" s="24" t="n"/>
    </row>
    <row r="775">
      <c r="A775" s="24" t="n"/>
      <c r="B775" s="24" t="n"/>
      <c r="C775" s="25" t="n"/>
      <c r="D775" s="24" t="n"/>
    </row>
    <row r="776">
      <c r="A776" s="24" t="n"/>
      <c r="B776" s="24" t="n"/>
      <c r="C776" s="25" t="n"/>
      <c r="D776" s="24" t="n"/>
    </row>
    <row r="777">
      <c r="A777" s="24" t="n"/>
      <c r="B777" s="24" t="n"/>
      <c r="C777" s="25" t="n"/>
      <c r="D777" s="24" t="n"/>
    </row>
    <row r="778">
      <c r="A778" s="24" t="n"/>
      <c r="B778" s="24" t="n"/>
      <c r="C778" s="25" t="n"/>
      <c r="D778" s="24" t="n"/>
    </row>
    <row r="779">
      <c r="A779" s="24" t="n"/>
      <c r="B779" s="24" t="n"/>
      <c r="C779" s="25" t="n"/>
      <c r="D779" s="24" t="n"/>
    </row>
    <row r="780">
      <c r="A780" s="24" t="n"/>
      <c r="B780" s="24" t="n"/>
      <c r="C780" s="25" t="n"/>
      <c r="D780" s="24" t="n"/>
    </row>
    <row r="781">
      <c r="A781" s="24" t="n"/>
      <c r="B781" s="24" t="n"/>
      <c r="C781" s="25" t="n"/>
      <c r="D781" s="24" t="n"/>
    </row>
    <row r="782">
      <c r="A782" s="24" t="n"/>
      <c r="B782" s="24" t="n"/>
      <c r="C782" s="25" t="n"/>
      <c r="D782" s="24" t="n"/>
    </row>
    <row r="783">
      <c r="A783" s="24" t="n"/>
      <c r="B783" s="24" t="n"/>
      <c r="C783" s="25" t="n"/>
      <c r="D783" s="24" t="n"/>
    </row>
    <row r="784">
      <c r="A784" s="24" t="n"/>
      <c r="B784" s="24" t="n"/>
      <c r="C784" s="25" t="n"/>
      <c r="D784" s="24" t="n"/>
    </row>
    <row r="785">
      <c r="A785" s="24" t="n"/>
      <c r="B785" s="24" t="n"/>
      <c r="C785" s="25" t="n"/>
      <c r="D785" s="24" t="n"/>
    </row>
    <row r="786">
      <c r="A786" s="24" t="n"/>
      <c r="B786" s="24" t="n"/>
      <c r="C786" s="25" t="n"/>
      <c r="D786" s="24" t="n"/>
    </row>
    <row r="787">
      <c r="A787" s="24" t="n"/>
      <c r="B787" s="24" t="n"/>
      <c r="C787" s="25" t="n"/>
      <c r="D787" s="24" t="n"/>
    </row>
    <row r="788">
      <c r="A788" s="24" t="n"/>
      <c r="B788" s="24" t="n"/>
      <c r="C788" s="25" t="n"/>
      <c r="D788" s="24" t="n"/>
    </row>
    <row r="789">
      <c r="A789" s="24" t="n"/>
      <c r="B789" s="24" t="n"/>
      <c r="C789" s="25" t="n"/>
      <c r="D789" s="24" t="n"/>
    </row>
    <row r="790">
      <c r="A790" s="24" t="n"/>
      <c r="B790" s="24" t="n"/>
      <c r="C790" s="25" t="n"/>
      <c r="D790" s="24" t="n"/>
    </row>
    <row r="791">
      <c r="A791" s="24" t="n"/>
      <c r="B791" s="24" t="n"/>
      <c r="C791" s="25" t="n"/>
      <c r="D791" s="24" t="n"/>
    </row>
    <row r="792">
      <c r="A792" s="24" t="n"/>
      <c r="B792" s="24" t="n"/>
      <c r="C792" s="25" t="n"/>
      <c r="D792" s="24" t="n"/>
    </row>
    <row r="793">
      <c r="A793" s="24" t="n"/>
      <c r="B793" s="24" t="n"/>
      <c r="C793" s="25" t="n"/>
      <c r="D793" s="24" t="n"/>
    </row>
    <row r="794">
      <c r="A794" s="24" t="n"/>
      <c r="B794" s="24" t="n"/>
      <c r="C794" s="25" t="n"/>
      <c r="D794" s="24" t="n"/>
    </row>
    <row r="795">
      <c r="A795" s="24" t="n"/>
      <c r="B795" s="24" t="n"/>
      <c r="C795" s="25" t="n"/>
      <c r="D795" s="24" t="n"/>
    </row>
    <row r="796">
      <c r="A796" s="24" t="n"/>
      <c r="B796" s="24" t="n"/>
      <c r="C796" s="25" t="n"/>
      <c r="D796" s="24" t="n"/>
    </row>
    <row r="797">
      <c r="A797" s="24" t="n"/>
      <c r="B797" s="24" t="n"/>
      <c r="C797" s="25" t="n"/>
      <c r="D797" s="24" t="n"/>
    </row>
    <row r="798">
      <c r="A798" s="24" t="n"/>
      <c r="B798" s="24" t="n"/>
      <c r="C798" s="25" t="n"/>
      <c r="D798" s="24" t="n"/>
    </row>
    <row r="799">
      <c r="A799" s="24" t="n"/>
      <c r="B799" s="24" t="n"/>
      <c r="C799" s="25" t="n"/>
      <c r="D799" s="24" t="n"/>
    </row>
    <row r="800">
      <c r="A800" s="24" t="n"/>
      <c r="B800" s="24" t="n"/>
      <c r="C800" s="25" t="n"/>
      <c r="D800" s="24" t="n"/>
    </row>
    <row r="801">
      <c r="A801" s="24" t="n"/>
      <c r="B801" s="24" t="n"/>
      <c r="C801" s="25" t="n"/>
      <c r="D801" s="24" t="n"/>
    </row>
    <row r="802">
      <c r="A802" s="24" t="n"/>
      <c r="B802" s="24" t="n"/>
      <c r="C802" s="25" t="n"/>
      <c r="D802" s="24" t="n"/>
    </row>
    <row r="803">
      <c r="A803" s="24" t="n"/>
      <c r="B803" s="24" t="n"/>
      <c r="C803" s="25" t="n"/>
      <c r="D803" s="24" t="n"/>
    </row>
    <row r="804">
      <c r="A804" s="24" t="n"/>
      <c r="B804" s="24" t="n"/>
      <c r="C804" s="25" t="n"/>
      <c r="D804" s="24" t="n"/>
    </row>
    <row r="805">
      <c r="A805" s="24" t="n"/>
      <c r="B805" s="24" t="n"/>
      <c r="C805" s="25" t="n"/>
      <c r="D805" s="24" t="n"/>
    </row>
    <row r="806">
      <c r="A806" s="24" t="n"/>
      <c r="B806" s="24" t="n"/>
      <c r="C806" s="25" t="n"/>
      <c r="D806" s="24" t="n"/>
    </row>
    <row r="807">
      <c r="A807" s="24" t="n"/>
      <c r="B807" s="24" t="n"/>
      <c r="C807" s="25" t="n"/>
      <c r="D807" s="24" t="n"/>
    </row>
    <row r="808">
      <c r="A808" s="24" t="n"/>
      <c r="B808" s="24" t="n"/>
      <c r="C808" s="25" t="n"/>
      <c r="D808" s="24" t="n"/>
    </row>
    <row r="809">
      <c r="A809" s="24" t="n"/>
      <c r="B809" s="24" t="n"/>
      <c r="C809" s="25" t="n"/>
      <c r="D809" s="24" t="n"/>
    </row>
    <row r="810">
      <c r="A810" s="24" t="n"/>
      <c r="B810" s="24" t="n"/>
      <c r="C810" s="25" t="n"/>
      <c r="D810" s="24" t="n"/>
    </row>
    <row r="811">
      <c r="A811" s="24" t="n"/>
      <c r="B811" s="24" t="n"/>
      <c r="C811" s="25" t="n"/>
      <c r="D811" s="24" t="n"/>
    </row>
    <row r="812">
      <c r="A812" s="24" t="n"/>
      <c r="B812" s="24" t="n"/>
      <c r="C812" s="25" t="n"/>
      <c r="D812" s="24" t="n"/>
    </row>
    <row r="813">
      <c r="A813" s="24" t="n"/>
      <c r="B813" s="24" t="n"/>
      <c r="C813" s="25" t="n"/>
      <c r="D813" s="24" t="n"/>
    </row>
    <row r="814">
      <c r="A814" s="24" t="n"/>
      <c r="B814" s="24" t="n"/>
      <c r="C814" s="25" t="n"/>
      <c r="D814" s="24" t="n"/>
    </row>
    <row r="815">
      <c r="A815" s="24" t="n"/>
      <c r="B815" s="24" t="n"/>
      <c r="C815" s="25" t="n"/>
      <c r="D815" s="24" t="n"/>
    </row>
    <row r="816">
      <c r="A816" s="24" t="n"/>
      <c r="B816" s="24" t="n"/>
      <c r="C816" s="25" t="n"/>
      <c r="D816" s="24" t="n"/>
    </row>
    <row r="817">
      <c r="A817" s="24" t="n"/>
      <c r="B817" s="24" t="n"/>
      <c r="C817" s="25" t="n"/>
      <c r="D817" s="24" t="n"/>
    </row>
    <row r="818">
      <c r="A818" s="24" t="n"/>
      <c r="B818" s="24" t="n"/>
      <c r="C818" s="25" t="n"/>
      <c r="D818" s="24" t="n"/>
    </row>
    <row r="819">
      <c r="A819" s="24" t="n"/>
      <c r="B819" s="24" t="n"/>
      <c r="C819" s="25" t="n"/>
      <c r="D819" s="24" t="n"/>
    </row>
    <row r="820">
      <c r="A820" s="24" t="n"/>
      <c r="B820" s="24" t="n"/>
      <c r="C820" s="25" t="n"/>
      <c r="D820" s="24" t="n"/>
    </row>
    <row r="821">
      <c r="A821" s="24" t="n"/>
      <c r="B821" s="24" t="n"/>
      <c r="C821" s="25" t="n"/>
      <c r="D821" s="24" t="n"/>
    </row>
    <row r="822">
      <c r="A822" s="24" t="n"/>
      <c r="B822" s="24" t="n"/>
      <c r="C822" s="25" t="n"/>
      <c r="D822" s="24" t="n"/>
    </row>
    <row r="823">
      <c r="A823" s="24" t="n"/>
      <c r="B823" s="24" t="n"/>
      <c r="C823" s="25" t="n"/>
      <c r="D823" s="24" t="n"/>
    </row>
    <row r="824">
      <c r="A824" s="24" t="n"/>
      <c r="B824" s="24" t="n"/>
      <c r="C824" s="25" t="n"/>
      <c r="D824" s="24" t="n"/>
    </row>
    <row r="825">
      <c r="A825" s="24" t="n"/>
      <c r="B825" s="24" t="n"/>
      <c r="C825" s="25" t="n"/>
      <c r="D825" s="24" t="n"/>
    </row>
    <row r="826">
      <c r="A826" s="24" t="n"/>
      <c r="B826" s="24" t="n"/>
      <c r="C826" s="25" t="n"/>
      <c r="D826" s="24" t="n"/>
    </row>
    <row r="827">
      <c r="A827" s="24" t="n"/>
      <c r="B827" s="24" t="n"/>
      <c r="C827" s="25" t="n"/>
      <c r="D827" s="24" t="n"/>
    </row>
    <row r="828">
      <c r="A828" s="24" t="n"/>
      <c r="B828" s="24" t="n"/>
      <c r="C828" s="25" t="n"/>
      <c r="D828" s="24" t="n"/>
    </row>
    <row r="829">
      <c r="A829" s="24" t="n"/>
      <c r="B829" s="24" t="n"/>
      <c r="C829" s="25" t="n"/>
      <c r="D829" s="24" t="n"/>
    </row>
    <row r="830">
      <c r="A830" s="24" t="n"/>
      <c r="B830" s="24" t="n"/>
      <c r="C830" s="25" t="n"/>
      <c r="D830" s="24" t="n"/>
    </row>
    <row r="831">
      <c r="A831" s="24" t="n"/>
      <c r="B831" s="24" t="n"/>
      <c r="C831" s="25" t="n"/>
      <c r="D831" s="24" t="n"/>
    </row>
    <row r="832">
      <c r="A832" s="24" t="n"/>
      <c r="B832" s="24" t="n"/>
      <c r="C832" s="25" t="n"/>
      <c r="D832" s="24" t="n"/>
    </row>
    <row r="833">
      <c r="A833" s="24" t="n"/>
      <c r="B833" s="24" t="n"/>
      <c r="C833" s="25" t="n"/>
      <c r="D833" s="24" t="n"/>
    </row>
    <row r="834">
      <c r="A834" s="24" t="n"/>
      <c r="B834" s="24" t="n"/>
      <c r="C834" s="25" t="n"/>
      <c r="D834" s="24" t="n"/>
    </row>
    <row r="835">
      <c r="A835" s="24" t="n"/>
      <c r="B835" s="24" t="n"/>
      <c r="C835" s="25" t="n"/>
      <c r="D835" s="24" t="n"/>
    </row>
    <row r="836">
      <c r="A836" s="24" t="n"/>
      <c r="B836" s="24" t="n"/>
      <c r="C836" s="25" t="n"/>
      <c r="D836" s="24" t="n"/>
    </row>
    <row r="837">
      <c r="A837" s="24" t="n"/>
      <c r="B837" s="24" t="n"/>
      <c r="C837" s="25" t="n"/>
      <c r="D837" s="24" t="n"/>
    </row>
    <row r="838">
      <c r="A838" s="24" t="n"/>
      <c r="B838" s="24" t="n"/>
      <c r="C838" s="25" t="n"/>
      <c r="D838" s="24" t="n"/>
    </row>
    <row r="839">
      <c r="A839" s="24" t="n"/>
      <c r="B839" s="24" t="n"/>
      <c r="C839" s="25" t="n"/>
      <c r="D839" s="24" t="n"/>
    </row>
    <row r="840">
      <c r="A840" s="24" t="n"/>
      <c r="B840" s="24" t="n"/>
      <c r="C840" s="25" t="n"/>
      <c r="D840" s="24" t="n"/>
    </row>
    <row r="841">
      <c r="A841" s="24" t="n"/>
      <c r="B841" s="24" t="n"/>
      <c r="C841" s="25" t="n"/>
      <c r="D841" s="24" t="n"/>
    </row>
    <row r="842">
      <c r="A842" s="24" t="n"/>
      <c r="B842" s="24" t="n"/>
      <c r="C842" s="25" t="n"/>
      <c r="D842" s="24" t="n"/>
    </row>
    <row r="843">
      <c r="A843" s="24" t="n"/>
      <c r="B843" s="24" t="n"/>
      <c r="C843" s="25" t="n"/>
      <c r="D843" s="24" t="n"/>
    </row>
    <row r="844">
      <c r="A844" s="24" t="n"/>
      <c r="B844" s="24" t="n"/>
      <c r="C844" s="25" t="n"/>
      <c r="D844" s="24" t="n"/>
    </row>
    <row r="845">
      <c r="A845" s="24" t="n"/>
      <c r="B845" s="24" t="n"/>
      <c r="C845" s="25" t="n"/>
      <c r="D845" s="24" t="n"/>
    </row>
    <row r="846">
      <c r="A846" s="24" t="n"/>
      <c r="B846" s="24" t="n"/>
      <c r="C846" s="25" t="n"/>
      <c r="D846" s="24" t="n"/>
    </row>
    <row r="847">
      <c r="A847" s="24" t="n"/>
      <c r="B847" s="24" t="n"/>
      <c r="C847" s="25" t="n"/>
      <c r="D847" s="24" t="n"/>
    </row>
    <row r="848">
      <c r="A848" s="24" t="n"/>
      <c r="B848" s="24" t="n"/>
      <c r="C848" s="25" t="n"/>
      <c r="D848" s="24" t="n"/>
    </row>
    <row r="849">
      <c r="A849" s="24" t="n"/>
      <c r="B849" s="24" t="n"/>
      <c r="C849" s="25" t="n"/>
      <c r="D849" s="24" t="n"/>
    </row>
    <row r="850">
      <c r="A850" s="24" t="n"/>
      <c r="B850" s="24" t="n"/>
      <c r="C850" s="25" t="n"/>
      <c r="D850" s="24" t="n"/>
    </row>
    <row r="851">
      <c r="A851" s="24" t="n"/>
      <c r="B851" s="24" t="n"/>
      <c r="C851" s="25" t="n"/>
      <c r="D851" s="24" t="n"/>
    </row>
    <row r="852">
      <c r="A852" s="24" t="n"/>
      <c r="B852" s="24" t="n"/>
      <c r="C852" s="25" t="n"/>
      <c r="D852" s="24" t="n"/>
    </row>
    <row r="853">
      <c r="A853" s="24" t="n"/>
      <c r="B853" s="24" t="n"/>
      <c r="C853" s="25" t="n"/>
      <c r="D853" s="24" t="n"/>
    </row>
    <row r="854">
      <c r="A854" s="24" t="n"/>
      <c r="B854" s="24" t="n"/>
      <c r="C854" s="25" t="n"/>
      <c r="D854" s="24" t="n"/>
    </row>
    <row r="855">
      <c r="A855" s="24" t="n"/>
      <c r="B855" s="24" t="n"/>
      <c r="C855" s="25" t="n"/>
      <c r="D855" s="24" t="n"/>
    </row>
    <row r="856">
      <c r="A856" s="24" t="n"/>
      <c r="B856" s="24" t="n"/>
      <c r="C856" s="25" t="n"/>
      <c r="D856" s="24" t="n"/>
    </row>
    <row r="857">
      <c r="A857" s="24" t="n"/>
      <c r="B857" s="24" t="n"/>
      <c r="C857" s="25" t="n"/>
      <c r="D857" s="24" t="n"/>
    </row>
    <row r="858">
      <c r="A858" s="24" t="n"/>
      <c r="B858" s="24" t="n"/>
      <c r="C858" s="25" t="n"/>
      <c r="D858" s="24" t="n"/>
    </row>
    <row r="859">
      <c r="A859" s="24" t="n"/>
      <c r="B859" s="24" t="n"/>
      <c r="C859" s="25" t="n"/>
      <c r="D859" s="24" t="n"/>
    </row>
    <row r="860">
      <c r="A860" s="24" t="n"/>
      <c r="B860" s="24" t="n"/>
      <c r="C860" s="25" t="n"/>
      <c r="D860" s="24" t="n"/>
    </row>
    <row r="861">
      <c r="A861" s="24" t="n"/>
      <c r="B861" s="24" t="n"/>
      <c r="C861" s="25" t="n"/>
      <c r="D861" s="24" t="n"/>
    </row>
    <row r="862">
      <c r="A862" s="24" t="n"/>
      <c r="B862" s="24" t="n"/>
      <c r="C862" s="25" t="n"/>
      <c r="D862" s="24" t="n"/>
    </row>
    <row r="863">
      <c r="A863" s="24" t="n"/>
      <c r="B863" s="24" t="n"/>
      <c r="C863" s="25" t="n"/>
      <c r="D863" s="24" t="n"/>
    </row>
    <row r="864">
      <c r="A864" s="24" t="n"/>
      <c r="B864" s="24" t="n"/>
      <c r="C864" s="25" t="n"/>
      <c r="D864" s="24" t="n"/>
    </row>
    <row r="865">
      <c r="A865" s="24" t="n"/>
      <c r="B865" s="24" t="n"/>
      <c r="C865" s="25" t="n"/>
      <c r="D865" s="24" t="n"/>
    </row>
    <row r="866">
      <c r="A866" s="24" t="n"/>
      <c r="B866" s="24" t="n"/>
      <c r="C866" s="25" t="n"/>
      <c r="D866" s="24" t="n"/>
    </row>
    <row r="867">
      <c r="A867" s="24" t="n"/>
      <c r="B867" s="24" t="n"/>
      <c r="C867" s="25" t="n"/>
      <c r="D867" s="24" t="n"/>
    </row>
    <row r="868">
      <c r="A868" s="24" t="n"/>
      <c r="B868" s="24" t="n"/>
      <c r="C868" s="25" t="n"/>
      <c r="D868" s="24" t="n"/>
    </row>
    <row r="869">
      <c r="A869" s="24" t="n"/>
      <c r="B869" s="24" t="n"/>
      <c r="C869" s="25" t="n"/>
      <c r="D869" s="24" t="n"/>
    </row>
    <row r="870">
      <c r="A870" s="24" t="n"/>
      <c r="B870" s="24" t="n"/>
      <c r="C870" s="25" t="n"/>
      <c r="D870" s="24" t="n"/>
    </row>
    <row r="871">
      <c r="A871" s="24" t="n"/>
      <c r="B871" s="24" t="n"/>
      <c r="C871" s="25" t="n"/>
      <c r="D871" s="24" t="n"/>
    </row>
    <row r="872">
      <c r="A872" s="24" t="n"/>
      <c r="B872" s="24" t="n"/>
      <c r="C872" s="25" t="n"/>
      <c r="D872" s="24" t="n"/>
    </row>
    <row r="873">
      <c r="A873" s="24" t="n"/>
      <c r="B873" s="24" t="n"/>
      <c r="C873" s="25" t="n"/>
      <c r="D873" s="24" t="n"/>
    </row>
    <row r="874">
      <c r="A874" s="24" t="n"/>
      <c r="B874" s="24" t="n"/>
      <c r="C874" s="25" t="n"/>
      <c r="D874" s="24" t="n"/>
    </row>
    <row r="875">
      <c r="A875" s="24" t="n"/>
      <c r="B875" s="24" t="n"/>
      <c r="C875" s="25" t="n"/>
      <c r="D875" s="24" t="n"/>
    </row>
    <row r="876">
      <c r="A876" s="24" t="n"/>
      <c r="B876" s="24" t="n"/>
      <c r="C876" s="25" t="n"/>
      <c r="D876" s="24" t="n"/>
    </row>
    <row r="877">
      <c r="A877" s="24" t="n"/>
      <c r="B877" s="24" t="n"/>
      <c r="C877" s="25" t="n"/>
      <c r="D877" s="24" t="n"/>
    </row>
    <row r="878">
      <c r="A878" s="24" t="n"/>
      <c r="B878" s="24" t="n"/>
      <c r="C878" s="25" t="n"/>
      <c r="D878" s="24" t="n"/>
    </row>
    <row r="879">
      <c r="A879" s="24" t="n"/>
      <c r="B879" s="24" t="n"/>
      <c r="C879" s="25" t="n"/>
      <c r="D879" s="24" t="n"/>
    </row>
    <row r="880">
      <c r="A880" s="24" t="n"/>
      <c r="B880" s="24" t="n"/>
      <c r="C880" s="25" t="n"/>
      <c r="D880" s="24" t="n"/>
    </row>
    <row r="881">
      <c r="A881" s="24" t="n"/>
      <c r="B881" s="24" t="n"/>
      <c r="C881" s="25" t="n"/>
      <c r="D881" s="24" t="n"/>
    </row>
    <row r="882">
      <c r="A882" s="24" t="n"/>
      <c r="B882" s="24" t="n"/>
      <c r="C882" s="25" t="n"/>
      <c r="D882" s="24" t="n"/>
    </row>
    <row r="883">
      <c r="A883" s="24" t="n"/>
      <c r="B883" s="24" t="n"/>
      <c r="C883" s="25" t="n"/>
      <c r="D883" s="24" t="n"/>
    </row>
    <row r="884">
      <c r="A884" s="24" t="n"/>
      <c r="B884" s="24" t="n"/>
      <c r="C884" s="25" t="n"/>
      <c r="D884" s="24" t="n"/>
    </row>
    <row r="885">
      <c r="A885" s="24" t="n"/>
      <c r="B885" s="24" t="n"/>
      <c r="C885" s="25" t="n"/>
      <c r="D885" s="24" t="n"/>
    </row>
    <row r="886">
      <c r="A886" s="24" t="n"/>
      <c r="B886" s="24" t="n"/>
      <c r="C886" s="25" t="n"/>
      <c r="D886" s="24" t="n"/>
    </row>
    <row r="887">
      <c r="A887" s="24" t="n"/>
      <c r="B887" s="24" t="n"/>
      <c r="C887" s="25" t="n"/>
      <c r="D887" s="24" t="n"/>
    </row>
    <row r="888">
      <c r="A888" s="24" t="n"/>
      <c r="B888" s="24" t="n"/>
      <c r="C888" s="25" t="n"/>
      <c r="D888" s="24" t="n"/>
    </row>
    <row r="889">
      <c r="A889" s="24" t="n"/>
      <c r="B889" s="24" t="n"/>
      <c r="C889" s="25" t="n"/>
      <c r="D889" s="24" t="n"/>
    </row>
    <row r="890">
      <c r="A890" s="24" t="n"/>
      <c r="B890" s="24" t="n"/>
      <c r="C890" s="25" t="n"/>
      <c r="D890" s="24" t="n"/>
    </row>
    <row r="891">
      <c r="A891" s="24" t="n"/>
      <c r="B891" s="24" t="n"/>
      <c r="C891" s="25" t="n"/>
      <c r="D891" s="24" t="n"/>
    </row>
    <row r="892">
      <c r="A892" s="24" t="n"/>
      <c r="B892" s="24" t="n"/>
      <c r="C892" s="25" t="n"/>
      <c r="D892" s="24" t="n"/>
    </row>
    <row r="893">
      <c r="A893" s="24" t="n"/>
      <c r="B893" s="24" t="n"/>
      <c r="C893" s="25" t="n"/>
      <c r="D893" s="24" t="n"/>
    </row>
    <row r="894">
      <c r="A894" s="24" t="n"/>
      <c r="B894" s="24" t="n"/>
      <c r="C894" s="25" t="n"/>
      <c r="D894" s="24" t="n"/>
    </row>
    <row r="895">
      <c r="A895" s="24" t="n"/>
      <c r="B895" s="24" t="n"/>
      <c r="C895" s="25" t="n"/>
      <c r="D895" s="24" t="n"/>
    </row>
    <row r="896">
      <c r="A896" s="24" t="n"/>
      <c r="B896" s="24" t="n"/>
      <c r="C896" s="25" t="n"/>
      <c r="D896" s="24" t="n"/>
    </row>
    <row r="897">
      <c r="A897" s="24" t="n"/>
      <c r="B897" s="24" t="n"/>
      <c r="C897" s="25" t="n"/>
      <c r="D897" s="24" t="n"/>
    </row>
    <row r="898">
      <c r="A898" s="24" t="n"/>
      <c r="B898" s="24" t="n"/>
      <c r="C898" s="25" t="n"/>
      <c r="D898" s="24" t="n"/>
    </row>
    <row r="899">
      <c r="A899" s="24" t="n"/>
      <c r="B899" s="24" t="n"/>
      <c r="C899" s="25" t="n"/>
      <c r="D899" s="24" t="n"/>
    </row>
    <row r="900">
      <c r="A900" s="24" t="n"/>
      <c r="B900" s="24" t="n"/>
      <c r="C900" s="25" t="n"/>
      <c r="D900" s="24" t="n"/>
    </row>
    <row r="901">
      <c r="A901" s="24" t="n"/>
      <c r="B901" s="24" t="n"/>
      <c r="C901" s="25" t="n"/>
      <c r="D901" s="24" t="n"/>
    </row>
    <row r="902">
      <c r="A902" s="24" t="n"/>
      <c r="B902" s="24" t="n"/>
      <c r="C902" s="25" t="n"/>
      <c r="D902" s="24" t="n"/>
    </row>
    <row r="903">
      <c r="A903" s="24" t="n"/>
      <c r="B903" s="24" t="n"/>
      <c r="C903" s="25" t="n"/>
      <c r="D903" s="24" t="n"/>
    </row>
    <row r="904">
      <c r="A904" s="24" t="n"/>
      <c r="B904" s="24" t="n"/>
      <c r="C904" s="25" t="n"/>
      <c r="D904" s="24" t="n"/>
    </row>
    <row r="905">
      <c r="A905" s="24" t="n"/>
      <c r="B905" s="24" t="n"/>
      <c r="C905" s="25" t="n"/>
      <c r="D905" s="24" t="n"/>
    </row>
    <row r="906">
      <c r="A906" s="24" t="n"/>
      <c r="B906" s="24" t="n"/>
      <c r="C906" s="25" t="n"/>
      <c r="D906" s="24" t="n"/>
    </row>
    <row r="907">
      <c r="A907" s="24" t="n"/>
      <c r="B907" s="24" t="n"/>
      <c r="C907" s="25" t="n"/>
      <c r="D907" s="24" t="n"/>
    </row>
    <row r="908">
      <c r="A908" s="24" t="n"/>
      <c r="B908" s="24" t="n"/>
      <c r="C908" s="25" t="n"/>
      <c r="D908" s="24" t="n"/>
    </row>
    <row r="909">
      <c r="A909" s="24" t="n"/>
      <c r="B909" s="24" t="n"/>
      <c r="C909" s="25" t="n"/>
      <c r="D909" s="24" t="n"/>
    </row>
    <row r="910">
      <c r="A910" s="24" t="n"/>
      <c r="B910" s="24" t="n"/>
      <c r="C910" s="25" t="n"/>
      <c r="D910" s="24" t="n"/>
    </row>
    <row r="911">
      <c r="A911" s="24" t="n"/>
      <c r="B911" s="24" t="n"/>
      <c r="C911" s="25" t="n"/>
      <c r="D911" s="24" t="n"/>
    </row>
    <row r="912">
      <c r="A912" s="24" t="n"/>
      <c r="B912" s="24" t="n"/>
      <c r="C912" s="25" t="n"/>
      <c r="D912" s="24" t="n"/>
    </row>
    <row r="913">
      <c r="A913" s="24" t="n"/>
      <c r="B913" s="24" t="n"/>
      <c r="C913" s="25" t="n"/>
      <c r="D913" s="24" t="n"/>
    </row>
    <row r="914">
      <c r="A914" s="24" t="n"/>
      <c r="B914" s="24" t="n"/>
      <c r="C914" s="25" t="n"/>
      <c r="D914" s="24" t="n"/>
    </row>
    <row r="915">
      <c r="A915" s="24" t="n"/>
      <c r="B915" s="24" t="n"/>
      <c r="C915" s="25" t="n"/>
      <c r="D915" s="24" t="n"/>
    </row>
    <row r="916">
      <c r="A916" s="24" t="n"/>
      <c r="B916" s="24" t="n"/>
      <c r="C916" s="25" t="n"/>
      <c r="D916" s="24" t="n"/>
    </row>
    <row r="917">
      <c r="A917" s="24" t="n"/>
      <c r="B917" s="24" t="n"/>
      <c r="C917" s="25" t="n"/>
      <c r="D917" s="24" t="n"/>
    </row>
    <row r="918">
      <c r="A918" s="24" t="n"/>
      <c r="B918" s="24" t="n"/>
      <c r="C918" s="25" t="n"/>
      <c r="D918" s="24" t="n"/>
    </row>
    <row r="919">
      <c r="A919" s="24" t="n"/>
      <c r="B919" s="24" t="n"/>
      <c r="C919" s="25" t="n"/>
      <c r="D919" s="24" t="n"/>
    </row>
    <row r="920">
      <c r="A920" s="24" t="n"/>
      <c r="B920" s="24" t="n"/>
      <c r="C920" s="25" t="n"/>
      <c r="D920" s="24" t="n"/>
    </row>
    <row r="921">
      <c r="A921" s="24" t="n"/>
      <c r="B921" s="24" t="n"/>
      <c r="C921" s="25" t="n"/>
      <c r="D921" s="24" t="n"/>
    </row>
    <row r="922">
      <c r="A922" s="24" t="n"/>
      <c r="B922" s="24" t="n"/>
      <c r="C922" s="25" t="n"/>
      <c r="D922" s="24" t="n"/>
    </row>
    <row r="923">
      <c r="A923" s="24" t="n"/>
      <c r="B923" s="24" t="n"/>
      <c r="C923" s="25" t="n"/>
      <c r="D923" s="24" t="n"/>
    </row>
    <row r="924">
      <c r="A924" s="24" t="n"/>
      <c r="B924" s="24" t="n"/>
      <c r="C924" s="25" t="n"/>
      <c r="D924" s="24" t="n"/>
    </row>
    <row r="925">
      <c r="A925" s="24" t="n"/>
      <c r="B925" s="24" t="n"/>
      <c r="C925" s="25" t="n"/>
      <c r="D925" s="24" t="n"/>
    </row>
    <row r="926">
      <c r="A926" s="24" t="n"/>
      <c r="B926" s="24" t="n"/>
      <c r="C926" s="25" t="n"/>
      <c r="D926" s="24" t="n"/>
    </row>
    <row r="927">
      <c r="A927" s="24" t="n"/>
      <c r="B927" s="24" t="n"/>
      <c r="C927" s="25" t="n"/>
      <c r="D927" s="24" t="n"/>
    </row>
    <row r="928">
      <c r="A928" s="24" t="n"/>
      <c r="B928" s="24" t="n"/>
      <c r="C928" s="25" t="n"/>
      <c r="D928" s="24" t="n"/>
    </row>
    <row r="929">
      <c r="A929" s="24" t="n"/>
      <c r="B929" s="24" t="n"/>
      <c r="C929" s="25" t="n"/>
      <c r="D929" s="24" t="n"/>
    </row>
    <row r="930">
      <c r="A930" s="24" t="n"/>
      <c r="B930" s="24" t="n"/>
      <c r="C930" s="25" t="n"/>
      <c r="D930" s="24" t="n"/>
    </row>
    <row r="931">
      <c r="A931" s="24" t="n"/>
      <c r="B931" s="24" t="n"/>
      <c r="C931" s="25" t="n"/>
      <c r="D931" s="24" t="n"/>
    </row>
    <row r="932">
      <c r="A932" s="24" t="n"/>
      <c r="B932" s="24" t="n"/>
      <c r="C932" s="25" t="n"/>
      <c r="D932" s="24" t="n"/>
    </row>
    <row r="933">
      <c r="A933" s="24" t="n"/>
      <c r="B933" s="24" t="n"/>
      <c r="C933" s="25" t="n"/>
      <c r="D933" s="24" t="n"/>
    </row>
    <row r="934">
      <c r="A934" s="24" t="n"/>
      <c r="B934" s="24" t="n"/>
      <c r="C934" s="25" t="n"/>
      <c r="D934" s="24" t="n"/>
    </row>
    <row r="935">
      <c r="A935" s="24" t="n"/>
      <c r="B935" s="24" t="n"/>
      <c r="C935" s="25" t="n"/>
      <c r="D935" s="24" t="n"/>
    </row>
    <row r="936">
      <c r="A936" s="24" t="n"/>
      <c r="B936" s="24" t="n"/>
      <c r="C936" s="25" t="n"/>
      <c r="D936" s="24" t="n"/>
    </row>
    <row r="937">
      <c r="A937" s="24" t="n"/>
      <c r="B937" s="24" t="n"/>
      <c r="C937" s="25" t="n"/>
      <c r="D937" s="24" t="n"/>
    </row>
    <row r="938">
      <c r="A938" s="24" t="n"/>
      <c r="B938" s="24" t="n"/>
      <c r="C938" s="25" t="n"/>
      <c r="D938" s="24" t="n"/>
    </row>
    <row r="939">
      <c r="A939" s="24" t="n"/>
      <c r="B939" s="24" t="n"/>
      <c r="C939" s="25" t="n"/>
      <c r="D939" s="24" t="n"/>
    </row>
    <row r="940">
      <c r="A940" s="24" t="n"/>
      <c r="B940" s="24" t="n"/>
      <c r="C940" s="25" t="n"/>
      <c r="D940" s="24" t="n"/>
    </row>
    <row r="941">
      <c r="A941" s="24" t="n"/>
      <c r="B941" s="24" t="n"/>
      <c r="C941" s="25" t="n"/>
      <c r="D941" s="24" t="n"/>
    </row>
    <row r="942">
      <c r="A942" s="24" t="n"/>
      <c r="B942" s="24" t="n"/>
      <c r="C942" s="25" t="n"/>
      <c r="D942" s="24" t="n"/>
    </row>
    <row r="943">
      <c r="A943" s="24" t="n"/>
      <c r="B943" s="24" t="n"/>
      <c r="C943" s="25" t="n"/>
      <c r="D943" s="24" t="n"/>
    </row>
    <row r="944">
      <c r="A944" s="24" t="n"/>
      <c r="B944" s="24" t="n"/>
      <c r="C944" s="25" t="n"/>
      <c r="D944" s="24" t="n"/>
    </row>
    <row r="945">
      <c r="A945" s="24" t="n"/>
      <c r="B945" s="24" t="n"/>
      <c r="C945" s="25" t="n"/>
      <c r="D945" s="24" t="n"/>
    </row>
    <row r="946">
      <c r="A946" s="24" t="n"/>
      <c r="B946" s="24" t="n"/>
      <c r="C946" s="25" t="n"/>
      <c r="D946" s="24" t="n"/>
    </row>
    <row r="947">
      <c r="A947" s="24" t="n"/>
      <c r="B947" s="24" t="n"/>
      <c r="C947" s="25" t="n"/>
      <c r="D947" s="24" t="n"/>
    </row>
    <row r="948">
      <c r="A948" s="24" t="n"/>
      <c r="B948" s="24" t="n"/>
      <c r="C948" s="25" t="n"/>
      <c r="D948" s="24" t="n"/>
    </row>
    <row r="949">
      <c r="A949" s="24" t="n"/>
      <c r="B949" s="24" t="n"/>
      <c r="C949" s="25" t="n"/>
      <c r="D949" s="24" t="n"/>
    </row>
    <row r="950">
      <c r="A950" s="24" t="n"/>
      <c r="B950" s="24" t="n"/>
      <c r="C950" s="25" t="n"/>
      <c r="D950" s="24" t="n"/>
    </row>
    <row r="951">
      <c r="A951" s="24" t="n"/>
      <c r="B951" s="24" t="n"/>
      <c r="C951" s="25" t="n"/>
      <c r="D951" s="24" t="n"/>
    </row>
    <row r="952">
      <c r="A952" s="24" t="n"/>
      <c r="B952" s="24" t="n"/>
      <c r="C952" s="25" t="n"/>
      <c r="D952" s="24" t="n"/>
    </row>
    <row r="953">
      <c r="A953" s="24" t="n"/>
      <c r="B953" s="24" t="n"/>
      <c r="C953" s="25" t="n"/>
      <c r="D953" s="24" t="n"/>
    </row>
    <row r="954">
      <c r="A954" s="24" t="n"/>
      <c r="B954" s="24" t="n"/>
      <c r="C954" s="25" t="n"/>
      <c r="D954" s="24" t="n"/>
    </row>
    <row r="955">
      <c r="A955" s="24" t="n"/>
      <c r="B955" s="24" t="n"/>
      <c r="C955" s="25" t="n"/>
      <c r="D955" s="24" t="n"/>
    </row>
    <row r="956">
      <c r="A956" s="24" t="n"/>
      <c r="B956" s="24" t="n"/>
      <c r="C956" s="25" t="n"/>
      <c r="D956" s="24" t="n"/>
    </row>
    <row r="957">
      <c r="A957" s="24" t="n"/>
      <c r="B957" s="24" t="n"/>
      <c r="C957" s="25" t="n"/>
      <c r="D957" s="24" t="n"/>
    </row>
    <row r="958">
      <c r="A958" s="24" t="n"/>
      <c r="B958" s="24" t="n"/>
      <c r="C958" s="25" t="n"/>
      <c r="D958" s="24" t="n"/>
    </row>
    <row r="959">
      <c r="A959" s="24" t="n"/>
      <c r="B959" s="24" t="n"/>
      <c r="C959" s="25" t="n"/>
      <c r="D959" s="24" t="n"/>
    </row>
    <row r="960">
      <c r="A960" s="24" t="n"/>
      <c r="B960" s="24" t="n"/>
      <c r="C960" s="25" t="n"/>
      <c r="D960" s="24" t="n"/>
    </row>
    <row r="961">
      <c r="A961" s="24" t="n"/>
      <c r="B961" s="24" t="n"/>
      <c r="C961" s="25" t="n"/>
      <c r="D961" s="24" t="n"/>
    </row>
    <row r="962">
      <c r="A962" s="24" t="n"/>
      <c r="B962" s="24" t="n"/>
      <c r="C962" s="25" t="n"/>
      <c r="D962" s="24" t="n"/>
    </row>
    <row r="963">
      <c r="A963" s="24" t="n"/>
      <c r="B963" s="24" t="n"/>
      <c r="C963" s="25" t="n"/>
      <c r="D963" s="24" t="n"/>
    </row>
    <row r="964">
      <c r="A964" s="24" t="n"/>
      <c r="B964" s="24" t="n"/>
      <c r="C964" s="25" t="n"/>
      <c r="D964" s="24" t="n"/>
    </row>
    <row r="965">
      <c r="A965" s="24" t="n"/>
      <c r="B965" s="24" t="n"/>
      <c r="C965" s="25" t="n"/>
      <c r="D965" s="24" t="n"/>
    </row>
    <row r="966">
      <c r="A966" s="24" t="n"/>
      <c r="B966" s="24" t="n"/>
      <c r="C966" s="25" t="n"/>
      <c r="D966" s="24" t="n"/>
    </row>
    <row r="967">
      <c r="A967" s="24" t="n"/>
      <c r="B967" s="24" t="n"/>
      <c r="C967" s="25" t="n"/>
      <c r="D967" s="24" t="n"/>
    </row>
    <row r="968">
      <c r="A968" s="24" t="n"/>
      <c r="B968" s="24" t="n"/>
      <c r="C968" s="25" t="n"/>
      <c r="D968" s="24" t="n"/>
    </row>
    <row r="969">
      <c r="A969" s="24" t="n"/>
      <c r="B969" s="24" t="n"/>
      <c r="C969" s="25" t="n"/>
      <c r="D969" s="24" t="n"/>
    </row>
    <row r="970">
      <c r="A970" s="24" t="n"/>
      <c r="B970" s="24" t="n"/>
      <c r="C970" s="25" t="n"/>
      <c r="D970" s="24" t="n"/>
    </row>
    <row r="971">
      <c r="A971" s="24" t="n"/>
      <c r="B971" s="24" t="n"/>
      <c r="C971" s="25" t="n"/>
      <c r="D971" s="24" t="n"/>
    </row>
    <row r="972">
      <c r="A972" s="24" t="n"/>
      <c r="B972" s="24" t="n"/>
      <c r="C972" s="25" t="n"/>
      <c r="D972" s="24" t="n"/>
    </row>
    <row r="973">
      <c r="A973" s="24" t="n"/>
      <c r="B973" s="24" t="n"/>
      <c r="C973" s="25" t="n"/>
      <c r="D973" s="24" t="n"/>
    </row>
    <row r="974">
      <c r="A974" s="24" t="n"/>
      <c r="B974" s="24" t="n"/>
      <c r="C974" s="25" t="n"/>
      <c r="D974" s="24" t="n"/>
    </row>
    <row r="975">
      <c r="A975" s="24" t="n"/>
      <c r="B975" s="24" t="n"/>
      <c r="C975" s="25" t="n"/>
      <c r="D975" s="24" t="n"/>
    </row>
    <row r="976">
      <c r="A976" s="24" t="n"/>
      <c r="B976" s="24" t="n"/>
      <c r="C976" s="25" t="n"/>
      <c r="D976" s="24" t="n"/>
    </row>
    <row r="977">
      <c r="A977" s="24" t="n"/>
      <c r="B977" s="24" t="n"/>
      <c r="C977" s="25" t="n"/>
      <c r="D977" s="24" t="n"/>
    </row>
    <row r="978">
      <c r="A978" s="24" t="n"/>
      <c r="B978" s="24" t="n"/>
      <c r="C978" s="25" t="n"/>
      <c r="D978" s="24" t="n"/>
    </row>
    <row r="979">
      <c r="A979" s="24" t="n"/>
      <c r="B979" s="24" t="n"/>
      <c r="C979" s="25" t="n"/>
      <c r="D979" s="24" t="n"/>
    </row>
    <row r="980">
      <c r="A980" s="24" t="n"/>
      <c r="B980" s="24" t="n"/>
      <c r="C980" s="25" t="n"/>
      <c r="D980" s="24" t="n"/>
    </row>
    <row r="981">
      <c r="A981" s="24" t="n"/>
      <c r="B981" s="24" t="n"/>
      <c r="C981" s="25" t="n"/>
      <c r="D981" s="24" t="n"/>
    </row>
    <row r="982">
      <c r="A982" s="24" t="n"/>
      <c r="B982" s="24" t="n"/>
      <c r="C982" s="25" t="n"/>
      <c r="D982" s="24" t="n"/>
    </row>
    <row r="983">
      <c r="A983" s="24" t="n"/>
      <c r="B983" s="24" t="n"/>
      <c r="C983" s="25" t="n"/>
      <c r="D983" s="24" t="n"/>
    </row>
    <row r="984">
      <c r="A984" s="24" t="n"/>
      <c r="B984" s="24" t="n"/>
      <c r="C984" s="25" t="n"/>
      <c r="D984" s="24" t="n"/>
    </row>
    <row r="985">
      <c r="A985" s="24" t="n"/>
      <c r="B985" s="24" t="n"/>
      <c r="C985" s="25" t="n"/>
      <c r="D985" s="24" t="n"/>
    </row>
    <row r="986">
      <c r="A986" s="24" t="n"/>
      <c r="B986" s="24" t="n"/>
      <c r="C986" s="25" t="n"/>
      <c r="D986" s="24" t="n"/>
    </row>
    <row r="987">
      <c r="A987" s="24" t="n"/>
      <c r="B987" s="24" t="n"/>
      <c r="C987" s="25" t="n"/>
      <c r="D987" s="24" t="n"/>
    </row>
    <row r="988">
      <c r="A988" s="24" t="n"/>
      <c r="B988" s="24" t="n"/>
      <c r="C988" s="25" t="n"/>
      <c r="D988" s="24" t="n"/>
    </row>
    <row r="989">
      <c r="A989" s="24" t="n"/>
      <c r="B989" s="24" t="n"/>
      <c r="C989" s="25" t="n"/>
      <c r="D989" s="24" t="n"/>
    </row>
    <row r="990">
      <c r="A990" s="24" t="n"/>
      <c r="B990" s="24" t="n"/>
      <c r="C990" s="25" t="n"/>
      <c r="D990" s="24" t="n"/>
    </row>
    <row r="991">
      <c r="A991" s="24" t="n"/>
      <c r="B991" s="24" t="n"/>
      <c r="C991" s="25" t="n"/>
      <c r="D991" s="24" t="n"/>
    </row>
    <row r="992">
      <c r="A992" s="24" t="n"/>
      <c r="B992" s="24" t="n"/>
      <c r="C992" s="25" t="n"/>
      <c r="D992" s="24" t="n"/>
    </row>
    <row r="993">
      <c r="A993" s="24" t="n"/>
      <c r="B993" s="24" t="n"/>
      <c r="C993" s="25" t="n"/>
      <c r="D993" s="24" t="n"/>
    </row>
    <row r="994">
      <c r="A994" s="24" t="n"/>
      <c r="B994" s="24" t="n"/>
      <c r="C994" s="25" t="n"/>
      <c r="D994" s="24" t="n"/>
    </row>
    <row r="995">
      <c r="A995" s="24" t="n"/>
      <c r="B995" s="24" t="n"/>
      <c r="C995" s="25" t="n"/>
      <c r="D995" s="24" t="n"/>
    </row>
    <row r="996">
      <c r="A996" s="24" t="n"/>
      <c r="B996" s="24" t="n"/>
      <c r="C996" s="25" t="n"/>
      <c r="D996" s="24" t="n"/>
    </row>
    <row r="997">
      <c r="A997" s="24" t="n"/>
      <c r="B997" s="24" t="n"/>
      <c r="C997" s="25" t="n"/>
      <c r="D997" s="24" t="n"/>
    </row>
    <row r="998">
      <c r="A998" s="24" t="n"/>
      <c r="B998" s="24" t="n"/>
      <c r="C998" s="25" t="n"/>
      <c r="D998" s="24" t="n"/>
    </row>
    <row r="999">
      <c r="A999" s="24" t="n"/>
      <c r="B999" s="24" t="n"/>
      <c r="C999" s="25" t="n"/>
      <c r="D999" s="24" t="n"/>
    </row>
    <row r="1000">
      <c r="A1000" s="24" t="n"/>
      <c r="B1000" s="24" t="n"/>
      <c r="C1000" s="25" t="n"/>
      <c r="D1000" s="24" t="n"/>
    </row>
  </sheetData>
  <autoFilter ref="$A$2:$D$17">
    <filterColumn colId="1" hiddenButton="0" showButton="1">
      <filters>
        <filter val="B1 M"/>
        <filter val="D V"/>
      </filters>
    </filterColumn>
  </autoFilter>
  <mergeCells count="1">
    <mergeCell ref="A1:D1"/>
  </mergeCells>
  <printOptions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tabColor rgb="FFB7B7B7"/>
    <outlinePr summaryBelow="0" summaryRight="0"/>
    <pageSetUpPr fitToPage="1"/>
  </sheetPr>
  <dimension ref="A1:AV65"/>
  <sheetViews>
    <sheetView workbookViewId="0">
      <selection activeCell="A1" sqref="A1"/>
    </sheetView>
  </sheetViews>
  <sheetFormatPr baseColWidth="8" defaultColWidth="12.63" defaultRowHeight="15.75" customHeight="1"/>
  <cols>
    <col width="39.63" customWidth="1" style="128" min="1" max="1"/>
    <col width="16.63" customWidth="1" style="128" min="6" max="6"/>
    <col width="15.75" customWidth="1" style="128" min="8" max="8"/>
    <col width="38.25" customWidth="1" style="128" min="9" max="9"/>
    <col width="14.38" customWidth="1" style="128" min="15" max="15"/>
    <col width="25.88" customWidth="1" style="128" min="16" max="16"/>
    <col width="19.13" customWidth="1" style="128" min="22" max="22"/>
    <col width="24.63" customWidth="1" style="128" min="23" max="23"/>
    <col width="15.13" customWidth="1" style="128" min="29" max="29"/>
    <col width="28.25" customWidth="1" style="128" min="30" max="30"/>
    <col width="17.13" customWidth="1" style="128" min="36" max="36"/>
    <col width="29" customWidth="1" style="128" min="37" max="37"/>
    <col width="33.25" customWidth="1" style="128" min="44" max="44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E1" s="27" t="inlineStr">
        <is>
          <t>Categoria</t>
        </is>
      </c>
      <c r="F1" s="28" t="inlineStr">
        <is>
          <t>Sexo</t>
        </is>
      </c>
      <c r="H1" s="129" t="inlineStr">
        <is>
          <t>TAEKWONDO MIRIM MASCULINO</t>
        </is>
      </c>
      <c r="I1" s="130" t="n"/>
      <c r="J1" s="130" t="n"/>
      <c r="K1" s="130" t="n"/>
      <c r="L1" s="131" t="n"/>
      <c r="O1" s="129" t="inlineStr">
        <is>
          <t>TAEKWONDO MIRIM FEMININO</t>
        </is>
      </c>
      <c r="P1" s="130" t="n"/>
      <c r="Q1" s="130" t="n"/>
      <c r="R1" s="131" t="n"/>
      <c r="V1" s="129" t="inlineStr">
        <is>
          <t>TAEKWONDO INFANTIL MASCULINO</t>
        </is>
      </c>
      <c r="W1" s="130" t="n"/>
      <c r="X1" s="130" t="n"/>
      <c r="Y1" s="130" t="n"/>
      <c r="Z1" s="131" t="n"/>
      <c r="AA1" s="33" t="n"/>
      <c r="AB1" s="33" t="n"/>
      <c r="AC1" s="129" t="inlineStr">
        <is>
          <t>TAEKWONDO INFANTIL FEMININO</t>
        </is>
      </c>
      <c r="AD1" s="130" t="n"/>
      <c r="AE1" s="130" t="n"/>
      <c r="AF1" s="130" t="n"/>
      <c r="AG1" s="131" t="n"/>
      <c r="AJ1" s="129" t="inlineStr">
        <is>
          <t>TAEKWONDO CADETE MASCULINO</t>
        </is>
      </c>
      <c r="AK1" s="130" t="n"/>
      <c r="AL1" s="130" t="n"/>
      <c r="AM1" s="130" t="n"/>
      <c r="AN1" s="131" t="n"/>
      <c r="AQ1" s="129" t="inlineStr">
        <is>
          <t>TAEKWONDO CADETE FEMININO</t>
        </is>
      </c>
      <c r="AR1" s="130" t="n"/>
      <c r="AS1" s="130" t="n"/>
      <c r="AT1" s="130" t="n"/>
      <c r="AU1" s="131" t="n"/>
    </row>
    <row r="2">
      <c r="A2" s="34">
        <f>IFERROR(__xludf.DUMMYFUNCTION("FILTER(Alunos!A:A, Alunos!J:J = ""Participa"")"),"AGATA LORRAINE ARAÚJO DA COSTA")</f>
        <v/>
      </c>
      <c r="B2" s="34">
        <f>IFERROR(__xludf.DUMMYFUNCTION("FILTER(Alunos!B:B,Alunos!$J:$J = ""Participa"")"),"Turma A")</f>
        <v/>
      </c>
      <c r="C2" s="34">
        <f>IFERROR(__xludf.DUMMYFUNCTION("FILTER(Alunos!C:C,Alunos!$J:$J = ""Participa"")"),"Vespertino")</f>
        <v/>
      </c>
      <c r="D2" s="34" t="inlineStr">
        <is>
          <t>Veio</t>
        </is>
      </c>
      <c r="E2" s="34" t="inlineStr">
        <is>
          <t>MIRIM</t>
        </is>
      </c>
      <c r="F2" s="34" t="inlineStr">
        <is>
          <t>FEMININO</t>
        </is>
      </c>
      <c r="H2" s="35" t="n"/>
      <c r="I2" s="35" t="n"/>
      <c r="J2" s="35" t="n"/>
      <c r="K2" s="35" t="n"/>
      <c r="L2" s="35" t="n"/>
      <c r="O2" s="35" t="n"/>
      <c r="P2" s="35" t="n"/>
      <c r="Q2" s="35" t="n"/>
      <c r="R2" s="35" t="n"/>
      <c r="V2" s="35" t="n"/>
      <c r="W2" s="35" t="n"/>
      <c r="X2" s="35" t="n"/>
      <c r="Y2" s="35" t="n"/>
      <c r="Z2" s="35" t="n"/>
      <c r="AC2" s="35" t="n"/>
      <c r="AD2" s="35" t="n"/>
      <c r="AE2" s="35" t="n"/>
      <c r="AF2" s="35" t="n"/>
      <c r="AG2" s="35" t="n"/>
      <c r="AJ2" s="35" t="n"/>
      <c r="AK2" s="35" t="n"/>
      <c r="AL2" s="35" t="n"/>
      <c r="AM2" s="35" t="n"/>
      <c r="AN2" s="35" t="n"/>
      <c r="AQ2" s="35" t="n"/>
      <c r="AR2" s="35" t="n"/>
      <c r="AS2" s="35" t="n"/>
      <c r="AT2" s="35" t="n"/>
      <c r="AU2" s="35" t="n"/>
    </row>
    <row r="3">
      <c r="A3" s="34">
        <f>IFERROR(__xludf.DUMMYFUNCTION("""COMPUTED_VALUE"""),"ALLAN ALVES RIBEIRO")</f>
        <v/>
      </c>
      <c r="B3" s="34">
        <f>IFERROR(__xludf.DUMMYFUNCTION("""COMPUTED_VALUE"""),"Turma E")</f>
        <v/>
      </c>
      <c r="C3" s="34">
        <f>IFERROR(__xludf.DUMMYFUNCTION("""COMPUTED_VALUE"""),"Vespertino")</f>
        <v/>
      </c>
      <c r="D3" s="34" t="inlineStr">
        <is>
          <t>Veio</t>
        </is>
      </c>
      <c r="E3" s="34" t="inlineStr">
        <is>
          <t>CADETE</t>
        </is>
      </c>
      <c r="F3" s="34" t="inlineStr">
        <is>
          <t>MASCULINO</t>
        </is>
      </c>
      <c r="H3" s="37" t="inlineStr">
        <is>
          <t>COLOCAÇÃO</t>
        </is>
      </c>
      <c r="I3" s="37" t="inlineStr">
        <is>
          <t>ALUNO</t>
        </is>
      </c>
      <c r="J3" s="37" t="inlineStr">
        <is>
          <t>Turma</t>
        </is>
      </c>
      <c r="K3" s="37" t="inlineStr">
        <is>
          <t>PONTOS</t>
        </is>
      </c>
      <c r="L3" s="37" t="inlineStr">
        <is>
          <t>PESO</t>
        </is>
      </c>
      <c r="O3" s="39" t="inlineStr">
        <is>
          <t>COLOCAÇÃO</t>
        </is>
      </c>
      <c r="P3" s="39" t="inlineStr">
        <is>
          <t>ALUNO</t>
        </is>
      </c>
      <c r="Q3" s="39" t="inlineStr">
        <is>
          <t>TURMA</t>
        </is>
      </c>
      <c r="R3" s="39" t="inlineStr">
        <is>
          <t>PONTOS</t>
        </is>
      </c>
      <c r="S3" s="39" t="inlineStr">
        <is>
          <t>PESO</t>
        </is>
      </c>
      <c r="V3" s="37" t="inlineStr">
        <is>
          <t>COLOCAÇÃO</t>
        </is>
      </c>
      <c r="W3" s="37" t="inlineStr">
        <is>
          <t>ALUNO</t>
        </is>
      </c>
      <c r="X3" s="37" t="inlineStr">
        <is>
          <t>TURMA</t>
        </is>
      </c>
      <c r="Y3" s="37" t="inlineStr">
        <is>
          <t>PONTOS</t>
        </is>
      </c>
      <c r="Z3" s="37" t="inlineStr">
        <is>
          <t>PESO</t>
        </is>
      </c>
      <c r="AC3" s="39" t="inlineStr">
        <is>
          <t>COLOCAÇÃO</t>
        </is>
      </c>
      <c r="AD3" s="39" t="inlineStr">
        <is>
          <t>ALUNO</t>
        </is>
      </c>
      <c r="AE3" s="39" t="inlineStr">
        <is>
          <t>TURMA</t>
        </is>
      </c>
      <c r="AF3" s="39" t="inlineStr">
        <is>
          <t>PONTOS</t>
        </is>
      </c>
      <c r="AG3" s="39" t="inlineStr">
        <is>
          <t>PESO</t>
        </is>
      </c>
      <c r="AJ3" s="37" t="inlineStr">
        <is>
          <t>COLOCAÇÃO</t>
        </is>
      </c>
      <c r="AK3" s="37" t="inlineStr">
        <is>
          <t>ALUNO</t>
        </is>
      </c>
      <c r="AL3" s="37" t="inlineStr">
        <is>
          <t>TURMA</t>
        </is>
      </c>
      <c r="AM3" s="37" t="inlineStr">
        <is>
          <t>PONTOS</t>
        </is>
      </c>
      <c r="AN3" s="37" t="inlineStr">
        <is>
          <t>PESO</t>
        </is>
      </c>
      <c r="AQ3" s="39" t="inlineStr">
        <is>
          <t>COLOCAÇÃO</t>
        </is>
      </c>
      <c r="AR3" s="39" t="inlineStr">
        <is>
          <t>ALUNO</t>
        </is>
      </c>
      <c r="AS3" s="39" t="inlineStr">
        <is>
          <t>TURMA</t>
        </is>
      </c>
      <c r="AT3" s="39" t="inlineStr">
        <is>
          <t>PONTOS</t>
        </is>
      </c>
      <c r="AU3" s="39" t="inlineStr">
        <is>
          <t>PESO</t>
        </is>
      </c>
    </row>
    <row r="4">
      <c r="A4" s="34">
        <f>IFERROR(__xludf.DUMMYFUNCTION("""COMPUTED_VALUE"""),"ALLANA FERREIRA DA SILVA")</f>
        <v/>
      </c>
      <c r="B4" s="34">
        <f>IFERROR(__xludf.DUMMYFUNCTION("""COMPUTED_VALUE"""),"Turma B1")</f>
        <v/>
      </c>
      <c r="C4" s="34">
        <f>IFERROR(__xludf.DUMMYFUNCTION("""COMPUTED_VALUE"""),"Vespertino")</f>
        <v/>
      </c>
      <c r="D4" s="34" t="inlineStr">
        <is>
          <t>Veio</t>
        </is>
      </c>
      <c r="E4" s="34" t="inlineStr">
        <is>
          <t>INFANTIL</t>
        </is>
      </c>
      <c r="F4" s="34" t="inlineStr">
        <is>
          <t>FEMININO</t>
        </is>
      </c>
      <c r="I4" s="34">
        <f>IFERROR(__xludf.DUMMYFUNCTION("FILTER($A:$A,$E:$E = ""MIRIM"", $F:$F = ""MASCULINO"", $D:$D = ""Veio"")"),"CAUÃ SOUZA PROCÓPIO DA SILVA")</f>
        <v/>
      </c>
      <c r="J4" s="34">
        <f>IFERROR(__xludf.DUMMYFUNCTION("FILTER($B:$B,$E:$E = ""MIRIM"", $F:$F = ""MASCULINO"", $D:$D = ""Veio"")"),"Turma A")</f>
        <v/>
      </c>
      <c r="K4" s="34" t="n">
        <v>3</v>
      </c>
      <c r="L4" s="34" t="inlineStr">
        <is>
          <t>Até 32Kg</t>
        </is>
      </c>
      <c r="M4" s="34" t="inlineStr">
        <is>
          <t>Até 22Kg</t>
        </is>
      </c>
      <c r="P4" s="34">
        <f>IFERROR(__xludf.DUMMYFUNCTION("FILTER($A:$A,$E:$E = ""MIRIM"", $F:$F = ""FEMININO"", $D:$D = ""Veio"")"),"AGATA LORRAINE ARAÚJO DA COSTA")</f>
        <v/>
      </c>
      <c r="Q4" s="34">
        <f>IFERROR(__xludf.DUMMYFUNCTION("FILTER($B:$B,$E:$E = ""MIRIM"", $F:$F = ""FEMININO"", $D:$D = ""Veio"")"),"Turma A")</f>
        <v/>
      </c>
      <c r="R4" s="34" t="n">
        <v>3</v>
      </c>
      <c r="S4" s="34" t="inlineStr">
        <is>
          <t>Até 28Kg</t>
        </is>
      </c>
      <c r="T4" s="34" t="inlineStr">
        <is>
          <t>Até 22Kg</t>
        </is>
      </c>
      <c r="U4" s="34" t="n"/>
      <c r="W4" s="34">
        <f>IFERROR(__xludf.DUMMYFUNCTION("FILTER($A:$A,$E:$E = ""INFANTIL"", $F:$F = ""MASCULINO"", $D:$D = ""Veio"")"),"AQUIRIZ ARAUJO DE FREITAS")</f>
        <v/>
      </c>
      <c r="X4" s="34">
        <f>IFERROR(__xludf.DUMMYFUNCTION("FILTER($B:$B,$E:$E = ""INFANTIL"", $F:$F = ""MASCULINO"", $D:$D = ""Veio"")"),"Turma C")</f>
        <v/>
      </c>
      <c r="Y4" s="34" t="n">
        <v>3</v>
      </c>
      <c r="Z4" s="34" t="inlineStr">
        <is>
          <t>Acima de 45Kg</t>
        </is>
      </c>
      <c r="AA4" s="34" t="inlineStr">
        <is>
          <t>Até 30Kg</t>
        </is>
      </c>
      <c r="AB4" s="34" t="n"/>
      <c r="AD4" s="34">
        <f>IFERROR(__xludf.DUMMYFUNCTION("FILTER($A:$A,$E:$E = ""INFANTIL"", $F:$F = ""FEMININO"", $D:$D = ""Veio"")"),"ALLANA FERREIRA DA SILVA")</f>
        <v/>
      </c>
      <c r="AE4" s="34">
        <f>IFERROR(__xludf.DUMMYFUNCTION("FILTER($B:$B,$E:$E = ""INFANTIL"", $F:$F = ""FEMININO"", $D:$D = ""Veio"")"),"Turma B1")</f>
        <v/>
      </c>
      <c r="AG4" s="34" t="inlineStr">
        <is>
          <t>Até 35Kg</t>
        </is>
      </c>
      <c r="AH4" s="34" t="inlineStr">
        <is>
          <t>Até 30Kg</t>
        </is>
      </c>
      <c r="AI4" s="34" t="n"/>
      <c r="AK4" s="34">
        <f>IFERROR(__xludf.DUMMYFUNCTION("FILTER($A:$A,$E:$E = ""CADETE"", $F:$F = ""MASCULINO"", $D:$D = ""Veio"")"),"ALLAN ALVES RIBEIRO")</f>
        <v/>
      </c>
      <c r="AL4" s="34">
        <f>IFERROR(__xludf.DUMMYFUNCTION("FILTER($B:$B,$E:$E = ""CADETE"", $F:$F = ""MASCULINO"", $D:$D = ""Veio"")"),"Turma E")</f>
        <v/>
      </c>
      <c r="AN4" s="34" t="inlineStr">
        <is>
          <t>Até 53Kg</t>
        </is>
      </c>
      <c r="AO4" s="34" t="inlineStr">
        <is>
          <t>Até 37Kg</t>
        </is>
      </c>
      <c r="AP4" s="34" t="n"/>
      <c r="AR4" s="34">
        <f>IFERROR(__xludf.DUMMYFUNCTION("FILTER($A:$A,$E:$E = ""CADETE"", $F:$F = ""FEMININO"", $D:$D = ""Veio"")"),"Danielly Hilary Almeida Martins")</f>
        <v/>
      </c>
      <c r="AS4" s="34">
        <f>IFERROR(__xludf.DUMMYFUNCTION("FILTER($B:$B,$E:$E = ""CADETE"", $F:$F = ""FEMININO"", $D:$D = ""Veio"")"),"Turma D")</f>
        <v/>
      </c>
      <c r="AT4" s="34" t="n">
        <v>3</v>
      </c>
      <c r="AU4" s="34" t="inlineStr">
        <is>
          <t>Acima de 59Kg</t>
        </is>
      </c>
      <c r="AV4" s="34" t="inlineStr">
        <is>
          <t>Até 37Kg</t>
        </is>
      </c>
    </row>
    <row r="5">
      <c r="A5" s="34">
        <f>IFERROR(__xludf.DUMMYFUNCTION("""COMPUTED_VALUE"""),"Allana Gonçalves Da Silva")</f>
        <v/>
      </c>
      <c r="B5" s="34">
        <f>IFERROR(__xludf.DUMMYFUNCTION("""COMPUTED_VALUE"""),"Turma C")</f>
        <v/>
      </c>
      <c r="C5" s="34">
        <f>IFERROR(__xludf.DUMMYFUNCTION("""COMPUTED_VALUE"""),"Matutino")</f>
        <v/>
      </c>
      <c r="D5" s="34" t="inlineStr">
        <is>
          <t>Veio</t>
        </is>
      </c>
      <c r="E5" s="34" t="inlineStr">
        <is>
          <t>MIRIM</t>
        </is>
      </c>
      <c r="F5" s="34" t="inlineStr">
        <is>
          <t>FEMININO</t>
        </is>
      </c>
      <c r="I5" s="34">
        <f>IFERROR(__xludf.DUMMYFUNCTION("""COMPUTED_VALUE"""),"DANIEL VIEIRA MARTINS")</f>
        <v/>
      </c>
      <c r="J5" s="34">
        <f>IFERROR(__xludf.DUMMYFUNCTION("""COMPUTED_VALUE"""),"Turma B1")</f>
        <v/>
      </c>
      <c r="K5" s="34" t="n">
        <v>3</v>
      </c>
      <c r="L5" s="34" t="inlineStr">
        <is>
          <t>Até 28Kg</t>
        </is>
      </c>
      <c r="M5" s="34" t="inlineStr">
        <is>
          <t>Até 24Kg</t>
        </is>
      </c>
      <c r="P5" s="34">
        <f>IFERROR(__xludf.DUMMYFUNCTION("""COMPUTED_VALUE"""),"Allana Gonçalves Da Silva")</f>
        <v/>
      </c>
      <c r="Q5" s="34">
        <f>IFERROR(__xludf.DUMMYFUNCTION("""COMPUTED_VALUE"""),"Turma C")</f>
        <v/>
      </c>
      <c r="S5" s="34" t="inlineStr">
        <is>
          <t>Até 32Kg</t>
        </is>
      </c>
      <c r="T5" s="34" t="inlineStr">
        <is>
          <t>Até 24Kg</t>
        </is>
      </c>
      <c r="U5" s="34" t="n"/>
      <c r="W5" s="34">
        <f>IFERROR(__xludf.DUMMYFUNCTION("""COMPUTED_VALUE"""),"Breno Henrique Germano Dos Santos")</f>
        <v/>
      </c>
      <c r="X5" s="34">
        <f>IFERROR(__xludf.DUMMYFUNCTION("""COMPUTED_VALUE"""),"Turma C")</f>
        <v/>
      </c>
      <c r="AA5" s="34" t="inlineStr">
        <is>
          <t>Até 35Kg</t>
        </is>
      </c>
      <c r="AB5" s="34" t="n"/>
      <c r="AD5" s="34">
        <f>IFERROR(__xludf.DUMMYFUNCTION("""COMPUTED_VALUE"""),"CLAUDIA GABRIELY CAMARGO MOREIRA")</f>
        <v/>
      </c>
      <c r="AE5" s="34">
        <f>IFERROR(__xludf.DUMMYFUNCTION("""COMPUTED_VALUE"""),"Turma D")</f>
        <v/>
      </c>
      <c r="AF5" s="34" t="n">
        <v>3</v>
      </c>
      <c r="AG5" s="34" t="inlineStr">
        <is>
          <t>Até 35Kg</t>
        </is>
      </c>
      <c r="AH5" s="34" t="inlineStr">
        <is>
          <t>Até 35Kg</t>
        </is>
      </c>
      <c r="AI5" s="34" t="n"/>
      <c r="AK5" s="34">
        <f>IFERROR(__xludf.DUMMYFUNCTION("""COMPUTED_VALUE"""),"DIEGO RENAN OLIVEIRA DA SILVA")</f>
        <v/>
      </c>
      <c r="AL5" s="34">
        <f>IFERROR(__xludf.DUMMYFUNCTION("""COMPUTED_VALUE"""),"Turma E")</f>
        <v/>
      </c>
      <c r="AM5" s="34" t="n">
        <v>3</v>
      </c>
      <c r="AN5" s="34" t="inlineStr">
        <is>
          <t>Até 61Kg</t>
        </is>
      </c>
      <c r="AO5" s="34" t="inlineStr">
        <is>
          <t>Até 45Kg</t>
        </is>
      </c>
      <c r="AP5" s="34" t="n"/>
      <c r="AR5" s="34">
        <f>IFERROR(__xludf.DUMMYFUNCTION("""COMPUTED_VALUE"""),"KAUANE BARBOSA LEMES")</f>
        <v/>
      </c>
      <c r="AS5" s="34">
        <f>IFERROR(__xludf.DUMMYFUNCTION("""COMPUTED_VALUE"""),"Turma E")</f>
        <v/>
      </c>
      <c r="AT5" s="34" t="n">
        <v>3</v>
      </c>
      <c r="AU5" s="34" t="inlineStr">
        <is>
          <t>Até 51Kg</t>
        </is>
      </c>
      <c r="AV5" s="34" t="inlineStr">
        <is>
          <t>Até 44Kg</t>
        </is>
      </c>
    </row>
    <row r="6">
      <c r="A6" s="34">
        <f>IFERROR(__xludf.DUMMYFUNCTION("""COMPUTED_VALUE"""),"Ana Julia Da Cruz Oliveira")</f>
        <v/>
      </c>
      <c r="B6" s="34">
        <f>IFERROR(__xludf.DUMMYFUNCTION("""COMPUTED_VALUE"""),"Turma A")</f>
        <v/>
      </c>
      <c r="C6" s="34">
        <f>IFERROR(__xludf.DUMMYFUNCTION("""COMPUTED_VALUE"""),"Matutino")</f>
        <v/>
      </c>
      <c r="D6" s="34" t="inlineStr">
        <is>
          <t>Veio</t>
        </is>
      </c>
      <c r="E6" s="34" t="inlineStr">
        <is>
          <t>MIRIM</t>
        </is>
      </c>
      <c r="F6" s="34" t="inlineStr">
        <is>
          <t>FEMININO</t>
        </is>
      </c>
      <c r="I6" s="34">
        <f>IFERROR(__xludf.DUMMYFUNCTION("""COMPUTED_VALUE"""),"DAVY THAYLOM OLIVEIRA DOS SANTOS")</f>
        <v/>
      </c>
      <c r="J6" s="34">
        <f>IFERROR(__xludf.DUMMYFUNCTION("""COMPUTED_VALUE"""),"Turma A")</f>
        <v/>
      </c>
      <c r="L6" s="34" t="inlineStr">
        <is>
          <t>Até 24Kg</t>
        </is>
      </c>
      <c r="M6" s="34" t="inlineStr">
        <is>
          <t>Até 26Kg</t>
        </is>
      </c>
      <c r="P6" s="34">
        <f>IFERROR(__xludf.DUMMYFUNCTION("""COMPUTED_VALUE"""),"Ana Julia Da Cruz Oliveira")</f>
        <v/>
      </c>
      <c r="Q6" s="34">
        <f>IFERROR(__xludf.DUMMYFUNCTION("""COMPUTED_VALUE"""),"Turma A")</f>
        <v/>
      </c>
      <c r="R6" s="34" t="n">
        <v>3</v>
      </c>
      <c r="S6" s="34" t="inlineStr">
        <is>
          <t>Até 26Kg</t>
        </is>
      </c>
      <c r="T6" s="34" t="inlineStr">
        <is>
          <t>Até 26Kg</t>
        </is>
      </c>
      <c r="U6" s="34" t="n"/>
      <c r="W6" s="34">
        <f>IFERROR(__xludf.DUMMYFUNCTION("""COMPUTED_VALUE"""),"CARLOS DANIEL BARROSO FERREIRA")</f>
        <v/>
      </c>
      <c r="X6" s="34">
        <f>IFERROR(__xludf.DUMMYFUNCTION("""COMPUTED_VALUE"""),"Turma C")</f>
        <v/>
      </c>
      <c r="Z6" s="34" t="inlineStr">
        <is>
          <t>Até 40Kg</t>
        </is>
      </c>
      <c r="AA6" s="34" t="inlineStr">
        <is>
          <t>Até 40Kg</t>
        </is>
      </c>
      <c r="AB6" s="34" t="n"/>
      <c r="AD6" s="34">
        <f>IFERROR(__xludf.DUMMYFUNCTION("""COMPUTED_VALUE"""),"EMILLY VICTÓRIA DO NASCIMENTO BEZERRA")</f>
        <v/>
      </c>
      <c r="AE6" s="34">
        <f>IFERROR(__xludf.DUMMYFUNCTION("""COMPUTED_VALUE"""),"Turma B2")</f>
        <v/>
      </c>
      <c r="AG6" s="34" t="inlineStr">
        <is>
          <t>Até 45Kg</t>
        </is>
      </c>
      <c r="AH6" s="34" t="inlineStr">
        <is>
          <t>Até 40Kg</t>
        </is>
      </c>
      <c r="AI6" s="34" t="n"/>
      <c r="AK6" s="34">
        <f>IFERROR(__xludf.DUMMYFUNCTION("""COMPUTED_VALUE"""),"GUSTAVO GALVÃO DE JESUS")</f>
        <v/>
      </c>
      <c r="AL6" s="34">
        <f>IFERROR(__xludf.DUMMYFUNCTION("""COMPUTED_VALUE"""),"Turma D")</f>
        <v/>
      </c>
      <c r="AM6" s="34" t="n">
        <v>3</v>
      </c>
      <c r="AN6" s="34" t="inlineStr">
        <is>
          <t>Acima de 61Kg</t>
        </is>
      </c>
      <c r="AO6" s="34" t="inlineStr">
        <is>
          <t>Até 53Kg</t>
        </is>
      </c>
      <c r="AP6" s="34" t="n"/>
      <c r="AR6" s="34">
        <f>IFERROR(__xludf.DUMMYFUNCTION("""COMPUTED_VALUE"""),"KETLEN LORRANE DO NASCIMENTO DA SILVA")</f>
        <v/>
      </c>
      <c r="AS6" s="34">
        <f>IFERROR(__xludf.DUMMYFUNCTION("""COMPUTED_VALUE"""),"Turma E")</f>
        <v/>
      </c>
      <c r="AU6" s="34" t="inlineStr">
        <is>
          <t>Até 51Kg</t>
        </is>
      </c>
      <c r="AV6" s="34" t="inlineStr">
        <is>
          <t>Até 51Kg</t>
        </is>
      </c>
    </row>
    <row r="7">
      <c r="A7" s="34">
        <f>IFERROR(__xludf.DUMMYFUNCTION("""COMPUTED_VALUE"""),"AQUIRIZ ARAUJO DE FREITAS")</f>
        <v/>
      </c>
      <c r="B7" s="34">
        <f>IFERROR(__xludf.DUMMYFUNCTION("""COMPUTED_VALUE"""),"Turma C")</f>
        <v/>
      </c>
      <c r="C7" s="34">
        <f>IFERROR(__xludf.DUMMYFUNCTION("""COMPUTED_VALUE"""),"Vespertino")</f>
        <v/>
      </c>
      <c r="D7" s="34" t="inlineStr">
        <is>
          <t>Veio</t>
        </is>
      </c>
      <c r="E7" s="34" t="inlineStr">
        <is>
          <t>INFANTIL</t>
        </is>
      </c>
      <c r="F7" s="34" t="inlineStr">
        <is>
          <t>MASCULINO</t>
        </is>
      </c>
      <c r="I7" s="34">
        <f>IFERROR(__xludf.DUMMYFUNCTION("""COMPUTED_VALUE"""),"ERIK KAUAN DE SOUSA SILVA")</f>
        <v/>
      </c>
      <c r="J7" s="34">
        <f>IFERROR(__xludf.DUMMYFUNCTION("""COMPUTED_VALUE"""),"Turma B1")</f>
        <v/>
      </c>
      <c r="L7" s="34" t="inlineStr">
        <is>
          <t>Acima de 38Kg</t>
        </is>
      </c>
      <c r="M7" s="34" t="inlineStr">
        <is>
          <t>Até 28Kg</t>
        </is>
      </c>
      <c r="P7" s="34">
        <f>IFERROR(__xludf.DUMMYFUNCTION("""COMPUTED_VALUE"""),"Estela Martins Lopes")</f>
        <v/>
      </c>
      <c r="Q7" s="34">
        <f>IFERROR(__xludf.DUMMYFUNCTION("""COMPUTED_VALUE"""),"Turma A")</f>
        <v/>
      </c>
      <c r="S7" s="34" t="inlineStr">
        <is>
          <t>Até 36Kg</t>
        </is>
      </c>
      <c r="T7" s="34" t="inlineStr">
        <is>
          <t>Até 28Kg</t>
        </is>
      </c>
      <c r="U7" s="34" t="n"/>
      <c r="W7" s="34">
        <f>IFERROR(__xludf.DUMMYFUNCTION("""COMPUTED_VALUE"""),"Carlos Eduardo De Souza")</f>
        <v/>
      </c>
      <c r="X7" s="34">
        <f>IFERROR(__xludf.DUMMYFUNCTION("""COMPUTED_VALUE"""),"Turma D")</f>
        <v/>
      </c>
      <c r="Z7" s="34" t="inlineStr">
        <is>
          <t>Até 40Kg</t>
        </is>
      </c>
      <c r="AA7" s="34" t="inlineStr">
        <is>
          <t>Até 45Kg</t>
        </is>
      </c>
      <c r="AB7" s="34" t="n"/>
      <c r="AD7" s="34">
        <f>IFERROR(__xludf.DUMMYFUNCTION("""COMPUTED_VALUE"""),"IARA YASMIN FERREIRA IZEL")</f>
        <v/>
      </c>
      <c r="AE7" s="34">
        <f>IFERROR(__xludf.DUMMYFUNCTION("""COMPUTED_VALUE"""),"Turma B1")</f>
        <v/>
      </c>
      <c r="AG7" s="34" t="inlineStr">
        <is>
          <t>Até 45Kg</t>
        </is>
      </c>
      <c r="AH7" s="34" t="inlineStr">
        <is>
          <t>Até 45Kg</t>
        </is>
      </c>
      <c r="AI7" s="34" t="n"/>
      <c r="AK7" s="34">
        <f>IFERROR(__xludf.DUMMYFUNCTION("""COMPUTED_VALUE"""),"JOÃO PEDRO JESUS SOUZA")</f>
        <v/>
      </c>
      <c r="AL7" s="34">
        <f>IFERROR(__xludf.DUMMYFUNCTION("""COMPUTED_VALUE"""),"Turma E")</f>
        <v/>
      </c>
      <c r="AN7" s="34" t="inlineStr">
        <is>
          <t>Até 61Kg</t>
        </is>
      </c>
      <c r="AO7" s="34" t="inlineStr">
        <is>
          <t>Até 61Kg</t>
        </is>
      </c>
      <c r="AP7" s="34" t="n"/>
      <c r="AR7" s="34">
        <f>IFERROR(__xludf.DUMMYFUNCTION("""COMPUTED_VALUE"""),"Lorena De Paiva Leite")</f>
        <v/>
      </c>
      <c r="AS7" s="34">
        <f>IFERROR(__xludf.DUMMYFUNCTION("""COMPUTED_VALUE"""),"Turma D")</f>
        <v/>
      </c>
      <c r="AU7" s="34" t="inlineStr">
        <is>
          <t>Até 51Kg</t>
        </is>
      </c>
      <c r="AV7" s="34" t="inlineStr">
        <is>
          <t>Até 59Kg</t>
        </is>
      </c>
    </row>
    <row r="8">
      <c r="A8" s="34">
        <f>IFERROR(__xludf.DUMMYFUNCTION("""COMPUTED_VALUE"""),"Breno Henrique Germano Dos Santos")</f>
        <v/>
      </c>
      <c r="B8" s="34">
        <f>IFERROR(__xludf.DUMMYFUNCTION("""COMPUTED_VALUE"""),"Turma C")</f>
        <v/>
      </c>
      <c r="C8" s="34">
        <f>IFERROR(__xludf.DUMMYFUNCTION("""COMPUTED_VALUE"""),"Matutino")</f>
        <v/>
      </c>
      <c r="D8" s="34" t="inlineStr">
        <is>
          <t>Veio</t>
        </is>
      </c>
      <c r="E8" s="34" t="inlineStr">
        <is>
          <t>INFANTIL</t>
        </is>
      </c>
      <c r="F8" s="34" t="inlineStr">
        <is>
          <t>MASCULINO</t>
        </is>
      </c>
      <c r="I8" s="34">
        <f>IFERROR(__xludf.DUMMYFUNCTION("""COMPUTED_VALUE"""),"LUIZ FELIPE POLICARPO DOS SANTOS")</f>
        <v/>
      </c>
      <c r="J8" s="34">
        <f>IFERROR(__xludf.DUMMYFUNCTION("""COMPUTED_VALUE"""),"Turma A")</f>
        <v/>
      </c>
      <c r="L8" s="34" t="inlineStr">
        <is>
          <t>Até 32Kg</t>
        </is>
      </c>
      <c r="M8" s="34" t="inlineStr">
        <is>
          <t>Até 30Kg</t>
        </is>
      </c>
      <c r="P8" s="34">
        <f>IFERROR(__xludf.DUMMYFUNCTION("""COMPUTED_VALUE"""),"HELLOARA SANTOS DE LIMA")</f>
        <v/>
      </c>
      <c r="Q8" s="34">
        <f>IFERROR(__xludf.DUMMYFUNCTION("""COMPUTED_VALUE"""),"Turma B2")</f>
        <v/>
      </c>
      <c r="R8" s="34" t="n">
        <v>3</v>
      </c>
      <c r="S8" s="34" t="inlineStr">
        <is>
          <t>Acima de 38Kg</t>
        </is>
      </c>
      <c r="T8" s="34" t="inlineStr">
        <is>
          <t>Até 30Kg</t>
        </is>
      </c>
      <c r="U8" s="34" t="n"/>
      <c r="W8" s="34">
        <f>IFERROR(__xludf.DUMMYFUNCTION("""COMPUTED_VALUE"""),"CARLOS EDUARDO GENUINO DE ALENCAR")</f>
        <v/>
      </c>
      <c r="X8" s="34">
        <f>IFERROR(__xludf.DUMMYFUNCTION("""COMPUTED_VALUE"""),"Turma C")</f>
        <v/>
      </c>
      <c r="Z8" s="34" t="inlineStr">
        <is>
          <t>Acima de 45Kg</t>
        </is>
      </c>
      <c r="AA8" s="34" t="inlineStr">
        <is>
          <t>Acima de 45Kg</t>
        </is>
      </c>
      <c r="AB8" s="34" t="n"/>
      <c r="AD8" s="34">
        <f>IFERROR(__xludf.DUMMYFUNCTION("""COMPUTED_VALUE"""),"Kamily Barbosa Lemes")</f>
        <v/>
      </c>
      <c r="AE8" s="34">
        <f>IFERROR(__xludf.DUMMYFUNCTION("""COMPUTED_VALUE"""),"Turma C")</f>
        <v/>
      </c>
      <c r="AG8" s="34" t="inlineStr">
        <is>
          <t>Até 45Kg</t>
        </is>
      </c>
      <c r="AH8" s="34" t="inlineStr">
        <is>
          <t>Acima de 45Kg</t>
        </is>
      </c>
      <c r="AI8" s="34" t="n"/>
      <c r="AK8" s="34">
        <f>IFERROR(__xludf.DUMMYFUNCTION("""COMPUTED_VALUE"""),"Nicolas Araújo De Souza")</f>
        <v/>
      </c>
      <c r="AL8" s="34">
        <f>IFERROR(__xludf.DUMMYFUNCTION("""COMPUTED_VALUE"""),"Turma D")</f>
        <v/>
      </c>
      <c r="AN8" s="34" t="inlineStr">
        <is>
          <t>Acima de 61Kg</t>
        </is>
      </c>
      <c r="AO8" s="34" t="inlineStr">
        <is>
          <t>Acima de 61Kg</t>
        </is>
      </c>
      <c r="AP8" s="34" t="n"/>
      <c r="AR8" s="34">
        <f>IFERROR(__xludf.DUMMYFUNCTION("""COMPUTED_VALUE"""),"Mariah Sophia Sales Aniceto")</f>
        <v/>
      </c>
      <c r="AS8" s="34">
        <f>IFERROR(__xludf.DUMMYFUNCTION("""COMPUTED_VALUE"""),"Turma D")</f>
        <v/>
      </c>
      <c r="AU8" s="34" t="inlineStr">
        <is>
          <t>Até 51Kg</t>
        </is>
      </c>
      <c r="AV8" s="34" t="inlineStr">
        <is>
          <t>Acima de 59Kg</t>
        </is>
      </c>
    </row>
    <row r="9">
      <c r="A9" s="34">
        <f>IFERROR(__xludf.DUMMYFUNCTION("""COMPUTED_VALUE"""),"CARLOS DANIEL BARROSO FERREIRA")</f>
        <v/>
      </c>
      <c r="B9" s="34">
        <f>IFERROR(__xludf.DUMMYFUNCTION("""COMPUTED_VALUE"""),"Turma C")</f>
        <v/>
      </c>
      <c r="C9" s="34">
        <f>IFERROR(__xludf.DUMMYFUNCTION("""COMPUTED_VALUE"""),"Vespertino")</f>
        <v/>
      </c>
      <c r="D9" s="34" t="inlineStr">
        <is>
          <t>Veio</t>
        </is>
      </c>
      <c r="E9" s="34" t="inlineStr">
        <is>
          <t>INFANTIL</t>
        </is>
      </c>
      <c r="F9" s="34" t="inlineStr">
        <is>
          <t>MASCULINO</t>
        </is>
      </c>
      <c r="I9" s="34">
        <f>IFERROR(__xludf.DUMMYFUNCTION("""COMPUTED_VALUE"""),"MARCOS ANTÔNIO TRINDADE DA SILVA")</f>
        <v/>
      </c>
      <c r="J9" s="34">
        <f>IFERROR(__xludf.DUMMYFUNCTION("""COMPUTED_VALUE"""),"Turma B1")</f>
        <v/>
      </c>
      <c r="K9" s="34" t="n">
        <v>3</v>
      </c>
      <c r="L9" s="34" t="inlineStr">
        <is>
          <t>Até 34Kg</t>
        </is>
      </c>
      <c r="M9" s="34" t="inlineStr">
        <is>
          <t>Até 32Kg</t>
        </is>
      </c>
      <c r="P9" s="34">
        <f>IFERROR(__xludf.DUMMYFUNCTION("""COMPUTED_VALUE"""),"JHENIFFER YASMIN MENDES MORAES")</f>
        <v/>
      </c>
      <c r="Q9" s="34">
        <f>IFERROR(__xludf.DUMMYFUNCTION("""COMPUTED_VALUE"""),"Turma A")</f>
        <v/>
      </c>
      <c r="R9" s="34" t="n">
        <v>3</v>
      </c>
      <c r="S9" s="34" t="inlineStr">
        <is>
          <t>Até 32Kg</t>
        </is>
      </c>
      <c r="T9" s="34" t="inlineStr">
        <is>
          <t>Até 32Kg</t>
        </is>
      </c>
      <c r="U9" s="34" t="n"/>
      <c r="W9" s="34">
        <f>IFERROR(__xludf.DUMMYFUNCTION("""COMPUTED_VALUE"""),"Darlan Guilherme Sobreiro Romero Da Silva")</f>
        <v/>
      </c>
      <c r="X9" s="34">
        <f>IFERROR(__xludf.DUMMYFUNCTION("""COMPUTED_VALUE"""),"Turma D")</f>
        <v/>
      </c>
      <c r="Y9" s="34" t="n">
        <v>3</v>
      </c>
      <c r="Z9" s="34" t="inlineStr">
        <is>
          <t>Até 40Kg</t>
        </is>
      </c>
      <c r="AD9" s="34" t="n"/>
      <c r="AE9" s="34" t="n"/>
      <c r="AK9" s="34">
        <f>IFERROR(__xludf.DUMMYFUNCTION("""COMPUTED_VALUE"""),"SAMUEL JUNIOR VERDAN FRANCISCO")</f>
        <v/>
      </c>
      <c r="AL9" s="34">
        <f>IFERROR(__xludf.DUMMYFUNCTION("""COMPUTED_VALUE"""),"Turma D")</f>
        <v/>
      </c>
      <c r="AM9" s="34" t="n">
        <v>3</v>
      </c>
      <c r="AN9" s="34" t="inlineStr">
        <is>
          <t>Acima de 61Kg</t>
        </is>
      </c>
      <c r="AR9" s="34">
        <f>IFERROR(__xludf.DUMMYFUNCTION("""COMPUTED_VALUE"""),"Valdenira Silva Do Nascimento")</f>
        <v/>
      </c>
      <c r="AS9" s="34">
        <f>IFERROR(__xludf.DUMMYFUNCTION("""COMPUTED_VALUE"""),"Turma D")</f>
        <v/>
      </c>
      <c r="AT9" s="34" t="n">
        <v>3</v>
      </c>
      <c r="AU9" s="34" t="inlineStr">
        <is>
          <t>Até 44Kg</t>
        </is>
      </c>
    </row>
    <row r="10">
      <c r="A10" s="34">
        <f>IFERROR(__xludf.DUMMYFUNCTION("""COMPUTED_VALUE"""),"Carlos Eduardo De Souza")</f>
        <v/>
      </c>
      <c r="B10" s="34">
        <f>IFERROR(__xludf.DUMMYFUNCTION("""COMPUTED_VALUE"""),"Turma D")</f>
        <v/>
      </c>
      <c r="C10" s="34">
        <f>IFERROR(__xludf.DUMMYFUNCTION("""COMPUTED_VALUE"""),"Vespertino")</f>
        <v/>
      </c>
      <c r="D10" s="34" t="inlineStr">
        <is>
          <t>Veio</t>
        </is>
      </c>
      <c r="E10" s="34" t="inlineStr">
        <is>
          <t>INFANTIL</t>
        </is>
      </c>
      <c r="F10" s="34" t="inlineStr">
        <is>
          <t>MASCULINO</t>
        </is>
      </c>
      <c r="I10" s="34">
        <f>IFERROR(__xludf.DUMMYFUNCTION("""COMPUTED_VALUE"""),"MIGUEL AUGUSTO DE LIMA TRINDADE")</f>
        <v/>
      </c>
      <c r="J10" s="34">
        <f>IFERROR(__xludf.DUMMYFUNCTION("""COMPUTED_VALUE"""),"Turma B1")</f>
        <v/>
      </c>
      <c r="K10" s="34" t="n">
        <v>3</v>
      </c>
      <c r="L10" s="34" t="inlineStr">
        <is>
          <t>Até 28Kg</t>
        </is>
      </c>
      <c r="M10" s="34" t="inlineStr">
        <is>
          <t>Até 34Kg</t>
        </is>
      </c>
      <c r="P10" s="34">
        <f>IFERROR(__xludf.DUMMYFUNCTION("""COMPUTED_VALUE"""),"Julia Emanuelly Lavratti Oliveira")</f>
        <v/>
      </c>
      <c r="Q10" s="34">
        <f>IFERROR(__xludf.DUMMYFUNCTION("""COMPUTED_VALUE"""),"Turma A")</f>
        <v/>
      </c>
      <c r="S10" s="34" t="inlineStr">
        <is>
          <t>Até 28Kg</t>
        </is>
      </c>
      <c r="T10" s="34" t="inlineStr">
        <is>
          <t>Até 34Kg</t>
        </is>
      </c>
      <c r="U10" s="34" t="n"/>
      <c r="W10" s="34">
        <f>IFERROR(__xludf.DUMMYFUNCTION("""COMPUTED_VALUE"""),"DAVI LORENZO BARBOSA MOREIRA")</f>
        <v/>
      </c>
      <c r="X10" s="34">
        <f>IFERROR(__xludf.DUMMYFUNCTION("""COMPUTED_VALUE"""),"Turma C")</f>
        <v/>
      </c>
      <c r="Z10" s="34" t="inlineStr">
        <is>
          <t>Até 35Kg</t>
        </is>
      </c>
      <c r="AK10" s="34">
        <f>IFERROR(__xludf.DUMMYFUNCTION("""COMPUTED_VALUE"""),"WEVERTON LEONARDO VIEIRA MARTINS")</f>
        <v/>
      </c>
      <c r="AL10" s="34">
        <f>IFERROR(__xludf.DUMMYFUNCTION("""COMPUTED_VALUE"""),"Turma D")</f>
        <v/>
      </c>
      <c r="AN10" s="34" t="inlineStr">
        <is>
          <t>Até 53Kg</t>
        </is>
      </c>
      <c r="AR10" s="34">
        <f>IFERROR(__xludf.DUMMYFUNCTION("""COMPUTED_VALUE"""),"YASMYN THAUANY ALCANTARA MONTEIRO")</f>
        <v/>
      </c>
      <c r="AS10" s="34">
        <f>IFERROR(__xludf.DUMMYFUNCTION("""COMPUTED_VALUE"""),"Turma D")</f>
        <v/>
      </c>
      <c r="AU10" s="34" t="inlineStr">
        <is>
          <t>Até 44Kg</t>
        </is>
      </c>
    </row>
    <row r="11">
      <c r="A11" s="34">
        <f>IFERROR(__xludf.DUMMYFUNCTION("""COMPUTED_VALUE"""),"CARLOS EDUARDO GENUINO DE ALENCAR")</f>
        <v/>
      </c>
      <c r="B11" s="34">
        <f>IFERROR(__xludf.DUMMYFUNCTION("""COMPUTED_VALUE"""),"Turma C")</f>
        <v/>
      </c>
      <c r="C11" s="34">
        <f>IFERROR(__xludf.DUMMYFUNCTION("""COMPUTED_VALUE"""),"Vespertino")</f>
        <v/>
      </c>
      <c r="D11" s="34" t="inlineStr">
        <is>
          <t>Veio</t>
        </is>
      </c>
      <c r="E11" s="34" t="inlineStr">
        <is>
          <t>INFANTIL</t>
        </is>
      </c>
      <c r="F11" s="34" t="inlineStr">
        <is>
          <t>MASCULINO</t>
        </is>
      </c>
      <c r="I11" s="34">
        <f>IFERROR(__xludf.DUMMYFUNCTION("""COMPUTED_VALUE"""),"MIGUEL NYKOLAS DUTRA ALMEIDA")</f>
        <v/>
      </c>
      <c r="J11" s="34">
        <f>IFERROR(__xludf.DUMMYFUNCTION("""COMPUTED_VALUE"""),"Turma B1")</f>
        <v/>
      </c>
      <c r="L11" s="34" t="inlineStr">
        <is>
          <t>Até 30Kg</t>
        </is>
      </c>
      <c r="M11" s="34" t="inlineStr">
        <is>
          <t>Até 36Kg</t>
        </is>
      </c>
      <c r="P11" s="34">
        <f>IFERROR(__xludf.DUMMYFUNCTION("""COMPUTED_VALUE"""),"Kamilly Alves De Souza")</f>
        <v/>
      </c>
      <c r="Q11" s="34">
        <f>IFERROR(__xludf.DUMMYFUNCTION("""COMPUTED_VALUE"""),"Turma A")</f>
        <v/>
      </c>
      <c r="R11" s="34" t="n">
        <v>3</v>
      </c>
      <c r="S11" s="34" t="inlineStr">
        <is>
          <t>Até 24Kg</t>
        </is>
      </c>
      <c r="T11" s="34" t="inlineStr">
        <is>
          <t>Até 36Kg</t>
        </is>
      </c>
      <c r="U11" s="34" t="n"/>
      <c r="W11" s="34">
        <f>IFERROR(__xludf.DUMMYFUNCTION("""COMPUTED_VALUE"""),"ENZO GABRIEL FERREIRA DOS SANTOS")</f>
        <v/>
      </c>
      <c r="X11" s="34">
        <f>IFERROR(__xludf.DUMMYFUNCTION("""COMPUTED_VALUE"""),"Turma B2")</f>
        <v/>
      </c>
      <c r="Z11" s="34" t="inlineStr">
        <is>
          <t>Até 35Kg</t>
        </is>
      </c>
      <c r="AN11" s="34" t="inlineStr">
        <is>
          <t>Até 53Kg</t>
        </is>
      </c>
    </row>
    <row r="12">
      <c r="A12" s="34">
        <f>IFERROR(__xludf.DUMMYFUNCTION("""COMPUTED_VALUE"""),"CAUÃ SOUZA PROCÓPIO DA SILVA")</f>
        <v/>
      </c>
      <c r="B12" s="34">
        <f>IFERROR(__xludf.DUMMYFUNCTION("""COMPUTED_VALUE"""),"Turma A")</f>
        <v/>
      </c>
      <c r="C12" s="34">
        <f>IFERROR(__xludf.DUMMYFUNCTION("""COMPUTED_VALUE"""),"Vespertino")</f>
        <v/>
      </c>
      <c r="D12" s="34" t="inlineStr">
        <is>
          <t>Veio</t>
        </is>
      </c>
      <c r="E12" s="34" t="inlineStr">
        <is>
          <t>MIRIM</t>
        </is>
      </c>
      <c r="F12" s="34" t="inlineStr">
        <is>
          <t>MASCULINO</t>
        </is>
      </c>
      <c r="I12" s="34">
        <f>IFERROR(__xludf.DUMMYFUNCTION("""COMPUTED_VALUE"""),"PEDRO HENRIQUE VIANA VELOSO")</f>
        <v/>
      </c>
      <c r="J12" s="34">
        <f>IFERROR(__xludf.DUMMYFUNCTION("""COMPUTED_VALUE"""),"Turma B1")</f>
        <v/>
      </c>
      <c r="L12" s="34" t="inlineStr">
        <is>
          <t>Até 28Kg</t>
        </is>
      </c>
      <c r="M12" s="34" t="inlineStr">
        <is>
          <t>Até 38Kg</t>
        </is>
      </c>
      <c r="P12" s="34">
        <f>IFERROR(__xludf.DUMMYFUNCTION("""COMPUTED_VALUE"""),"LUANA SOUSA RIVA")</f>
        <v/>
      </c>
      <c r="Q12" s="34">
        <f>IFERROR(__xludf.DUMMYFUNCTION("""COMPUTED_VALUE"""),"Turma B1")</f>
        <v/>
      </c>
      <c r="R12" s="34" t="n">
        <v>3</v>
      </c>
      <c r="S12" s="34" t="inlineStr">
        <is>
          <t>Até 36Kg</t>
        </is>
      </c>
      <c r="T12" s="34" t="inlineStr">
        <is>
          <t>Até 38Kg</t>
        </is>
      </c>
      <c r="U12" s="34" t="n"/>
      <c r="W12" s="34">
        <f>IFERROR(__xludf.DUMMYFUNCTION("""COMPUTED_VALUE"""),"GABRIEL MARTINS DOS SANTOS")</f>
        <v/>
      </c>
      <c r="X12" s="34">
        <f>IFERROR(__xludf.DUMMYFUNCTION("""COMPUTED_VALUE"""),"Turma C")</f>
        <v/>
      </c>
      <c r="Z12" s="34" t="inlineStr">
        <is>
          <t>Até 40Kg</t>
        </is>
      </c>
    </row>
    <row r="13">
      <c r="A13" s="34">
        <f>IFERROR(__xludf.DUMMYFUNCTION("""COMPUTED_VALUE"""),"CLAUDIA GABRIELY CAMARGO MOREIRA")</f>
        <v/>
      </c>
      <c r="B13" s="34">
        <f>IFERROR(__xludf.DUMMYFUNCTION("""COMPUTED_VALUE"""),"Turma D")</f>
        <v/>
      </c>
      <c r="C13" s="34">
        <f>IFERROR(__xludf.DUMMYFUNCTION("""COMPUTED_VALUE"""),"Matutino")</f>
        <v/>
      </c>
      <c r="D13" s="34" t="inlineStr">
        <is>
          <t>Veio</t>
        </is>
      </c>
      <c r="E13" s="34" t="inlineStr">
        <is>
          <t>INFANTIL</t>
        </is>
      </c>
      <c r="F13" s="34" t="inlineStr">
        <is>
          <t>FEMININO</t>
        </is>
      </c>
      <c r="I13" s="34">
        <f>IFERROR(__xludf.DUMMYFUNCTION("""COMPUTED_VALUE"""),"PIETRO HENRIQUE OLIVEIRA JACOMINO")</f>
        <v/>
      </c>
      <c r="J13" s="34">
        <f>IFERROR(__xludf.DUMMYFUNCTION("""COMPUTED_VALUE"""),"Turma A")</f>
        <v/>
      </c>
      <c r="K13" s="34" t="n">
        <v>3</v>
      </c>
      <c r="L13" s="34" t="inlineStr">
        <is>
          <t>Até 28Kg</t>
        </is>
      </c>
      <c r="M13" s="34" t="inlineStr">
        <is>
          <t>Acima de 38Kg</t>
        </is>
      </c>
      <c r="P13" s="34">
        <f>IFERROR(__xludf.DUMMYFUNCTION("""COMPUTED_VALUE"""),"MARIA EDUARDA SOBREIRO DA SILVA")</f>
        <v/>
      </c>
      <c r="Q13" s="34">
        <f>IFERROR(__xludf.DUMMYFUNCTION("""COMPUTED_VALUE"""),"Turma B1")</f>
        <v/>
      </c>
      <c r="S13" s="34" t="inlineStr">
        <is>
          <t>Até 32Kg</t>
        </is>
      </c>
      <c r="T13" s="34" t="inlineStr">
        <is>
          <t>Acima de 38Kg</t>
        </is>
      </c>
      <c r="U13" s="34" t="n"/>
      <c r="W13" s="34">
        <f>IFERROR(__xludf.DUMMYFUNCTION("""COMPUTED_VALUE"""),"Henrique Rocha Almeida")</f>
        <v/>
      </c>
      <c r="X13" s="34">
        <f>IFERROR(__xludf.DUMMYFUNCTION("""COMPUTED_VALUE"""),"Turma D")</f>
        <v/>
      </c>
      <c r="Z13" s="34" t="inlineStr">
        <is>
          <t>Acima de 45Kg</t>
        </is>
      </c>
    </row>
    <row r="14">
      <c r="A14" s="34">
        <f>IFERROR(__xludf.DUMMYFUNCTION("""COMPUTED_VALUE"""),"DANIEL VIEIRA MARTINS")</f>
        <v/>
      </c>
      <c r="B14" s="34">
        <f>IFERROR(__xludf.DUMMYFUNCTION("""COMPUTED_VALUE"""),"Turma B1")</f>
        <v/>
      </c>
      <c r="C14" s="34">
        <f>IFERROR(__xludf.DUMMYFUNCTION("""COMPUTED_VALUE"""),"Matutino")</f>
        <v/>
      </c>
      <c r="D14" s="34" t="inlineStr">
        <is>
          <t>Veio</t>
        </is>
      </c>
      <c r="E14" s="34" t="inlineStr">
        <is>
          <t>MIRIM</t>
        </is>
      </c>
      <c r="F14" s="34" t="inlineStr">
        <is>
          <t>MASCULINO</t>
        </is>
      </c>
      <c r="I14" s="34">
        <f>IFERROR(__xludf.DUMMYFUNCTION("""COMPUTED_VALUE"""),"RAFAEL MENDES DA SILVA")</f>
        <v/>
      </c>
      <c r="J14" s="34">
        <f>IFERROR(__xludf.DUMMYFUNCTION("""COMPUTED_VALUE"""),"Turma B1")</f>
        <v/>
      </c>
      <c r="L14" s="34" t="inlineStr">
        <is>
          <t>Até 24Kg</t>
        </is>
      </c>
      <c r="P14" s="34">
        <f>IFERROR(__xludf.DUMMYFUNCTION("""COMPUTED_VALUE"""),"MARIA FERNANDA DOS SANTOS KUBOTA")</f>
        <v/>
      </c>
      <c r="Q14" s="34">
        <f>IFERROR(__xludf.DUMMYFUNCTION("""COMPUTED_VALUE"""),"Turma B2")</f>
        <v/>
      </c>
      <c r="S14" s="34" t="inlineStr">
        <is>
          <t>Até 26Kg</t>
        </is>
      </c>
      <c r="W14" s="34">
        <f>IFERROR(__xludf.DUMMYFUNCTION("""COMPUTED_VALUE"""),"Luis Felipe Camargo Moreira")</f>
        <v/>
      </c>
      <c r="X14" s="34">
        <f>IFERROR(__xludf.DUMMYFUNCTION("""COMPUTED_VALUE"""),"Turma D")</f>
        <v/>
      </c>
      <c r="Z14" s="34" t="inlineStr">
        <is>
          <t>Até 45Kg</t>
        </is>
      </c>
    </row>
    <row r="15">
      <c r="A15" s="34">
        <f>IFERROR(__xludf.DUMMYFUNCTION("""COMPUTED_VALUE"""),"Danielly Hilary Almeida Martins")</f>
        <v/>
      </c>
      <c r="B15" s="34">
        <f>IFERROR(__xludf.DUMMYFUNCTION("""COMPUTED_VALUE"""),"Turma D")</f>
        <v/>
      </c>
      <c r="C15" s="34">
        <f>IFERROR(__xludf.DUMMYFUNCTION("""COMPUTED_VALUE"""),"Vespertino")</f>
        <v/>
      </c>
      <c r="D15" s="34" t="inlineStr">
        <is>
          <t>Veio</t>
        </is>
      </c>
      <c r="E15" s="34" t="inlineStr">
        <is>
          <t>CADETE</t>
        </is>
      </c>
      <c r="F15" s="34" t="inlineStr">
        <is>
          <t>FEMININO</t>
        </is>
      </c>
      <c r="I15" s="34">
        <f>IFERROR(__xludf.DUMMYFUNCTION("""COMPUTED_VALUE"""),"VICTOR EMANUEL ALMEIDA MARTINS")</f>
        <v/>
      </c>
      <c r="J15" s="34">
        <f>IFERROR(__xludf.DUMMYFUNCTION("""COMPUTED_VALUE"""),"Turma B1")</f>
        <v/>
      </c>
      <c r="K15" s="34" t="n">
        <v>3</v>
      </c>
      <c r="P15" s="34">
        <f>IFERROR(__xludf.DUMMYFUNCTION("""COMPUTED_VALUE"""),"NICOLLY DE PAULO DUTRA")</f>
        <v/>
      </c>
      <c r="Q15" s="34">
        <f>IFERROR(__xludf.DUMMYFUNCTION("""COMPUTED_VALUE"""),"Turma B1")</f>
        <v/>
      </c>
      <c r="S15" s="34" t="inlineStr">
        <is>
          <t>Até 36Kg</t>
        </is>
      </c>
      <c r="W15" s="34">
        <f>IFERROR(__xludf.DUMMYFUNCTION("""COMPUTED_VALUE"""),"PIETRO FRANCISCO GALVÃO DE JESUS")</f>
        <v/>
      </c>
      <c r="X15" s="34">
        <f>IFERROR(__xludf.DUMMYFUNCTION("""COMPUTED_VALUE"""),"Turma D")</f>
        <v/>
      </c>
      <c r="Z15" s="34" t="inlineStr">
        <is>
          <t>Até 40Kg</t>
        </is>
      </c>
    </row>
    <row r="16">
      <c r="A16" s="34">
        <f>IFERROR(__xludf.DUMMYFUNCTION("""COMPUTED_VALUE"""),"Darlan Guilherme Sobreiro Romero Da Silva")</f>
        <v/>
      </c>
      <c r="B16" s="34">
        <f>IFERROR(__xludf.DUMMYFUNCTION("""COMPUTED_VALUE"""),"Turma D")</f>
        <v/>
      </c>
      <c r="C16" s="34">
        <f>IFERROR(__xludf.DUMMYFUNCTION("""COMPUTED_VALUE"""),"Vespertino")</f>
        <v/>
      </c>
      <c r="D16" s="34" t="inlineStr">
        <is>
          <t>Veio</t>
        </is>
      </c>
      <c r="E16" s="34" t="inlineStr">
        <is>
          <t>INFANTIL</t>
        </is>
      </c>
      <c r="F16" s="34" t="inlineStr">
        <is>
          <t>MASCULINO</t>
        </is>
      </c>
      <c r="I16" s="34" t="n"/>
      <c r="J16" s="34" t="n"/>
      <c r="L16" s="34" t="inlineStr">
        <is>
          <t>Acima de 38Kg</t>
        </is>
      </c>
      <c r="P16" s="34">
        <f>IFERROR(__xludf.DUMMYFUNCTION("""COMPUTED_VALUE"""),"Raquel Vieira Martins")</f>
        <v/>
      </c>
      <c r="Q16" s="34">
        <f>IFERROR(__xludf.DUMMYFUNCTION("""COMPUTED_VALUE"""),"Turma A")</f>
        <v/>
      </c>
      <c r="S16" s="34" t="inlineStr">
        <is>
          <t>Até 32Kg</t>
        </is>
      </c>
      <c r="W16" s="34">
        <f>IFERROR(__xludf.DUMMYFUNCTION("""COMPUTED_VALUE"""),"Ruan Brayan Alcantara Monteiro")</f>
        <v/>
      </c>
      <c r="X16" s="34">
        <f>IFERROR(__xludf.DUMMYFUNCTION("""COMPUTED_VALUE"""),"Turma D")</f>
        <v/>
      </c>
      <c r="Z16" s="34" t="inlineStr">
        <is>
          <t>Até 45Kg</t>
        </is>
      </c>
    </row>
    <row r="17">
      <c r="A17" s="34">
        <f>IFERROR(__xludf.DUMMYFUNCTION("""COMPUTED_VALUE"""),"DAVI LORENZO BARBOSA MOREIRA")</f>
        <v/>
      </c>
      <c r="B17" s="34">
        <f>IFERROR(__xludf.DUMMYFUNCTION("""COMPUTED_VALUE"""),"Turma C")</f>
        <v/>
      </c>
      <c r="C17" s="34">
        <f>IFERROR(__xludf.DUMMYFUNCTION("""COMPUTED_VALUE"""),"Vespertino")</f>
        <v/>
      </c>
      <c r="D17" s="34" t="inlineStr">
        <is>
          <t>Veio</t>
        </is>
      </c>
      <c r="E17" s="34" t="inlineStr">
        <is>
          <t>INFANTIL</t>
        </is>
      </c>
      <c r="F17" s="34" t="inlineStr">
        <is>
          <t>MASCULINO</t>
        </is>
      </c>
      <c r="I17" s="34" t="n"/>
      <c r="J17" s="34" t="n"/>
      <c r="W17" s="34">
        <f>IFERROR(__xludf.DUMMYFUNCTION("""COMPUTED_VALUE"""),"Thalles Ramon Da Pascoa Silva")</f>
        <v/>
      </c>
      <c r="X17" s="34">
        <f>IFERROR(__xludf.DUMMYFUNCTION("""COMPUTED_VALUE"""),"Turma D")</f>
        <v/>
      </c>
      <c r="Z17" s="34" t="inlineStr">
        <is>
          <t>Até 35Kg</t>
        </is>
      </c>
    </row>
    <row r="18">
      <c r="A18" s="34">
        <f>IFERROR(__xludf.DUMMYFUNCTION("""COMPUTED_VALUE"""),"DAVY THAYLOM OLIVEIRA DOS SANTOS")</f>
        <v/>
      </c>
      <c r="B18" s="34">
        <f>IFERROR(__xludf.DUMMYFUNCTION("""COMPUTED_VALUE"""),"Turma A")</f>
        <v/>
      </c>
      <c r="C18" s="34">
        <f>IFERROR(__xludf.DUMMYFUNCTION("""COMPUTED_VALUE"""),"Vespertino")</f>
        <v/>
      </c>
      <c r="D18" s="34" t="inlineStr">
        <is>
          <t>Veio</t>
        </is>
      </c>
      <c r="E18" s="34" t="inlineStr">
        <is>
          <t>MIRIM</t>
        </is>
      </c>
      <c r="F18" s="34" t="inlineStr">
        <is>
          <t>MASCULINO</t>
        </is>
      </c>
      <c r="W18" s="34">
        <f>IFERROR(__xludf.DUMMYFUNCTION("""COMPUTED_VALUE"""),"THIAGO PAULINO PEREIRA DE ARAÚJO")</f>
        <v/>
      </c>
      <c r="X18" s="34">
        <f>IFERROR(__xludf.DUMMYFUNCTION("""COMPUTED_VALUE"""),"Turma B1")</f>
        <v/>
      </c>
      <c r="Z18" s="34" t="inlineStr">
        <is>
          <t>Até 35Kg</t>
        </is>
      </c>
    </row>
    <row r="19">
      <c r="A19" s="34">
        <f>IFERROR(__xludf.DUMMYFUNCTION("""COMPUTED_VALUE"""),"DIEGO RENAN OLIVEIRA DA SILVA")</f>
        <v/>
      </c>
      <c r="B19" s="34">
        <f>IFERROR(__xludf.DUMMYFUNCTION("""COMPUTED_VALUE"""),"Turma E")</f>
        <v/>
      </c>
      <c r="C19" s="34">
        <f>IFERROR(__xludf.DUMMYFUNCTION("""COMPUTED_VALUE"""),"Vespertino")</f>
        <v/>
      </c>
      <c r="D19" s="34" t="inlineStr">
        <is>
          <t>Veio</t>
        </is>
      </c>
      <c r="E19" s="34" t="inlineStr">
        <is>
          <t>CADETE</t>
        </is>
      </c>
      <c r="F19" s="34" t="inlineStr">
        <is>
          <t>MASCULINO</t>
        </is>
      </c>
    </row>
    <row r="20">
      <c r="A20" s="34">
        <f>IFERROR(__xludf.DUMMYFUNCTION("""COMPUTED_VALUE"""),"EMILLY VICTÓRIA DO NASCIMENTO BEZERRA")</f>
        <v/>
      </c>
      <c r="B20" s="34">
        <f>IFERROR(__xludf.DUMMYFUNCTION("""COMPUTED_VALUE"""),"Turma B2")</f>
        <v/>
      </c>
      <c r="C20" s="34">
        <f>IFERROR(__xludf.DUMMYFUNCTION("""COMPUTED_VALUE"""),"Vespertino")</f>
        <v/>
      </c>
      <c r="D20" s="34" t="inlineStr">
        <is>
          <t>Veio</t>
        </is>
      </c>
      <c r="E20" s="34" t="inlineStr">
        <is>
          <t>INFANTIL</t>
        </is>
      </c>
      <c r="F20" s="34" t="inlineStr">
        <is>
          <t>FEMININO</t>
        </is>
      </c>
    </row>
    <row r="21">
      <c r="A21" s="34">
        <f>IFERROR(__xludf.DUMMYFUNCTION("""COMPUTED_VALUE"""),"ENZO GABRIEL FERREIRA DOS SANTOS")</f>
        <v/>
      </c>
      <c r="B21" s="34">
        <f>IFERROR(__xludf.DUMMYFUNCTION("""COMPUTED_VALUE"""),"Turma B2")</f>
        <v/>
      </c>
      <c r="C21" s="34">
        <f>IFERROR(__xludf.DUMMYFUNCTION("""COMPUTED_VALUE"""),"Vespertino")</f>
        <v/>
      </c>
      <c r="D21" s="34" t="inlineStr">
        <is>
          <t>Veio</t>
        </is>
      </c>
      <c r="E21" s="34" t="inlineStr">
        <is>
          <t>INFANTIL</t>
        </is>
      </c>
      <c r="F21" s="34" t="inlineStr">
        <is>
          <t>MASCULINO</t>
        </is>
      </c>
    </row>
    <row r="22">
      <c r="A22" s="34">
        <f>IFERROR(__xludf.DUMMYFUNCTION("""COMPUTED_VALUE"""),"ERIK KAUAN DE SOUSA SILVA")</f>
        <v/>
      </c>
      <c r="B22" s="34">
        <f>IFERROR(__xludf.DUMMYFUNCTION("""COMPUTED_VALUE"""),"Turma B1")</f>
        <v/>
      </c>
      <c r="C22" s="34">
        <f>IFERROR(__xludf.DUMMYFUNCTION("""COMPUTED_VALUE"""),"Matutino")</f>
        <v/>
      </c>
      <c r="D22" s="34" t="inlineStr">
        <is>
          <t>Veio</t>
        </is>
      </c>
      <c r="E22" s="34" t="inlineStr">
        <is>
          <t>MIRIM</t>
        </is>
      </c>
      <c r="F22" s="34" t="inlineStr">
        <is>
          <t>MASCULINO</t>
        </is>
      </c>
    </row>
    <row r="23">
      <c r="A23" s="34">
        <f>IFERROR(__xludf.DUMMYFUNCTION("""COMPUTED_VALUE"""),"Estela Martins Lopes")</f>
        <v/>
      </c>
      <c r="B23" s="34">
        <f>IFERROR(__xludf.DUMMYFUNCTION("""COMPUTED_VALUE"""),"Turma A")</f>
        <v/>
      </c>
      <c r="C23" s="34">
        <f>IFERROR(__xludf.DUMMYFUNCTION("""COMPUTED_VALUE"""),"Matutino")</f>
        <v/>
      </c>
      <c r="D23" s="34" t="inlineStr">
        <is>
          <t>Veio</t>
        </is>
      </c>
      <c r="E23" s="34" t="inlineStr">
        <is>
          <t>MIRIM</t>
        </is>
      </c>
      <c r="F23" s="34" t="inlineStr">
        <is>
          <t>FEMININO</t>
        </is>
      </c>
    </row>
    <row r="24">
      <c r="A24" s="34">
        <f>IFERROR(__xludf.DUMMYFUNCTION("""COMPUTED_VALUE"""),"GABRIEL MARTINS DOS SANTOS")</f>
        <v/>
      </c>
      <c r="B24" s="34">
        <f>IFERROR(__xludf.DUMMYFUNCTION("""COMPUTED_VALUE"""),"Turma C")</f>
        <v/>
      </c>
      <c r="C24" s="34">
        <f>IFERROR(__xludf.DUMMYFUNCTION("""COMPUTED_VALUE"""),"Vespertino")</f>
        <v/>
      </c>
      <c r="D24" s="34" t="inlineStr">
        <is>
          <t>Veio</t>
        </is>
      </c>
      <c r="E24" s="34" t="inlineStr">
        <is>
          <t>INFANTIL</t>
        </is>
      </c>
      <c r="F24" s="34" t="inlineStr">
        <is>
          <t>MASCULINO</t>
        </is>
      </c>
    </row>
    <row r="25">
      <c r="A25" s="34">
        <f>IFERROR(__xludf.DUMMYFUNCTION("""COMPUTED_VALUE"""),"GUSTAVO GALVÃO DE JESUS")</f>
        <v/>
      </c>
      <c r="B25" s="34">
        <f>IFERROR(__xludf.DUMMYFUNCTION("""COMPUTED_VALUE"""),"Turma D")</f>
        <v/>
      </c>
      <c r="C25" s="34">
        <f>IFERROR(__xludf.DUMMYFUNCTION("""COMPUTED_VALUE"""),"Matutino")</f>
        <v/>
      </c>
      <c r="D25" s="34" t="inlineStr">
        <is>
          <t>Veio</t>
        </is>
      </c>
      <c r="E25" s="34" t="inlineStr">
        <is>
          <t>CADETE</t>
        </is>
      </c>
      <c r="F25" s="34" t="inlineStr">
        <is>
          <t>MASCULINO</t>
        </is>
      </c>
    </row>
    <row r="26">
      <c r="A26" s="34">
        <f>IFERROR(__xludf.DUMMYFUNCTION("""COMPUTED_VALUE"""),"HELLOARA SANTOS DE LIMA")</f>
        <v/>
      </c>
      <c r="B26" s="34">
        <f>IFERROR(__xludf.DUMMYFUNCTION("""COMPUTED_VALUE"""),"Turma B2")</f>
        <v/>
      </c>
      <c r="C26" s="34">
        <f>IFERROR(__xludf.DUMMYFUNCTION("""COMPUTED_VALUE"""),"Matutino")</f>
        <v/>
      </c>
      <c r="D26" s="34" t="inlineStr">
        <is>
          <t>Veio</t>
        </is>
      </c>
      <c r="E26" s="34" t="inlineStr">
        <is>
          <t>MIRIM</t>
        </is>
      </c>
      <c r="F26" s="34" t="inlineStr">
        <is>
          <t>FEMININO</t>
        </is>
      </c>
    </row>
    <row r="27">
      <c r="A27" s="34">
        <f>IFERROR(__xludf.DUMMYFUNCTION("""COMPUTED_VALUE"""),"Henrique Rocha Almeida")</f>
        <v/>
      </c>
      <c r="B27" s="34">
        <f>IFERROR(__xludf.DUMMYFUNCTION("""COMPUTED_VALUE"""),"Turma D")</f>
        <v/>
      </c>
      <c r="C27" s="34">
        <f>IFERROR(__xludf.DUMMYFUNCTION("""COMPUTED_VALUE"""),"Vespertino")</f>
        <v/>
      </c>
      <c r="D27" s="34" t="inlineStr">
        <is>
          <t>Veio</t>
        </is>
      </c>
      <c r="E27" s="34" t="inlineStr">
        <is>
          <t>INFANTIL</t>
        </is>
      </c>
      <c r="F27" s="34" t="inlineStr">
        <is>
          <t>MASCULINO</t>
        </is>
      </c>
    </row>
    <row r="28">
      <c r="A28" s="34">
        <f>IFERROR(__xludf.DUMMYFUNCTION("""COMPUTED_VALUE"""),"IARA YASMIN FERREIRA IZEL")</f>
        <v/>
      </c>
      <c r="B28" s="34">
        <f>IFERROR(__xludf.DUMMYFUNCTION("""COMPUTED_VALUE"""),"Turma B1")</f>
        <v/>
      </c>
      <c r="C28" s="34">
        <f>IFERROR(__xludf.DUMMYFUNCTION("""COMPUTED_VALUE"""),"Vespertino")</f>
        <v/>
      </c>
      <c r="D28" s="34" t="inlineStr">
        <is>
          <t>Veio</t>
        </is>
      </c>
      <c r="E28" s="34" t="inlineStr">
        <is>
          <t>INFANTIL</t>
        </is>
      </c>
      <c r="F28" s="34" t="inlineStr">
        <is>
          <t>FEMININO</t>
        </is>
      </c>
    </row>
    <row r="29">
      <c r="A29" s="34">
        <f>IFERROR(__xludf.DUMMYFUNCTION("""COMPUTED_VALUE"""),"JHENIFFER YASMIN MENDES MORAES")</f>
        <v/>
      </c>
      <c r="B29" s="34">
        <f>IFERROR(__xludf.DUMMYFUNCTION("""COMPUTED_VALUE"""),"Turma A")</f>
        <v/>
      </c>
      <c r="C29" s="34">
        <f>IFERROR(__xludf.DUMMYFUNCTION("""COMPUTED_VALUE"""),"Vespertino")</f>
        <v/>
      </c>
      <c r="D29" s="34" t="inlineStr">
        <is>
          <t>Veio</t>
        </is>
      </c>
      <c r="E29" s="34" t="inlineStr">
        <is>
          <t>MIRIM</t>
        </is>
      </c>
      <c r="F29" s="34" t="inlineStr">
        <is>
          <t>FEMININO</t>
        </is>
      </c>
    </row>
    <row r="30">
      <c r="A30" s="34">
        <f>IFERROR(__xludf.DUMMYFUNCTION("""COMPUTED_VALUE"""),"JOÃO PEDRO JESUS SOUZA")</f>
        <v/>
      </c>
      <c r="B30" s="34">
        <f>IFERROR(__xludf.DUMMYFUNCTION("""COMPUTED_VALUE"""),"Turma E")</f>
        <v/>
      </c>
      <c r="C30" s="34">
        <f>IFERROR(__xludf.DUMMYFUNCTION("""COMPUTED_VALUE"""),"Vespertino")</f>
        <v/>
      </c>
      <c r="D30" s="34" t="inlineStr">
        <is>
          <t>Veio</t>
        </is>
      </c>
      <c r="E30" s="34" t="inlineStr">
        <is>
          <t>CADETE</t>
        </is>
      </c>
      <c r="F30" s="34" t="inlineStr">
        <is>
          <t>MASCULINO</t>
        </is>
      </c>
    </row>
    <row r="31">
      <c r="A31" s="34">
        <f>IFERROR(__xludf.DUMMYFUNCTION("""COMPUTED_VALUE"""),"Julia Emanuelly Lavratti Oliveira")</f>
        <v/>
      </c>
      <c r="B31" s="34">
        <f>IFERROR(__xludf.DUMMYFUNCTION("""COMPUTED_VALUE"""),"Turma A")</f>
        <v/>
      </c>
      <c r="C31" s="34">
        <f>IFERROR(__xludf.DUMMYFUNCTION("""COMPUTED_VALUE"""),"Matutino")</f>
        <v/>
      </c>
      <c r="D31" s="34" t="inlineStr">
        <is>
          <t>Veio</t>
        </is>
      </c>
      <c r="E31" s="34" t="inlineStr">
        <is>
          <t>MIRIM</t>
        </is>
      </c>
      <c r="F31" s="34" t="inlineStr">
        <is>
          <t>FEMININO</t>
        </is>
      </c>
    </row>
    <row r="32">
      <c r="A32" s="34">
        <f>IFERROR(__xludf.DUMMYFUNCTION("""COMPUTED_VALUE"""),"Kamilly Alves De Souza")</f>
        <v/>
      </c>
      <c r="B32" s="34">
        <f>IFERROR(__xludf.DUMMYFUNCTION("""COMPUTED_VALUE"""),"Turma A")</f>
        <v/>
      </c>
      <c r="C32" s="34">
        <f>IFERROR(__xludf.DUMMYFUNCTION("""COMPUTED_VALUE"""),"Matutino")</f>
        <v/>
      </c>
      <c r="D32" s="34" t="inlineStr">
        <is>
          <t>Veio</t>
        </is>
      </c>
      <c r="E32" s="34" t="inlineStr">
        <is>
          <t>MIRIM</t>
        </is>
      </c>
      <c r="F32" s="34" t="inlineStr">
        <is>
          <t>FEMININO</t>
        </is>
      </c>
    </row>
    <row r="33">
      <c r="A33" s="34">
        <f>IFERROR(__xludf.DUMMYFUNCTION("""COMPUTED_VALUE"""),"Kamily Barbosa Lemes")</f>
        <v/>
      </c>
      <c r="B33" s="34">
        <f>IFERROR(__xludf.DUMMYFUNCTION("""COMPUTED_VALUE"""),"Turma C")</f>
        <v/>
      </c>
      <c r="C33" s="34">
        <f>IFERROR(__xludf.DUMMYFUNCTION("""COMPUTED_VALUE"""),"Matutino")</f>
        <v/>
      </c>
      <c r="D33" s="34" t="inlineStr">
        <is>
          <t>Veio</t>
        </is>
      </c>
      <c r="E33" s="34" t="inlineStr">
        <is>
          <t>INFANTIL</t>
        </is>
      </c>
      <c r="F33" s="34" t="inlineStr">
        <is>
          <t>FEMININO</t>
        </is>
      </c>
    </row>
    <row r="34">
      <c r="A34" s="34">
        <f>IFERROR(__xludf.DUMMYFUNCTION("""COMPUTED_VALUE"""),"KAUANE BARBOSA LEMES")</f>
        <v/>
      </c>
      <c r="B34" s="34">
        <f>IFERROR(__xludf.DUMMYFUNCTION("""COMPUTED_VALUE"""),"Turma E")</f>
        <v/>
      </c>
      <c r="C34" s="34">
        <f>IFERROR(__xludf.DUMMYFUNCTION("""COMPUTED_VALUE"""),"Vespertino")</f>
        <v/>
      </c>
      <c r="D34" s="34" t="inlineStr">
        <is>
          <t>Veio</t>
        </is>
      </c>
      <c r="E34" s="34" t="inlineStr">
        <is>
          <t>CADETE</t>
        </is>
      </c>
      <c r="F34" s="34" t="inlineStr">
        <is>
          <t>FEMININO</t>
        </is>
      </c>
    </row>
    <row r="35">
      <c r="A35" s="34">
        <f>IFERROR(__xludf.DUMMYFUNCTION("""COMPUTED_VALUE"""),"KETLEN LORRANE DO NASCIMENTO DA SILVA")</f>
        <v/>
      </c>
      <c r="B35" s="34">
        <f>IFERROR(__xludf.DUMMYFUNCTION("""COMPUTED_VALUE"""),"Turma E")</f>
        <v/>
      </c>
      <c r="C35" s="34">
        <f>IFERROR(__xludf.DUMMYFUNCTION("""COMPUTED_VALUE"""),"Matutino")</f>
        <v/>
      </c>
      <c r="D35" s="34" t="inlineStr">
        <is>
          <t>Veio</t>
        </is>
      </c>
      <c r="E35" s="34" t="inlineStr">
        <is>
          <t>CADETE</t>
        </is>
      </c>
      <c r="F35" s="34" t="inlineStr">
        <is>
          <t>FEMININO</t>
        </is>
      </c>
    </row>
    <row r="36">
      <c r="A36" s="34">
        <f>IFERROR(__xludf.DUMMYFUNCTION("""COMPUTED_VALUE"""),"Lorena De Paiva Leite")</f>
        <v/>
      </c>
      <c r="B36" s="34">
        <f>IFERROR(__xludf.DUMMYFUNCTION("""COMPUTED_VALUE"""),"Turma D")</f>
        <v/>
      </c>
      <c r="C36" s="34">
        <f>IFERROR(__xludf.DUMMYFUNCTION("""COMPUTED_VALUE"""),"Vespertino")</f>
        <v/>
      </c>
      <c r="D36" s="34" t="inlineStr">
        <is>
          <t>Veio</t>
        </is>
      </c>
      <c r="E36" s="34" t="inlineStr">
        <is>
          <t>CADETE</t>
        </is>
      </c>
      <c r="F36" s="34" t="inlineStr">
        <is>
          <t>FEMININO</t>
        </is>
      </c>
    </row>
    <row r="37">
      <c r="A37" s="34">
        <f>IFERROR(__xludf.DUMMYFUNCTION("""COMPUTED_VALUE"""),"LUANA SOUSA RIVA")</f>
        <v/>
      </c>
      <c r="B37" s="34">
        <f>IFERROR(__xludf.DUMMYFUNCTION("""COMPUTED_VALUE"""),"Turma B1")</f>
        <v/>
      </c>
      <c r="C37" s="34">
        <f>IFERROR(__xludf.DUMMYFUNCTION("""COMPUTED_VALUE"""),"Matutino")</f>
        <v/>
      </c>
      <c r="D37" s="34" t="inlineStr">
        <is>
          <t>Veio</t>
        </is>
      </c>
      <c r="E37" s="34" t="inlineStr">
        <is>
          <t>MIRIM</t>
        </is>
      </c>
      <c r="F37" s="34" t="inlineStr">
        <is>
          <t>FEMININO</t>
        </is>
      </c>
    </row>
    <row r="38">
      <c r="A38" s="34">
        <f>IFERROR(__xludf.DUMMYFUNCTION("""COMPUTED_VALUE"""),"Luis Felipe Camargo Moreira")</f>
        <v/>
      </c>
      <c r="B38" s="34">
        <f>IFERROR(__xludf.DUMMYFUNCTION("""COMPUTED_VALUE"""),"Turma D")</f>
        <v/>
      </c>
      <c r="C38" s="34">
        <f>IFERROR(__xludf.DUMMYFUNCTION("""COMPUTED_VALUE"""),"Vespertino")</f>
        <v/>
      </c>
      <c r="D38" s="34" t="inlineStr">
        <is>
          <t>Veio</t>
        </is>
      </c>
      <c r="E38" s="34" t="inlineStr">
        <is>
          <t>INFANTIL</t>
        </is>
      </c>
      <c r="F38" s="34" t="inlineStr">
        <is>
          <t>MASCULINO</t>
        </is>
      </c>
    </row>
    <row r="39">
      <c r="A39" s="34">
        <f>IFERROR(__xludf.DUMMYFUNCTION("""COMPUTED_VALUE"""),"LUIZ FELIPE POLICARPO DOS SANTOS")</f>
        <v/>
      </c>
      <c r="B39" s="34">
        <f>IFERROR(__xludf.DUMMYFUNCTION("""COMPUTED_VALUE"""),"Turma A")</f>
        <v/>
      </c>
      <c r="C39" s="34">
        <f>IFERROR(__xludf.DUMMYFUNCTION("""COMPUTED_VALUE"""),"Vespertino")</f>
        <v/>
      </c>
      <c r="D39" s="34" t="inlineStr">
        <is>
          <t>Veio</t>
        </is>
      </c>
      <c r="E39" s="34" t="inlineStr">
        <is>
          <t>MIRIM</t>
        </is>
      </c>
      <c r="F39" s="34" t="inlineStr">
        <is>
          <t>MASCULINO</t>
        </is>
      </c>
    </row>
    <row r="40">
      <c r="A40" s="34">
        <f>IFERROR(__xludf.DUMMYFUNCTION("""COMPUTED_VALUE"""),"MARCOS ANTÔNIO TRINDADE DA SILVA")</f>
        <v/>
      </c>
      <c r="B40" s="34">
        <f>IFERROR(__xludf.DUMMYFUNCTION("""COMPUTED_VALUE"""),"Turma B1")</f>
        <v/>
      </c>
      <c r="C40" s="34">
        <f>IFERROR(__xludf.DUMMYFUNCTION("""COMPUTED_VALUE"""),"Vespertino")</f>
        <v/>
      </c>
      <c r="D40" s="34" t="inlineStr">
        <is>
          <t>Veio</t>
        </is>
      </c>
      <c r="E40" s="34" t="inlineStr">
        <is>
          <t>MIRIM</t>
        </is>
      </c>
      <c r="F40" s="34" t="inlineStr">
        <is>
          <t>MASCULINO</t>
        </is>
      </c>
    </row>
    <row r="41">
      <c r="A41" s="34">
        <f>IFERROR(__xludf.DUMMYFUNCTION("""COMPUTED_VALUE"""),"MARIA EDUARDA SOBREIRO DA SILVA")</f>
        <v/>
      </c>
      <c r="B41" s="34">
        <f>IFERROR(__xludf.DUMMYFUNCTION("""COMPUTED_VALUE"""),"Turma B1")</f>
        <v/>
      </c>
      <c r="C41" s="34">
        <f>IFERROR(__xludf.DUMMYFUNCTION("""COMPUTED_VALUE"""),"Vespertino")</f>
        <v/>
      </c>
      <c r="D41" s="34" t="inlineStr">
        <is>
          <t>Veio</t>
        </is>
      </c>
      <c r="E41" s="34" t="inlineStr">
        <is>
          <t>MIRIM</t>
        </is>
      </c>
      <c r="F41" s="34" t="inlineStr">
        <is>
          <t>FEMININO</t>
        </is>
      </c>
    </row>
    <row r="42">
      <c r="A42" s="34">
        <f>IFERROR(__xludf.DUMMYFUNCTION("""COMPUTED_VALUE"""),"MARIA FERNANDA DOS SANTOS KUBOTA")</f>
        <v/>
      </c>
      <c r="B42" s="34">
        <f>IFERROR(__xludf.DUMMYFUNCTION("""COMPUTED_VALUE"""),"Turma B2")</f>
        <v/>
      </c>
      <c r="C42" s="34">
        <f>IFERROR(__xludf.DUMMYFUNCTION("""COMPUTED_VALUE"""),"Matutino")</f>
        <v/>
      </c>
      <c r="D42" s="34" t="inlineStr">
        <is>
          <t>Veio</t>
        </is>
      </c>
      <c r="E42" s="34" t="inlineStr">
        <is>
          <t>MIRIM</t>
        </is>
      </c>
      <c r="F42" s="34" t="inlineStr">
        <is>
          <t>FEMININO</t>
        </is>
      </c>
    </row>
    <row r="43">
      <c r="A43" s="34">
        <f>IFERROR(__xludf.DUMMYFUNCTION("""COMPUTED_VALUE"""),"Mariah Sophia Sales Aniceto")</f>
        <v/>
      </c>
      <c r="B43" s="34">
        <f>IFERROR(__xludf.DUMMYFUNCTION("""COMPUTED_VALUE"""),"Turma D")</f>
        <v/>
      </c>
      <c r="C43" s="34">
        <f>IFERROR(__xludf.DUMMYFUNCTION("""COMPUTED_VALUE"""),"Vespertino")</f>
        <v/>
      </c>
      <c r="D43" s="34" t="inlineStr">
        <is>
          <t>Veio</t>
        </is>
      </c>
      <c r="E43" s="34" t="inlineStr">
        <is>
          <t>CADETE</t>
        </is>
      </c>
      <c r="F43" s="34" t="inlineStr">
        <is>
          <t>FEMININO</t>
        </is>
      </c>
    </row>
    <row r="44">
      <c r="A44" s="34">
        <f>IFERROR(__xludf.DUMMYFUNCTION("""COMPUTED_VALUE"""),"MAYLON SANTANA GARCIA")</f>
        <v/>
      </c>
      <c r="B44" s="34">
        <f>IFERROR(__xludf.DUMMYFUNCTION("""COMPUTED_VALUE"""),"Turma B1")</f>
        <v/>
      </c>
      <c r="C44" s="34">
        <f>IFERROR(__xludf.DUMMYFUNCTION("""COMPUTED_VALUE"""),"Vespertino")</f>
        <v/>
      </c>
      <c r="D44" s="34" t="inlineStr">
        <is>
          <t>Não Veio</t>
        </is>
      </c>
      <c r="E44" s="34" t="inlineStr">
        <is>
          <t>MIRIM</t>
        </is>
      </c>
      <c r="F44" s="34" t="inlineStr">
        <is>
          <t>MASCULINO</t>
        </is>
      </c>
    </row>
    <row r="45">
      <c r="A45" s="34">
        <f>IFERROR(__xludf.DUMMYFUNCTION("""COMPUTED_VALUE"""),"MIGUEL AUGUSTO DE LIMA TRINDADE")</f>
        <v/>
      </c>
      <c r="B45" s="34">
        <f>IFERROR(__xludf.DUMMYFUNCTION("""COMPUTED_VALUE"""),"Turma B1")</f>
        <v/>
      </c>
      <c r="C45" s="34">
        <f>IFERROR(__xludf.DUMMYFUNCTION("""COMPUTED_VALUE"""),"Vespertino")</f>
        <v/>
      </c>
      <c r="D45" s="34" t="inlineStr">
        <is>
          <t>Veio</t>
        </is>
      </c>
      <c r="E45" s="34" t="inlineStr">
        <is>
          <t>MIRIM</t>
        </is>
      </c>
      <c r="F45" s="34" t="inlineStr">
        <is>
          <t>MASCULINO</t>
        </is>
      </c>
    </row>
    <row r="46">
      <c r="A46" s="34">
        <f>IFERROR(__xludf.DUMMYFUNCTION("""COMPUTED_VALUE"""),"MIGUEL NYKOLAS DUTRA ALMEIDA")</f>
        <v/>
      </c>
      <c r="B46" s="34">
        <f>IFERROR(__xludf.DUMMYFUNCTION("""COMPUTED_VALUE"""),"Turma B1")</f>
        <v/>
      </c>
      <c r="C46" s="34">
        <f>IFERROR(__xludf.DUMMYFUNCTION("""COMPUTED_VALUE"""),"Vespertino")</f>
        <v/>
      </c>
      <c r="D46" s="34" t="inlineStr">
        <is>
          <t>Veio</t>
        </is>
      </c>
      <c r="E46" s="34" t="inlineStr">
        <is>
          <t>MIRIM</t>
        </is>
      </c>
      <c r="F46" s="34" t="inlineStr">
        <is>
          <t>MASCULINO</t>
        </is>
      </c>
    </row>
    <row r="47">
      <c r="A47" s="34">
        <f>IFERROR(__xludf.DUMMYFUNCTION("""COMPUTED_VALUE"""),"Nicolas Araújo De Souza")</f>
        <v/>
      </c>
      <c r="B47" s="34">
        <f>IFERROR(__xludf.DUMMYFUNCTION("""COMPUTED_VALUE"""),"Turma D")</f>
        <v/>
      </c>
      <c r="C47" s="34">
        <f>IFERROR(__xludf.DUMMYFUNCTION("""COMPUTED_VALUE"""),"Vespertino")</f>
        <v/>
      </c>
      <c r="D47" s="34" t="inlineStr">
        <is>
          <t>Veio</t>
        </is>
      </c>
      <c r="E47" s="34" t="inlineStr">
        <is>
          <t>CADETE</t>
        </is>
      </c>
      <c r="F47" s="34" t="inlineStr">
        <is>
          <t>MASCULINO</t>
        </is>
      </c>
    </row>
    <row r="48">
      <c r="A48" s="34">
        <f>IFERROR(__xludf.DUMMYFUNCTION("""COMPUTED_VALUE"""),"NICOLAS GABRIEL OLIVEIRA BASTIDA")</f>
        <v/>
      </c>
      <c r="B48" s="34">
        <f>IFERROR(__xludf.DUMMYFUNCTION("""COMPUTED_VALUE"""),"Turma E")</f>
        <v/>
      </c>
      <c r="C48" s="34">
        <f>IFERROR(__xludf.DUMMYFUNCTION("""COMPUTED_VALUE"""),"Vespertino")</f>
        <v/>
      </c>
      <c r="D48" s="34" t="inlineStr">
        <is>
          <t>Não Veio</t>
        </is>
      </c>
      <c r="E48" s="34" t="inlineStr">
        <is>
          <t>CADETE</t>
        </is>
      </c>
      <c r="F48" s="34" t="inlineStr">
        <is>
          <t>MASCULINO</t>
        </is>
      </c>
    </row>
    <row r="49">
      <c r="A49" s="34">
        <f>IFERROR(__xludf.DUMMYFUNCTION("""COMPUTED_VALUE"""),"NICOLLY DE PAULO DUTRA")</f>
        <v/>
      </c>
      <c r="B49" s="34">
        <f>IFERROR(__xludf.DUMMYFUNCTION("""COMPUTED_VALUE"""),"Turma B1")</f>
        <v/>
      </c>
      <c r="C49" s="34">
        <f>IFERROR(__xludf.DUMMYFUNCTION("""COMPUTED_VALUE"""),"Vespertino")</f>
        <v/>
      </c>
      <c r="D49" s="34" t="inlineStr">
        <is>
          <t>Veio</t>
        </is>
      </c>
      <c r="E49" s="34" t="inlineStr">
        <is>
          <t>MIRIM</t>
        </is>
      </c>
      <c r="F49" s="34" t="inlineStr">
        <is>
          <t>FEMININO</t>
        </is>
      </c>
    </row>
    <row r="50">
      <c r="A50" s="34">
        <f>IFERROR(__xludf.DUMMYFUNCTION("""COMPUTED_VALUE"""),"PEDRO HENRIQUE VIANA VELOSO")</f>
        <v/>
      </c>
      <c r="B50" s="34">
        <f>IFERROR(__xludf.DUMMYFUNCTION("""COMPUTED_VALUE"""),"Turma B1")</f>
        <v/>
      </c>
      <c r="C50" s="34">
        <f>IFERROR(__xludf.DUMMYFUNCTION("""COMPUTED_VALUE"""),"Matutino")</f>
        <v/>
      </c>
      <c r="D50" s="34" t="inlineStr">
        <is>
          <t>Veio</t>
        </is>
      </c>
      <c r="E50" s="34" t="inlineStr">
        <is>
          <t>MIRIM</t>
        </is>
      </c>
      <c r="F50" s="34" t="inlineStr">
        <is>
          <t>MASCULINO</t>
        </is>
      </c>
    </row>
    <row r="51">
      <c r="A51" s="34">
        <f>IFERROR(__xludf.DUMMYFUNCTION("""COMPUTED_VALUE"""),"PIETRO FRANCISCO GALVÃO DE JESUS")</f>
        <v/>
      </c>
      <c r="B51" s="34">
        <f>IFERROR(__xludf.DUMMYFUNCTION("""COMPUTED_VALUE"""),"Turma D")</f>
        <v/>
      </c>
      <c r="C51" s="34">
        <f>IFERROR(__xludf.DUMMYFUNCTION("""COMPUTED_VALUE"""),"Matutino")</f>
        <v/>
      </c>
      <c r="D51" s="34" t="inlineStr">
        <is>
          <t>Veio</t>
        </is>
      </c>
      <c r="E51" s="34" t="inlineStr">
        <is>
          <t>INFANTIL</t>
        </is>
      </c>
      <c r="F51" s="34" t="inlineStr">
        <is>
          <t>MASCULINO</t>
        </is>
      </c>
    </row>
    <row r="52">
      <c r="A52" s="34">
        <f>IFERROR(__xludf.DUMMYFUNCTION("""COMPUTED_VALUE"""),"PIETRO HENRIQUE OLIVEIRA JACOMINO")</f>
        <v/>
      </c>
      <c r="B52" s="34">
        <f>IFERROR(__xludf.DUMMYFUNCTION("""COMPUTED_VALUE"""),"Turma A")</f>
        <v/>
      </c>
      <c r="C52" s="34">
        <f>IFERROR(__xludf.DUMMYFUNCTION("""COMPUTED_VALUE"""),"Vespertino")</f>
        <v/>
      </c>
      <c r="D52" s="34" t="inlineStr">
        <is>
          <t>Veio</t>
        </is>
      </c>
      <c r="E52" s="34" t="inlineStr">
        <is>
          <t>MIRIM</t>
        </is>
      </c>
      <c r="F52" s="34" t="inlineStr">
        <is>
          <t>MASCULINO</t>
        </is>
      </c>
    </row>
    <row r="53">
      <c r="A53" s="34">
        <f>IFERROR(__xludf.DUMMYFUNCTION("""COMPUTED_VALUE"""),"RAFAEL MENDES DA SILVA")</f>
        <v/>
      </c>
      <c r="B53" s="34">
        <f>IFERROR(__xludf.DUMMYFUNCTION("""COMPUTED_VALUE"""),"Turma B1")</f>
        <v/>
      </c>
      <c r="C53" s="34">
        <f>IFERROR(__xludf.DUMMYFUNCTION("""COMPUTED_VALUE"""),"Vespertino")</f>
        <v/>
      </c>
      <c r="D53" s="34" t="inlineStr">
        <is>
          <t>Veio</t>
        </is>
      </c>
      <c r="E53" s="34" t="inlineStr">
        <is>
          <t>MIRIM</t>
        </is>
      </c>
      <c r="F53" s="34" t="inlineStr">
        <is>
          <t>MASCULINO</t>
        </is>
      </c>
    </row>
    <row r="54">
      <c r="A54" s="34">
        <f>IFERROR(__xludf.DUMMYFUNCTION("""COMPUTED_VALUE"""),"Raquel Vieira Martins")</f>
        <v/>
      </c>
      <c r="B54" s="34">
        <f>IFERROR(__xludf.DUMMYFUNCTION("""COMPUTED_VALUE"""),"Turma A")</f>
        <v/>
      </c>
      <c r="C54" s="34">
        <f>IFERROR(__xludf.DUMMYFUNCTION("""COMPUTED_VALUE"""),"Matutino")</f>
        <v/>
      </c>
      <c r="D54" s="34" t="inlineStr">
        <is>
          <t>Veio</t>
        </is>
      </c>
      <c r="E54" s="34" t="inlineStr">
        <is>
          <t>MIRIM</t>
        </is>
      </c>
      <c r="F54" s="34" t="inlineStr">
        <is>
          <t>FEMININO</t>
        </is>
      </c>
    </row>
    <row r="55">
      <c r="A55" s="34">
        <f>IFERROR(__xludf.DUMMYFUNCTION("""COMPUTED_VALUE"""),"Ruan Brayan Alcantara Monteiro")</f>
        <v/>
      </c>
      <c r="B55" s="34">
        <f>IFERROR(__xludf.DUMMYFUNCTION("""COMPUTED_VALUE"""),"Turma D")</f>
        <v/>
      </c>
      <c r="C55" s="34">
        <f>IFERROR(__xludf.DUMMYFUNCTION("""COMPUTED_VALUE"""),"Vespertino")</f>
        <v/>
      </c>
      <c r="D55" s="34" t="inlineStr">
        <is>
          <t>Veio</t>
        </is>
      </c>
      <c r="E55" s="34" t="inlineStr">
        <is>
          <t>INFANTIL</t>
        </is>
      </c>
      <c r="F55" s="34" t="inlineStr">
        <is>
          <t>MASCULINO</t>
        </is>
      </c>
    </row>
    <row r="56">
      <c r="A56" s="34">
        <f>IFERROR(__xludf.DUMMYFUNCTION("""COMPUTED_VALUE"""),"SAMUEL JUNIOR VERDAN FRANCISCO")</f>
        <v/>
      </c>
      <c r="B56" s="34">
        <f>IFERROR(__xludf.DUMMYFUNCTION("""COMPUTED_VALUE"""),"Turma D")</f>
        <v/>
      </c>
      <c r="C56" s="34">
        <f>IFERROR(__xludf.DUMMYFUNCTION("""COMPUTED_VALUE"""),"Matutino")</f>
        <v/>
      </c>
      <c r="D56" s="34" t="inlineStr">
        <is>
          <t>Veio</t>
        </is>
      </c>
      <c r="E56" s="34" t="inlineStr">
        <is>
          <t>CADETE</t>
        </is>
      </c>
      <c r="F56" s="34" t="inlineStr">
        <is>
          <t>MASCULINO</t>
        </is>
      </c>
    </row>
    <row r="57">
      <c r="A57" s="34">
        <f>IFERROR(__xludf.DUMMYFUNCTION("""COMPUTED_VALUE"""),"Thalles Ramon Da Pascoa Silva")</f>
        <v/>
      </c>
      <c r="B57" s="34">
        <f>IFERROR(__xludf.DUMMYFUNCTION("""COMPUTED_VALUE"""),"Turma D")</f>
        <v/>
      </c>
      <c r="C57" s="34">
        <f>IFERROR(__xludf.DUMMYFUNCTION("""COMPUTED_VALUE"""),"Vespertino")</f>
        <v/>
      </c>
      <c r="D57" s="34" t="inlineStr">
        <is>
          <t>Veio</t>
        </is>
      </c>
      <c r="E57" s="34" t="inlineStr">
        <is>
          <t>INFANTIL</t>
        </is>
      </c>
      <c r="F57" s="34" t="inlineStr">
        <is>
          <t>MASCULINO</t>
        </is>
      </c>
    </row>
    <row r="58">
      <c r="A58" s="34">
        <f>IFERROR(__xludf.DUMMYFUNCTION("""COMPUTED_VALUE"""),"THIAGO PAULINO PEREIRA DE ARAÚJO")</f>
        <v/>
      </c>
      <c r="B58" s="34">
        <f>IFERROR(__xludf.DUMMYFUNCTION("""COMPUTED_VALUE"""),"Turma B1")</f>
        <v/>
      </c>
      <c r="C58" s="34">
        <f>IFERROR(__xludf.DUMMYFUNCTION("""COMPUTED_VALUE"""),"Vespertino")</f>
        <v/>
      </c>
      <c r="D58" s="34" t="inlineStr">
        <is>
          <t>Veio</t>
        </is>
      </c>
      <c r="E58" s="34" t="inlineStr">
        <is>
          <t>INFANTIL</t>
        </is>
      </c>
      <c r="F58" s="34" t="inlineStr">
        <is>
          <t>MASCULINO</t>
        </is>
      </c>
    </row>
    <row r="59">
      <c r="A59" s="34">
        <f>IFERROR(__xludf.DUMMYFUNCTION("""COMPUTED_VALUE"""),"Valdenira Silva Do Nascimento")</f>
        <v/>
      </c>
      <c r="B59" s="34">
        <f>IFERROR(__xludf.DUMMYFUNCTION("""COMPUTED_VALUE"""),"Turma D")</f>
        <v/>
      </c>
      <c r="C59" s="34">
        <f>IFERROR(__xludf.DUMMYFUNCTION("""COMPUTED_VALUE"""),"Vespertino")</f>
        <v/>
      </c>
      <c r="D59" s="34" t="inlineStr">
        <is>
          <t>Veio</t>
        </is>
      </c>
      <c r="E59" s="34" t="inlineStr">
        <is>
          <t>CADETE</t>
        </is>
      </c>
      <c r="F59" s="34" t="inlineStr">
        <is>
          <t>FEMININO</t>
        </is>
      </c>
    </row>
    <row r="60">
      <c r="A60" s="34">
        <f>IFERROR(__xludf.DUMMYFUNCTION("""COMPUTED_VALUE"""),"VICTOR EMANUEL ALMEIDA MARTINS")</f>
        <v/>
      </c>
      <c r="B60" s="34">
        <f>IFERROR(__xludf.DUMMYFUNCTION("""COMPUTED_VALUE"""),"Turma B1")</f>
        <v/>
      </c>
      <c r="C60" s="34">
        <f>IFERROR(__xludf.DUMMYFUNCTION("""COMPUTED_VALUE"""),"Vespertino")</f>
        <v/>
      </c>
      <c r="D60" s="34" t="inlineStr">
        <is>
          <t>Veio</t>
        </is>
      </c>
      <c r="E60" s="34" t="inlineStr">
        <is>
          <t>MIRIM</t>
        </is>
      </c>
      <c r="F60" s="34" t="inlineStr">
        <is>
          <t>MASCULINO</t>
        </is>
      </c>
    </row>
    <row r="61">
      <c r="A61" s="34">
        <f>IFERROR(__xludf.DUMMYFUNCTION("""COMPUTED_VALUE"""),"WEVERTON LEONARDO VIEIRA MARTINS")</f>
        <v/>
      </c>
      <c r="B61" s="34">
        <f>IFERROR(__xludf.DUMMYFUNCTION("""COMPUTED_VALUE"""),"Turma D")</f>
        <v/>
      </c>
      <c r="C61" s="34">
        <f>IFERROR(__xludf.DUMMYFUNCTION("""COMPUTED_VALUE"""),"Matutino")</f>
        <v/>
      </c>
      <c r="D61" s="34" t="inlineStr">
        <is>
          <t>Veio</t>
        </is>
      </c>
      <c r="E61" s="34" t="inlineStr">
        <is>
          <t>CADETE</t>
        </is>
      </c>
      <c r="F61" s="34" t="inlineStr">
        <is>
          <t>MASCULINO</t>
        </is>
      </c>
    </row>
    <row r="62">
      <c r="A62" s="34">
        <f>IFERROR(__xludf.DUMMYFUNCTION("""COMPUTED_VALUE"""),"YASMYN THAUANY ALCANTARA MONTEIRO")</f>
        <v/>
      </c>
      <c r="B62" s="34">
        <f>IFERROR(__xludf.DUMMYFUNCTION("""COMPUTED_VALUE"""),"Turma D")</f>
        <v/>
      </c>
      <c r="C62" s="34">
        <f>IFERROR(__xludf.DUMMYFUNCTION("""COMPUTED_VALUE"""),"Matutino")</f>
        <v/>
      </c>
      <c r="D62" s="34" t="inlineStr">
        <is>
          <t>Veio</t>
        </is>
      </c>
      <c r="E62" s="34" t="inlineStr">
        <is>
          <t>CADETE</t>
        </is>
      </c>
      <c r="F62" s="34" t="inlineStr">
        <is>
          <t>FEMININO</t>
        </is>
      </c>
    </row>
    <row r="63">
      <c r="D63" s="34" t="inlineStr">
        <is>
          <t>Veio</t>
        </is>
      </c>
      <c r="E63" s="34" t="inlineStr">
        <is>
          <t>INFANTIL</t>
        </is>
      </c>
      <c r="F63" s="34" t="inlineStr">
        <is>
          <t>FEMININO</t>
        </is>
      </c>
    </row>
    <row r="64">
      <c r="D64" s="34" t="inlineStr">
        <is>
          <t>Veio</t>
        </is>
      </c>
      <c r="E64" s="34" t="inlineStr">
        <is>
          <t>MIRIM</t>
        </is>
      </c>
      <c r="F64" s="34" t="inlineStr">
        <is>
          <t>MASCULINO</t>
        </is>
      </c>
    </row>
    <row r="65">
      <c r="D65" s="34" t="inlineStr">
        <is>
          <t>Veio</t>
        </is>
      </c>
      <c r="E65" s="34" t="inlineStr">
        <is>
          <t>MIRIM</t>
        </is>
      </c>
      <c r="F65" s="34" t="inlineStr">
        <is>
          <t>MASCULINO</t>
        </is>
      </c>
    </row>
  </sheetData>
  <autoFilter ref="$A$1:$F$65">
    <sortState ref="A1:F65">
      <sortCondition ref="A1:A65"/>
      <sortCondition ref="B1:B65"/>
    </sortState>
  </autoFilter>
  <mergeCells count="6">
    <mergeCell ref="V1:Z1"/>
    <mergeCell ref="AC1:AG1"/>
    <mergeCell ref="AJ1:AN1"/>
    <mergeCell ref="H1:L1"/>
    <mergeCell ref="AQ1:AU1"/>
    <mergeCell ref="O1:R1"/>
  </mergeCells>
  <dataValidations count="3">
    <dataValidation sqref="E2:E65" showDropDown="0" showInputMessage="0" showErrorMessage="1" allowBlank="1" type="list">
      <formula1>"MIRIM,INFANTIL,CADETE"</formula1>
    </dataValidation>
    <dataValidation sqref="F2:F65" showDropDown="0" showInputMessage="0" showErrorMessage="1" allowBlank="1" type="list">
      <formula1>"FEMININO,MASCULINO"</formula1>
    </dataValidation>
    <dataValidation sqref="D2:D65" showDropDown="0" showInputMessage="0" showErrorMessage="1" allowBlank="1" type="list">
      <formula1>"Veio,Não Veio"</formula1>
    </dataValidation>
  </dataValidations>
  <printOptions horizontalCentered="1" gridLines="1"/>
  <pageMargins left="0.7" right="0.7" top="0.75" bottom="0.75" header="0" footer="0"/>
  <pageSetup orientation="landscape" paperSize="9" fitToWidth="0" pageOrder="overThenDown" cellComments="atEnd"/>
</worksheet>
</file>

<file path=xl/worksheets/sheet5.xml><?xml version="1.0" encoding="utf-8"?>
<worksheet xmlns="http://schemas.openxmlformats.org/spreadsheetml/2006/main">
  <sheetPr>
    <tabColor rgb="FFFF00FF"/>
    <outlinePr summaryBelow="0" summaryRight="0"/>
    <pageSetUpPr/>
  </sheetPr>
  <dimension ref="A1:U31"/>
  <sheetViews>
    <sheetView workbookViewId="0">
      <selection activeCell="A1" sqref="A1"/>
    </sheetView>
  </sheetViews>
  <sheetFormatPr baseColWidth="8" defaultColWidth="12.63" defaultRowHeight="15.75" customHeight="1"/>
  <cols>
    <col width="32.63" customWidth="1" style="128" min="1" max="1"/>
    <col width="19" customWidth="1" style="128" min="5" max="5"/>
    <col width="14.25" customWidth="1" style="128" min="7" max="7"/>
    <col width="37.5" customWidth="1" style="128" min="8" max="8"/>
    <col width="40.25" customWidth="1" style="128" min="20" max="20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E1" s="27" t="inlineStr">
        <is>
          <t>Categoria</t>
        </is>
      </c>
      <c r="G1" s="129" t="inlineStr">
        <is>
          <t>PRÉ-INFANTIL</t>
        </is>
      </c>
      <c r="H1" s="130" t="n"/>
      <c r="I1" s="131" t="n"/>
      <c r="K1" s="129" t="inlineStr">
        <is>
          <t>INFANTIL</t>
        </is>
      </c>
      <c r="L1" s="130" t="n"/>
      <c r="M1" s="131" t="n"/>
      <c r="O1" s="129" t="inlineStr">
        <is>
          <t>JUVENIL</t>
        </is>
      </c>
      <c r="P1" s="130" t="n"/>
      <c r="Q1" s="131" t="n"/>
      <c r="S1" s="129" t="inlineStr">
        <is>
          <t>ADULTO</t>
        </is>
      </c>
      <c r="T1" s="130" t="n"/>
      <c r="U1" s="131" t="n"/>
    </row>
    <row r="2">
      <c r="A2" s="34">
        <f>IFERROR(__xludf.DUMMYFUNCTION("FILTER(Alunos!A:A, Alunos!$K:$K = ""Participa"")"),"AGATA LORRAINE ARAÚJO DA COSTA")</f>
        <v/>
      </c>
      <c r="B2" s="34">
        <f>IFERROR(__xludf.DUMMYFUNCTION("FILTER(Alunos!B:B, Alunos!$K:$K = ""Participa"")"),"Turma A")</f>
        <v/>
      </c>
      <c r="C2" s="34">
        <f>IFERROR(__xludf.DUMMYFUNCTION("FILTER(Alunos!C:C, Alunos!$K:$K = ""Participa"")"),"Vespertino")</f>
        <v/>
      </c>
      <c r="D2" s="34" t="inlineStr">
        <is>
          <t>Veio</t>
        </is>
      </c>
      <c r="E2" s="34" t="inlineStr">
        <is>
          <t>ADULTO</t>
        </is>
      </c>
      <c r="G2" s="132" t="inlineStr">
        <is>
          <t>MÃOS LIVRES</t>
        </is>
      </c>
      <c r="H2" s="130" t="n"/>
      <c r="I2" s="131" t="n"/>
      <c r="K2" s="132" t="inlineStr">
        <is>
          <t>BOLA</t>
        </is>
      </c>
      <c r="L2" s="130" t="n"/>
      <c r="M2" s="131" t="n"/>
      <c r="O2" s="132" t="inlineStr">
        <is>
          <t>BOLA</t>
        </is>
      </c>
      <c r="P2" s="130" t="n"/>
      <c r="Q2" s="131" t="n"/>
      <c r="S2" s="132" t="inlineStr">
        <is>
          <t>ARCO</t>
        </is>
      </c>
      <c r="T2" s="130" t="n"/>
      <c r="U2" s="131" t="n"/>
    </row>
    <row r="3">
      <c r="A3" s="34">
        <f>IFERROR(__xludf.DUMMYFUNCTION("""COMPUTED_VALUE"""),"Ágatha Sophhie Da Silva Basílio")</f>
        <v/>
      </c>
      <c r="B3" s="34">
        <f>IFERROR(__xludf.DUMMYFUNCTION("""COMPUTED_VALUE"""),"Turma A")</f>
        <v/>
      </c>
      <c r="C3" s="34">
        <f>IFERROR(__xludf.DUMMYFUNCTION("""COMPUTED_VALUE"""),"Matutino")</f>
        <v/>
      </c>
      <c r="D3" s="34" t="inlineStr">
        <is>
          <t>Veio</t>
        </is>
      </c>
      <c r="E3" s="34" t="inlineStr">
        <is>
          <t>INFANTIL</t>
        </is>
      </c>
      <c r="G3" s="41" t="inlineStr">
        <is>
          <t>COLOCAÇÃO</t>
        </is>
      </c>
      <c r="H3" s="41" t="inlineStr">
        <is>
          <t>ALUNA</t>
        </is>
      </c>
      <c r="I3" s="41" t="inlineStr">
        <is>
          <t>PONTOS</t>
        </is>
      </c>
      <c r="K3" s="41" t="inlineStr">
        <is>
          <t>COLOCAÇÃO</t>
        </is>
      </c>
      <c r="L3" s="41" t="inlineStr">
        <is>
          <t>ALUNA</t>
        </is>
      </c>
      <c r="M3" s="41" t="inlineStr">
        <is>
          <t>PONTOS</t>
        </is>
      </c>
      <c r="O3" s="41" t="inlineStr">
        <is>
          <t>COLOCAÇÃO</t>
        </is>
      </c>
      <c r="P3" s="41" t="inlineStr">
        <is>
          <t>ALUNA</t>
        </is>
      </c>
      <c r="Q3" s="41" t="inlineStr">
        <is>
          <t>PONTOS</t>
        </is>
      </c>
      <c r="S3" s="41" t="inlineStr">
        <is>
          <t>COLOCAÇÃO</t>
        </is>
      </c>
      <c r="T3" s="41" t="inlineStr">
        <is>
          <t>ALUNA</t>
        </is>
      </c>
      <c r="U3" s="41" t="inlineStr">
        <is>
          <t>PONTOS</t>
        </is>
      </c>
    </row>
    <row r="4">
      <c r="A4" s="34">
        <f>IFERROR(__xludf.DUMMYFUNCTION("""COMPUTED_VALUE"""),"ALLANA FERREIRA DA SILVA")</f>
        <v/>
      </c>
      <c r="B4" s="34">
        <f>IFERROR(__xludf.DUMMYFUNCTION("""COMPUTED_VALUE"""),"Turma B1")</f>
        <v/>
      </c>
      <c r="C4" s="34">
        <f>IFERROR(__xludf.DUMMYFUNCTION("""COMPUTED_VALUE"""),"Vespertino")</f>
        <v/>
      </c>
      <c r="D4" s="34" t="inlineStr">
        <is>
          <t>Veio</t>
        </is>
      </c>
      <c r="E4" s="34" t="inlineStr">
        <is>
          <t>JUVENIL</t>
        </is>
      </c>
      <c r="H4" s="34">
        <f>IFERROR(__xludf.DUMMYFUNCTION("FILTER($A:$A, $E:$E = ""PRÉ-INFANTIL"", $D:$D = ""Veio"")"),"ANA CLARA DE FREITAS TEIXEIRA")</f>
        <v/>
      </c>
      <c r="L4" s="34">
        <f>IFERROR(__xludf.DUMMYFUNCTION("FILTER($A:$A, $E:$E = ""INFANTIL"", $D:$D = ""Veio"")"),"Ágatha Sophhie Da Silva Basílio")</f>
        <v/>
      </c>
      <c r="P4" s="34">
        <f>IFERROR(__xludf.DUMMYFUNCTION("FILTER($A:$A, $E:$E = ""JUVENIL"", $D:$D = ""Veio"")"),"ALLANA FERREIRA DA SILVA")</f>
        <v/>
      </c>
      <c r="T4" s="34">
        <f>IFERROR(__xludf.DUMMYFUNCTION("FILTER($A:$A, $E:$E = ""ADULTO"", $D:$D = ""Veio"")"),"AGATA LORRAINE ARAÚJO DA COSTA")</f>
        <v/>
      </c>
    </row>
    <row r="5">
      <c r="A5" s="34">
        <f>IFERROR(__xludf.DUMMYFUNCTION("""COMPUTED_VALUE"""),"ANA CLARA DE FREITAS TEIXEIRA")</f>
        <v/>
      </c>
      <c r="B5" s="34">
        <f>IFERROR(__xludf.DUMMYFUNCTION("""COMPUTED_VALUE"""),"Turma GR")</f>
        <v/>
      </c>
      <c r="C5" s="34">
        <f>IFERROR(__xludf.DUMMYFUNCTION("""COMPUTED_VALUE"""),"Vespertino")</f>
        <v/>
      </c>
      <c r="D5" s="34" t="inlineStr">
        <is>
          <t>Veio</t>
        </is>
      </c>
      <c r="E5" s="34" t="inlineStr">
        <is>
          <t>PRÉ-INFANTIL</t>
        </is>
      </c>
      <c r="H5" s="34">
        <f>IFERROR(__xludf.DUMMYFUNCTION("""COMPUTED_VALUE"""),"Ana Vitória Santana Oliveira Da Silva")</f>
        <v/>
      </c>
      <c r="L5" s="34">
        <f>IFERROR(__xludf.DUMMYFUNCTION("""COMPUTED_VALUE"""),"Ana Julia Da Cruz Oliveira")</f>
        <v/>
      </c>
      <c r="P5" s="34">
        <f>IFERROR(__xludf.DUMMYFUNCTION("""COMPUTED_VALUE"""),"Daffiny De Jesus Silva")</f>
        <v/>
      </c>
      <c r="T5" s="34">
        <f>IFERROR(__xludf.DUMMYFUNCTION("""COMPUTED_VALUE"""),"EMANUELY VITORIA BRITO DOS SANTOS")</f>
        <v/>
      </c>
    </row>
    <row r="6">
      <c r="A6" s="34">
        <f>IFERROR(__xludf.DUMMYFUNCTION("""COMPUTED_VALUE"""),"Ana Julia Da Cruz Oliveira")</f>
        <v/>
      </c>
      <c r="B6" s="34">
        <f>IFERROR(__xludf.DUMMYFUNCTION("""COMPUTED_VALUE"""),"Turma A")</f>
        <v/>
      </c>
      <c r="C6" s="34">
        <f>IFERROR(__xludf.DUMMYFUNCTION("""COMPUTED_VALUE"""),"Matutino")</f>
        <v/>
      </c>
      <c r="D6" s="34" t="inlineStr">
        <is>
          <t>Veio</t>
        </is>
      </c>
      <c r="E6" s="34" t="inlineStr">
        <is>
          <t>INFANTIL</t>
        </is>
      </c>
      <c r="H6" s="34">
        <f>IFERROR(__xludf.DUMMYFUNCTION("""COMPUTED_VALUE"""),"ANNY HELOISE OLIVEIRA DA SILVA")</f>
        <v/>
      </c>
      <c r="P6" s="34">
        <f>IFERROR(__xludf.DUMMYFUNCTION("""COMPUTED_VALUE"""),"SÂMILY PROCOPIO DA SILVA")</f>
        <v/>
      </c>
      <c r="T6" s="34">
        <f>IFERROR(__xludf.DUMMYFUNCTION("""COMPUTED_VALUE"""),"EMILY VITÓRIA DA SILVA SANTOS")</f>
        <v/>
      </c>
    </row>
    <row r="7">
      <c r="A7" s="34">
        <f>IFERROR(__xludf.DUMMYFUNCTION("""COMPUTED_VALUE"""),"Ana Vitória Santana Oliveira Da Silva")</f>
        <v/>
      </c>
      <c r="B7" s="34">
        <f>IFERROR(__xludf.DUMMYFUNCTION("""COMPUTED_VALUE"""),"Turma A")</f>
        <v/>
      </c>
      <c r="C7" s="34">
        <f>IFERROR(__xludf.DUMMYFUNCTION("""COMPUTED_VALUE"""),"Matutino")</f>
        <v/>
      </c>
      <c r="D7" s="34" t="inlineStr">
        <is>
          <t>Veio</t>
        </is>
      </c>
      <c r="E7" s="34" t="inlineStr">
        <is>
          <t>PRÉ-INFANTIL</t>
        </is>
      </c>
      <c r="H7" s="34">
        <f>IFERROR(__xludf.DUMMYFUNCTION("""COMPUTED_VALUE"""),"BEATRIZ COSTA ARAGÃO")</f>
        <v/>
      </c>
      <c r="T7" s="34">
        <f>IFERROR(__xludf.DUMMYFUNCTION("""COMPUTED_VALUE"""),"Estela Martins Lopes")</f>
        <v/>
      </c>
    </row>
    <row r="8">
      <c r="A8" s="34">
        <f>IFERROR(__xludf.DUMMYFUNCTION("""COMPUTED_VALUE"""),"ANNY HELOISE OLIVEIRA DA SILVA")</f>
        <v/>
      </c>
      <c r="B8" s="34">
        <f>IFERROR(__xludf.DUMMYFUNCTION("""COMPUTED_VALUE"""),"Turma B2")</f>
        <v/>
      </c>
      <c r="C8" s="34">
        <f>IFERROR(__xludf.DUMMYFUNCTION("""COMPUTED_VALUE"""),"Vespertino")</f>
        <v/>
      </c>
      <c r="D8" s="34" t="inlineStr">
        <is>
          <t>Veio</t>
        </is>
      </c>
      <c r="E8" s="34" t="inlineStr">
        <is>
          <t>PRÉ-INFANTIL</t>
        </is>
      </c>
      <c r="H8" s="34">
        <f>IFERROR(__xludf.DUMMYFUNCTION("""COMPUTED_VALUE"""),"EMANIELLY VITÓRIA PORTUGAL DE ALMEIDA")</f>
        <v/>
      </c>
      <c r="T8" s="34">
        <f>IFERROR(__xludf.DUMMYFUNCTION("""COMPUTED_VALUE"""),"ESTHER PROCOPIO DA SILVA")</f>
        <v/>
      </c>
    </row>
    <row r="9">
      <c r="A9" s="34">
        <f>IFERROR(__xludf.DUMMYFUNCTION("""COMPUTED_VALUE"""),"BEATRIZ COSTA ARAGÃO")</f>
        <v/>
      </c>
      <c r="B9" s="34">
        <f>IFERROR(__xludf.DUMMYFUNCTION("""COMPUTED_VALUE"""),"Turma GR")</f>
        <v/>
      </c>
      <c r="C9" s="34">
        <f>IFERROR(__xludf.DUMMYFUNCTION("""COMPUTED_VALUE"""),"Vespertino")</f>
        <v/>
      </c>
      <c r="D9" s="34" t="inlineStr">
        <is>
          <t>Veio</t>
        </is>
      </c>
      <c r="E9" s="34" t="inlineStr">
        <is>
          <t>PRÉ-INFANTIL</t>
        </is>
      </c>
      <c r="H9" s="34">
        <f>IFERROR(__xludf.DUMMYFUNCTION("""COMPUTED_VALUE"""),"VICTOR EMANUEL ALMEIDA MARTINS")</f>
        <v/>
      </c>
      <c r="T9" s="34">
        <f>IFERROR(__xludf.DUMMYFUNCTION("""COMPUTED_VALUE"""),"HELOYSA FERNANDA ALVARENGA DOS SANTOS")</f>
        <v/>
      </c>
    </row>
    <row r="10">
      <c r="A10" s="34">
        <f>IFERROR(__xludf.DUMMYFUNCTION("""COMPUTED_VALUE"""),"Daffiny De Jesus Silva")</f>
        <v/>
      </c>
      <c r="B10" s="34">
        <f>IFERROR(__xludf.DUMMYFUNCTION("""COMPUTED_VALUE"""),"Turma A")</f>
        <v/>
      </c>
      <c r="C10" s="34">
        <f>IFERROR(__xludf.DUMMYFUNCTION("""COMPUTED_VALUE"""),"Matutino")</f>
        <v/>
      </c>
      <c r="D10" s="34" t="inlineStr">
        <is>
          <t>Veio</t>
        </is>
      </c>
      <c r="E10" s="34" t="inlineStr">
        <is>
          <t>JUVENIL</t>
        </is>
      </c>
      <c r="T10" s="34">
        <f>IFERROR(__xludf.DUMMYFUNCTION("""COMPUTED_VALUE"""),"ISABELLA MIRANDA DA SILVA")</f>
        <v/>
      </c>
    </row>
    <row r="11">
      <c r="A11" s="34">
        <f>IFERROR(__xludf.DUMMYFUNCTION("""COMPUTED_VALUE"""),"EMANIELLY VITÓRIA PORTUGAL DE ALMEIDA")</f>
        <v/>
      </c>
      <c r="B11" s="34">
        <f>IFERROR(__xludf.DUMMYFUNCTION("""COMPUTED_VALUE"""),"Turma C")</f>
        <v/>
      </c>
      <c r="C11" s="34">
        <f>IFERROR(__xludf.DUMMYFUNCTION("""COMPUTED_VALUE"""),"Vespertino")</f>
        <v/>
      </c>
      <c r="D11" s="34" t="inlineStr">
        <is>
          <t>Veio</t>
        </is>
      </c>
      <c r="E11" s="34" t="inlineStr">
        <is>
          <t>PRÉ-INFANTIL</t>
        </is>
      </c>
      <c r="T11" s="34">
        <f>IFERROR(__xludf.DUMMYFUNCTION("""COMPUTED_VALUE"""),"ISIS EDUARDA ALMEIDA MOITINHO")</f>
        <v/>
      </c>
    </row>
    <row r="12">
      <c r="A12" s="34">
        <f>IFERROR(__xludf.DUMMYFUNCTION("""COMPUTED_VALUE"""),"EMANUELY VITORIA BRITO DOS SANTOS")</f>
        <v/>
      </c>
      <c r="B12" s="34">
        <f>IFERROR(__xludf.DUMMYFUNCTION("""COMPUTED_VALUE"""),"Turma A")</f>
        <v/>
      </c>
      <c r="C12" s="34">
        <f>IFERROR(__xludf.DUMMYFUNCTION("""COMPUTED_VALUE"""),"Vespertino")</f>
        <v/>
      </c>
      <c r="D12" s="34" t="inlineStr">
        <is>
          <t>Veio</t>
        </is>
      </c>
      <c r="E12" s="34" t="inlineStr">
        <is>
          <t>ADULTO</t>
        </is>
      </c>
      <c r="T12" s="34">
        <f>IFERROR(__xludf.DUMMYFUNCTION("""COMPUTED_VALUE"""),"JANAÍNA ARRUDA BONIN")</f>
        <v/>
      </c>
    </row>
    <row r="13">
      <c r="A13" s="34">
        <f>IFERROR(__xludf.DUMMYFUNCTION("""COMPUTED_VALUE"""),"EMILY VITÓRIA DA SILVA SANTOS")</f>
        <v/>
      </c>
      <c r="B13" s="34">
        <f>IFERROR(__xludf.DUMMYFUNCTION("""COMPUTED_VALUE"""),"Turma GR")</f>
        <v/>
      </c>
      <c r="C13" s="34">
        <f>IFERROR(__xludf.DUMMYFUNCTION("""COMPUTED_VALUE"""),"Vespertino")</f>
        <v/>
      </c>
      <c r="D13" s="34" t="inlineStr">
        <is>
          <t>Veio</t>
        </is>
      </c>
      <c r="E13" s="34" t="inlineStr">
        <is>
          <t>ADULTO</t>
        </is>
      </c>
      <c r="T13" s="34">
        <f>IFERROR(__xludf.DUMMYFUNCTION("""COMPUTED_VALUE"""),"Julia Emanuelly Lavratti Oliveira")</f>
        <v/>
      </c>
    </row>
    <row r="14">
      <c r="A14" s="34">
        <f>IFERROR(__xludf.DUMMYFUNCTION("""COMPUTED_VALUE"""),"Estela Martins Lopes")</f>
        <v/>
      </c>
      <c r="B14" s="34">
        <f>IFERROR(__xludf.DUMMYFUNCTION("""COMPUTED_VALUE"""),"Turma A")</f>
        <v/>
      </c>
      <c r="C14" s="34">
        <f>IFERROR(__xludf.DUMMYFUNCTION("""COMPUTED_VALUE"""),"Matutino")</f>
        <v/>
      </c>
      <c r="D14" s="34" t="inlineStr">
        <is>
          <t>Veio</t>
        </is>
      </c>
      <c r="E14" s="34" t="inlineStr">
        <is>
          <t>ADULTO</t>
        </is>
      </c>
      <c r="T14" s="34">
        <f>IFERROR(__xludf.DUMMYFUNCTION("""COMPUTED_VALUE"""),"Kamilly Alves De Souza")</f>
        <v/>
      </c>
    </row>
    <row r="15">
      <c r="A15" s="34">
        <f>IFERROR(__xludf.DUMMYFUNCTION("""COMPUTED_VALUE"""),"ESTHER PROCOPIO DA SILVA")</f>
        <v/>
      </c>
      <c r="B15" s="34">
        <f>IFERROR(__xludf.DUMMYFUNCTION("""COMPUTED_VALUE"""),"Turma GR")</f>
        <v/>
      </c>
      <c r="C15" s="34">
        <f>IFERROR(__xludf.DUMMYFUNCTION("""COMPUTED_VALUE"""),"Vespertino")</f>
        <v/>
      </c>
      <c r="D15" s="34" t="inlineStr">
        <is>
          <t>Veio</t>
        </is>
      </c>
      <c r="E15" s="34" t="inlineStr">
        <is>
          <t>ADULTO</t>
        </is>
      </c>
      <c r="T15" s="34">
        <f>IFERROR(__xludf.DUMMYFUNCTION("""COMPUTED_VALUE"""),"LUANA DO NASCIMENTO FERNANDES")</f>
        <v/>
      </c>
    </row>
    <row r="16">
      <c r="A16" s="34">
        <f>IFERROR(__xludf.DUMMYFUNCTION("""COMPUTED_VALUE"""),"HELOYSA FERNANDA ALVARENGA DOS SANTOS")</f>
        <v/>
      </c>
      <c r="B16" s="34">
        <f>IFERROR(__xludf.DUMMYFUNCTION("""COMPUTED_VALUE"""),"Turma B1")</f>
        <v/>
      </c>
      <c r="C16" s="34">
        <f>IFERROR(__xludf.DUMMYFUNCTION("""COMPUTED_VALUE"""),"Vespertino")</f>
        <v/>
      </c>
      <c r="D16" s="34" t="inlineStr">
        <is>
          <t>Veio</t>
        </is>
      </c>
      <c r="E16" s="34" t="inlineStr">
        <is>
          <t>ADULTO</t>
        </is>
      </c>
      <c r="T16" s="34">
        <f>IFERROR(__xludf.DUMMYFUNCTION("""COMPUTED_VALUE"""),"MARIA FERNANDA DOS SANTOS KUBOTA")</f>
        <v/>
      </c>
    </row>
    <row r="17">
      <c r="A17" s="34">
        <f>IFERROR(__xludf.DUMMYFUNCTION("""COMPUTED_VALUE"""),"ISABELLA MIRANDA DA SILVA")</f>
        <v/>
      </c>
      <c r="B17" s="34">
        <f>IFERROR(__xludf.DUMMYFUNCTION("""COMPUTED_VALUE"""),"Turma B1")</f>
        <v/>
      </c>
      <c r="C17" s="34">
        <f>IFERROR(__xludf.DUMMYFUNCTION("""COMPUTED_VALUE"""),"Vespertino")</f>
        <v/>
      </c>
      <c r="D17" s="34" t="inlineStr">
        <is>
          <t>Veio</t>
        </is>
      </c>
      <c r="E17" s="34" t="inlineStr">
        <is>
          <t>ADULTO</t>
        </is>
      </c>
      <c r="T17" s="34">
        <f>IFERROR(__xludf.DUMMYFUNCTION("""COMPUTED_VALUE"""),"MARIA LUÍSA BARROS DA ROCHA")</f>
        <v/>
      </c>
    </row>
    <row r="18">
      <c r="A18" s="34">
        <f>IFERROR(__xludf.DUMMYFUNCTION("""COMPUTED_VALUE"""),"ISIS EDUARDA ALMEIDA MOITINHO")</f>
        <v/>
      </c>
      <c r="B18" s="34">
        <f>IFERROR(__xludf.DUMMYFUNCTION("""COMPUTED_VALUE"""),"Turma A")</f>
        <v/>
      </c>
      <c r="C18" s="34">
        <f>IFERROR(__xludf.DUMMYFUNCTION("""COMPUTED_VALUE"""),"Vespertino")</f>
        <v/>
      </c>
      <c r="D18" s="34" t="inlineStr">
        <is>
          <t>Veio</t>
        </is>
      </c>
      <c r="E18" s="34" t="inlineStr">
        <is>
          <t>ADULTO</t>
        </is>
      </c>
      <c r="T18" s="34">
        <f>IFERROR(__xludf.DUMMYFUNCTION("""COMPUTED_VALUE"""),"Mikaela Tonete Santana")</f>
        <v/>
      </c>
    </row>
    <row r="19">
      <c r="A19" s="34">
        <f>IFERROR(__xludf.DUMMYFUNCTION("""COMPUTED_VALUE"""),"JANAÍNA ARRUDA BONIN")</f>
        <v/>
      </c>
      <c r="B19" s="34">
        <f>IFERROR(__xludf.DUMMYFUNCTION("""COMPUTED_VALUE"""),"Turma B2")</f>
        <v/>
      </c>
      <c r="C19" s="34">
        <f>IFERROR(__xludf.DUMMYFUNCTION("""COMPUTED_VALUE"""),"Matutino")</f>
        <v/>
      </c>
      <c r="D19" s="34" t="inlineStr">
        <is>
          <t>Veio</t>
        </is>
      </c>
      <c r="E19" s="34" t="inlineStr">
        <is>
          <t>ADULTO</t>
        </is>
      </c>
      <c r="T19" s="34">
        <f>IFERROR(__xludf.DUMMYFUNCTION("""COMPUTED_VALUE"""),"NICOLLY DE PAULO DUTRA")</f>
        <v/>
      </c>
    </row>
    <row r="20">
      <c r="A20" s="34">
        <f>IFERROR(__xludf.DUMMYFUNCTION("""COMPUTED_VALUE"""),"Julia Emanuelly Lavratti Oliveira")</f>
        <v/>
      </c>
      <c r="B20" s="34">
        <f>IFERROR(__xludf.DUMMYFUNCTION("""COMPUTED_VALUE"""),"Turma A")</f>
        <v/>
      </c>
      <c r="C20" s="34">
        <f>IFERROR(__xludf.DUMMYFUNCTION("""COMPUTED_VALUE"""),"Matutino")</f>
        <v/>
      </c>
      <c r="D20" s="34" t="inlineStr">
        <is>
          <t>Veio</t>
        </is>
      </c>
      <c r="E20" s="34" t="inlineStr">
        <is>
          <t>ADULTO</t>
        </is>
      </c>
      <c r="T20" s="34">
        <f>IFERROR(__xludf.DUMMYFUNCTION("""COMPUTED_VALUE"""),"NICOLY CAMARGO MOREIRA")</f>
        <v/>
      </c>
    </row>
    <row r="21">
      <c r="A21" s="34">
        <f>IFERROR(__xludf.DUMMYFUNCTION("""COMPUTED_VALUE"""),"Kamilly Alves De Souza")</f>
        <v/>
      </c>
      <c r="B21" s="34">
        <f>IFERROR(__xludf.DUMMYFUNCTION("""COMPUTED_VALUE"""),"Turma A")</f>
        <v/>
      </c>
      <c r="C21" s="34">
        <f>IFERROR(__xludf.DUMMYFUNCTION("""COMPUTED_VALUE"""),"Matutino")</f>
        <v/>
      </c>
      <c r="D21" s="34" t="inlineStr">
        <is>
          <t>Veio</t>
        </is>
      </c>
      <c r="E21" s="34" t="inlineStr">
        <is>
          <t>ADULTO</t>
        </is>
      </c>
      <c r="T21" s="34">
        <f>IFERROR(__xludf.DUMMYFUNCTION("""COMPUTED_VALUE"""),"REBEKAH HOTTS DE SOUZA")</f>
        <v/>
      </c>
    </row>
    <row r="22">
      <c r="A22" s="34">
        <f>IFERROR(__xludf.DUMMYFUNCTION("""COMPUTED_VALUE"""),"LUANA DO NASCIMENTO FERNANDES")</f>
        <v/>
      </c>
      <c r="B22" s="34">
        <f>IFERROR(__xludf.DUMMYFUNCTION("""COMPUTED_VALUE"""),"Turma B2")</f>
        <v/>
      </c>
      <c r="C22" s="34">
        <f>IFERROR(__xludf.DUMMYFUNCTION("""COMPUTED_VALUE"""),"Vespertino")</f>
        <v/>
      </c>
      <c r="D22" s="34" t="inlineStr">
        <is>
          <t>Veio</t>
        </is>
      </c>
      <c r="E22" s="34" t="inlineStr">
        <is>
          <t>ADULTO</t>
        </is>
      </c>
      <c r="T22" s="34">
        <f>IFERROR(__xludf.DUMMYFUNCTION("""COMPUTED_VALUE"""),"SOPHIA JATOBÁ DOS SANTOS")</f>
        <v/>
      </c>
    </row>
    <row r="23">
      <c r="A23" s="34">
        <f>IFERROR(__xludf.DUMMYFUNCTION("""COMPUTED_VALUE"""),"MARIA FERNANDA DOS SANTOS KUBOTA")</f>
        <v/>
      </c>
      <c r="B23" s="34">
        <f>IFERROR(__xludf.DUMMYFUNCTION("""COMPUTED_VALUE"""),"Turma B2")</f>
        <v/>
      </c>
      <c r="C23" s="34">
        <f>IFERROR(__xludf.DUMMYFUNCTION("""COMPUTED_VALUE"""),"Matutino")</f>
        <v/>
      </c>
      <c r="D23" s="34" t="inlineStr">
        <is>
          <t>Veio</t>
        </is>
      </c>
      <c r="E23" s="34" t="inlineStr">
        <is>
          <t>ADULTO</t>
        </is>
      </c>
    </row>
    <row r="24">
      <c r="A24" s="34">
        <f>IFERROR(__xludf.DUMMYFUNCTION("""COMPUTED_VALUE"""),"MARIA LUÍSA BARROS DA ROCHA")</f>
        <v/>
      </c>
      <c r="B24" s="34">
        <f>IFERROR(__xludf.DUMMYFUNCTION("""COMPUTED_VALUE"""),"Turma C")</f>
        <v/>
      </c>
      <c r="C24" s="34">
        <f>IFERROR(__xludf.DUMMYFUNCTION("""COMPUTED_VALUE"""),"Vespertino")</f>
        <v/>
      </c>
      <c r="D24" s="34" t="inlineStr">
        <is>
          <t>Veio</t>
        </is>
      </c>
      <c r="E24" s="34" t="inlineStr">
        <is>
          <t>ADULTO</t>
        </is>
      </c>
    </row>
    <row r="25">
      <c r="A25" s="34">
        <f>IFERROR(__xludf.DUMMYFUNCTION("""COMPUTED_VALUE"""),"Mikaela Tonete Santana")</f>
        <v/>
      </c>
      <c r="B25" s="34">
        <f>IFERROR(__xludf.DUMMYFUNCTION("""COMPUTED_VALUE"""),"Turma C")</f>
        <v/>
      </c>
      <c r="C25" s="34">
        <f>IFERROR(__xludf.DUMMYFUNCTION("""COMPUTED_VALUE"""),"Matutino")</f>
        <v/>
      </c>
      <c r="D25" s="34" t="inlineStr">
        <is>
          <t>Veio</t>
        </is>
      </c>
      <c r="E25" s="34" t="inlineStr">
        <is>
          <t>ADULTO</t>
        </is>
      </c>
    </row>
    <row r="26">
      <c r="A26" s="34">
        <f>IFERROR(__xludf.DUMMYFUNCTION("""COMPUTED_VALUE"""),"NICOLLY DE PAULO DUTRA")</f>
        <v/>
      </c>
      <c r="B26" s="34">
        <f>IFERROR(__xludf.DUMMYFUNCTION("""COMPUTED_VALUE"""),"Turma B1")</f>
        <v/>
      </c>
      <c r="C26" s="34">
        <f>IFERROR(__xludf.DUMMYFUNCTION("""COMPUTED_VALUE"""),"Vespertino")</f>
        <v/>
      </c>
      <c r="D26" s="34" t="inlineStr">
        <is>
          <t>Veio</t>
        </is>
      </c>
      <c r="E26" s="34" t="inlineStr">
        <is>
          <t>ADULTO</t>
        </is>
      </c>
    </row>
    <row r="27">
      <c r="A27" s="34">
        <f>IFERROR(__xludf.DUMMYFUNCTION("""COMPUTED_VALUE"""),"NICOLY CAMARGO MOREIRA")</f>
        <v/>
      </c>
      <c r="B27" s="34">
        <f>IFERROR(__xludf.DUMMYFUNCTION("""COMPUTED_VALUE"""),"Turma B2")</f>
        <v/>
      </c>
      <c r="C27" s="34">
        <f>IFERROR(__xludf.DUMMYFUNCTION("""COMPUTED_VALUE"""),"Matutino")</f>
        <v/>
      </c>
      <c r="D27" s="34" t="inlineStr">
        <is>
          <t>Veio</t>
        </is>
      </c>
      <c r="E27" s="34" t="inlineStr">
        <is>
          <t>ADULTO</t>
        </is>
      </c>
    </row>
    <row r="28">
      <c r="A28" s="34">
        <f>IFERROR(__xludf.DUMMYFUNCTION("""COMPUTED_VALUE"""),"REBEKAH HOTTS DE SOUZA")</f>
        <v/>
      </c>
      <c r="B28" s="34">
        <f>IFERROR(__xludf.DUMMYFUNCTION("""COMPUTED_VALUE"""),"Turma GR")</f>
        <v/>
      </c>
      <c r="C28" s="34">
        <f>IFERROR(__xludf.DUMMYFUNCTION("""COMPUTED_VALUE"""),"Vespertino")</f>
        <v/>
      </c>
      <c r="D28" s="34" t="inlineStr">
        <is>
          <t>Veio</t>
        </is>
      </c>
      <c r="E28" s="34" t="inlineStr">
        <is>
          <t>ADULTO</t>
        </is>
      </c>
    </row>
    <row r="29">
      <c r="A29" s="34">
        <f>IFERROR(__xludf.DUMMYFUNCTION("""COMPUTED_VALUE"""),"SÂMILY PROCOPIO DA SILVA")</f>
        <v/>
      </c>
      <c r="B29" s="34">
        <f>IFERROR(__xludf.DUMMYFUNCTION("""COMPUTED_VALUE"""),"Turma GR")</f>
        <v/>
      </c>
      <c r="C29" s="34">
        <f>IFERROR(__xludf.DUMMYFUNCTION("""COMPUTED_VALUE"""),"Vespertino")</f>
        <v/>
      </c>
      <c r="D29" s="34" t="inlineStr">
        <is>
          <t>Veio</t>
        </is>
      </c>
      <c r="E29" s="34" t="inlineStr">
        <is>
          <t>JUVENIL</t>
        </is>
      </c>
    </row>
    <row r="30">
      <c r="A30" s="34">
        <f>IFERROR(__xludf.DUMMYFUNCTION("""COMPUTED_VALUE"""),"SOPHIA JATOBÁ DOS SANTOS")</f>
        <v/>
      </c>
      <c r="B30" s="34">
        <f>IFERROR(__xludf.DUMMYFUNCTION("""COMPUTED_VALUE"""),"Turma A")</f>
        <v/>
      </c>
      <c r="C30" s="34">
        <f>IFERROR(__xludf.DUMMYFUNCTION("""COMPUTED_VALUE"""),"Vespertino")</f>
        <v/>
      </c>
      <c r="D30" s="34" t="inlineStr">
        <is>
          <t>Veio</t>
        </is>
      </c>
      <c r="E30" s="34" t="inlineStr">
        <is>
          <t>ADULTO</t>
        </is>
      </c>
    </row>
    <row r="31">
      <c r="A31" s="34">
        <f>IFERROR(__xludf.DUMMYFUNCTION("""COMPUTED_VALUE"""),"VICTOR EMANUEL ALMEIDA MARTINS")</f>
        <v/>
      </c>
      <c r="B31" s="34">
        <f>IFERROR(__xludf.DUMMYFUNCTION("""COMPUTED_VALUE"""),"Turma B1")</f>
        <v/>
      </c>
      <c r="C31" s="34">
        <f>IFERROR(__xludf.DUMMYFUNCTION("""COMPUTED_VALUE"""),"Vespertino")</f>
        <v/>
      </c>
      <c r="D31" s="34" t="inlineStr">
        <is>
          <t>Veio</t>
        </is>
      </c>
      <c r="E31" s="34" t="inlineStr">
        <is>
          <t>PRÉ-INFANTIL</t>
        </is>
      </c>
    </row>
  </sheetData>
  <mergeCells count="8">
    <mergeCell ref="G2:I2"/>
    <mergeCell ref="G1:I1"/>
    <mergeCell ref="O1:Q1"/>
    <mergeCell ref="K2:M2"/>
    <mergeCell ref="S1:U1"/>
    <mergeCell ref="O2:Q2"/>
    <mergeCell ref="S2:U2"/>
    <mergeCell ref="K1:M1"/>
  </mergeCells>
  <dataValidations count="2">
    <dataValidation sqref="D2:D31" showDropDown="0" showInputMessage="0" showErrorMessage="1" allowBlank="1" type="list">
      <formula1>"Veio,Não Veio"</formula1>
    </dataValidation>
    <dataValidation sqref="E2:E31" showDropDown="0" showInputMessage="0" showErrorMessage="1" allowBlank="1" type="list">
      <formula1>"PRÉ-INFANTIL,INFANTIL,JUVENIL,ADULTO"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128" min="6" max="6"/>
    <col width="14.5" customWidth="1" style="128" min="7" max="8"/>
  </cols>
  <sheetData>
    <row r="1" ht="42.75" customHeight="1" s="128">
      <c r="A1" s="42" t="inlineStr">
        <is>
          <t>Categoria</t>
        </is>
      </c>
      <c r="B1" s="42" t="inlineStr">
        <is>
          <t>Turma</t>
        </is>
      </c>
      <c r="C1" s="42" t="inlineStr">
        <is>
          <t>Vitórias</t>
        </is>
      </c>
      <c r="D1" s="42" t="inlineStr">
        <is>
          <t>Empates</t>
        </is>
      </c>
      <c r="E1" s="42" t="inlineStr">
        <is>
          <t>Jogos Extras</t>
        </is>
      </c>
      <c r="F1" s="42" t="inlineStr">
        <is>
          <t>Atividades</t>
        </is>
      </c>
      <c r="G1" s="43" t="inlineStr">
        <is>
          <t>Grito de Guerra / Mascote / Bandeira</t>
        </is>
      </c>
      <c r="H1" s="44" t="inlineStr">
        <is>
          <t>Perdas</t>
        </is>
      </c>
      <c r="I1" s="45" t="inlineStr">
        <is>
          <t>Pontos</t>
        </is>
      </c>
      <c r="J1" s="46" t="inlineStr">
        <is>
          <t>Posição</t>
        </is>
      </c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>
      <c r="A2" s="47" t="inlineStr">
        <is>
          <t>Infantil</t>
        </is>
      </c>
      <c r="B2" s="50" t="inlineStr">
        <is>
          <t>A m</t>
        </is>
      </c>
      <c r="C2" s="50">
        <f t="array" ref="C2">COUNTIF({Futebol!I:I; Futsal!I:I; Queimada!I:I; 'Rouba-Bandeira'!I:I}, B2)</f>
        <v/>
      </c>
      <c r="D2" s="50">
        <f t="array" ref="D2">SUMPRODUCT(({Futebol!I:I;Futsal!I:I;Queimada!I:I;'Rouba-Bandeira'!I:I}="Empate")*(({Futebol!H:H;Futsal!H:H;Queimada!H:H;'Rouba-Bandeira'!H:H}=$B2)+({Futebol!G:G;Futsal!G:G;Queimada!G:G;'Rouba-Bandeira'!G:G}=$B2)))  
</f>
        <v/>
      </c>
      <c r="E2" s="50" t="n">
        <v>0</v>
      </c>
      <c r="F2" s="133" t="inlineStr">
        <is>
          <t>Futebol          Futsal         Queimada Rouba-Bandeira</t>
        </is>
      </c>
      <c r="G2" s="50" t="n">
        <v>0</v>
      </c>
      <c r="H2" s="50" t="n">
        <v>0</v>
      </c>
      <c r="I2" s="50">
        <f>((C2*3) + (D2*1) + (E2*1) + G2) - H2</f>
        <v/>
      </c>
      <c r="J2" s="87" t="inlineStr">
        <is>
          <t>B1 m</t>
        </is>
      </c>
    </row>
    <row r="3">
      <c r="A3" s="134" t="n"/>
      <c r="B3" s="54" t="inlineStr">
        <is>
          <t>A v</t>
        </is>
      </c>
      <c r="C3" s="54">
        <f t="array" ref="C3">COUNTIF({Futebol!I:I; Futsal!I:I; Queimada!I:I; 'Rouba-Bandeira'!I:I}, B3)</f>
        <v/>
      </c>
      <c r="D3" s="54">
        <f t="array" ref="D3">SUMPRODUCT(({Futebol!I:I;Futsal!I:I;Queimada!I:I;'Rouba-Bandeira'!I:I}="Empate")*(({Futebol!H:H;Futsal!H:H;Queimada!H:H;'Rouba-Bandeira'!H:H}=$B3)+({Futebol!G:G;Futsal!G:G;Queimada!G:G;'Rouba-Bandeira'!G:G}=$B3)))  
</f>
        <v/>
      </c>
      <c r="E3" s="54" t="n">
        <v>3</v>
      </c>
      <c r="F3" s="134" t="n"/>
      <c r="G3" s="54" t="n">
        <v>0</v>
      </c>
      <c r="H3" s="54" t="n">
        <v>1</v>
      </c>
      <c r="I3" s="54">
        <f>((C3*3) + (D3*1) + (E3*1) + G3) - H3</f>
        <v/>
      </c>
    </row>
    <row r="4">
      <c r="A4" s="134" t="n"/>
      <c r="B4" s="50" t="inlineStr">
        <is>
          <t>B1 m</t>
        </is>
      </c>
      <c r="C4" s="50">
        <f t="array" ref="C4">COUNTIF({Futebol!I:I; Futsal!I:I; Queimada!I:I; 'Rouba-Bandeira'!I:I}, B4)</f>
        <v/>
      </c>
      <c r="D4" s="50">
        <f t="array" ref="D4">SUMPRODUCT(({Futebol!I:I;Futsal!I:I;Queimada!I:I;'Rouba-Bandeira'!I:I}="Empate")*(({Futebol!H:H;Futsal!H:H;Queimada!H:H;'Rouba-Bandeira'!H:H}=$B4)+({Futebol!G:G;Futsal!G:G;Queimada!G:G;'Rouba-Bandeira'!G:G}=$B4)))  
</f>
        <v/>
      </c>
      <c r="E4" s="50" t="n">
        <v>0</v>
      </c>
      <c r="F4" s="134" t="n"/>
      <c r="G4" s="50" t="n">
        <v>3</v>
      </c>
      <c r="H4" s="50" t="n">
        <v>1</v>
      </c>
      <c r="I4" s="50">
        <f>((C4*3) + (D4*1) + (E4*1) + G4) - H4</f>
        <v/>
      </c>
    </row>
    <row r="5">
      <c r="A5" s="134" t="n"/>
      <c r="B5" s="54" t="inlineStr">
        <is>
          <t>B1 v</t>
        </is>
      </c>
      <c r="C5" s="54">
        <f t="array" ref="C5">COUNTIF({Futebol!I:I; Futsal!I:I; Queimada!I:I; 'Rouba-Bandeira'!I:I}, B5)</f>
        <v/>
      </c>
      <c r="D5" s="54">
        <f t="array" ref="D5">SUMPRODUCT(({Futebol!I:I;Futsal!I:I;Queimada!I:I;'Rouba-Bandeira'!I:I}="Empate")*(({Futebol!H:H;Futsal!H:H;Queimada!H:H;'Rouba-Bandeira'!H:H}=$B5)+({Futebol!G:G;Futsal!G:G;Queimada!G:G;'Rouba-Bandeira'!G:G}=$B5)))  
</f>
        <v/>
      </c>
      <c r="E5" s="54" t="n">
        <v>0</v>
      </c>
      <c r="F5" s="134" t="n"/>
      <c r="G5" s="54" t="n">
        <v>0</v>
      </c>
      <c r="H5" s="54" t="n">
        <v>1</v>
      </c>
      <c r="I5" s="54">
        <f>((C5*3) + (D5*1) + (E5*1) + G5) - H5</f>
        <v/>
      </c>
    </row>
    <row r="6">
      <c r="A6" s="134" t="n"/>
      <c r="B6" s="50" t="inlineStr">
        <is>
          <t>B2 m</t>
        </is>
      </c>
      <c r="C6" s="50">
        <f t="array" ref="C6">COUNTIF({Futebol!I:I; Futsal!I:I; Queimada!I:I; 'Rouba-Bandeira'!I:I}, B6)</f>
        <v/>
      </c>
      <c r="D6" s="50">
        <f t="array" ref="D6">SUMPRODUCT(({Futebol!I:I;Futsal!I:I;Queimada!I:I;'Rouba-Bandeira'!I:I}="Empate")*(({Futebol!H:H;Futsal!H:H;Queimada!H:H;'Rouba-Bandeira'!H:H}=$B6)+({Futebol!G:G;Futsal!G:G;Queimada!G:G;'Rouba-Bandeira'!G:G}=$B6)))  
</f>
        <v/>
      </c>
      <c r="E6" s="50" t="n">
        <v>0</v>
      </c>
      <c r="F6" s="135" t="n"/>
      <c r="G6" s="50" t="n">
        <v>0</v>
      </c>
      <c r="H6" s="50" t="n">
        <v>1</v>
      </c>
      <c r="I6" s="50">
        <f>((C6*3) + (D6*1) + (E6*1) + G6) - H6</f>
        <v/>
      </c>
    </row>
    <row r="7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58" t="n"/>
    </row>
    <row r="8">
      <c r="A8" s="136" t="inlineStr">
        <is>
          <t>Juvenil</t>
        </is>
      </c>
      <c r="B8" s="50" t="inlineStr">
        <is>
          <t>B2 v</t>
        </is>
      </c>
      <c r="C8" s="50">
        <f t="array" ref="C8">COUNTIF({Futebol!I:I; Futsal!I:I; Queimada!I:I; 'Rouba-Bandeira'!I:I;Basquete!I:I}, B8)</f>
        <v/>
      </c>
      <c r="D8" s="50">
        <f t="array" ref="D8">SUMPRODUCT(({Futebol!I:I;Futsal!I:I;Queimada!I:I;'Rouba-Bandeira'!I:I;Basquete!I:I}="Empate")*(({Futebol!H:H;Futsal!H:H;Queimada!H:H;'Rouba-Bandeira'!H:H;Basquete!H:H}=$B8)+({Futebol!G:G;Futsal!G:G;Queimada!G:G;'Rouba-Bandeira'!G:G;Basquete!G:G}=$B8)))</f>
        <v/>
      </c>
      <c r="E8" s="50" t="n">
        <v>0</v>
      </c>
      <c r="F8" s="133" t="inlineStr">
        <is>
          <t>Futebol          Futsal         Queimada Rouba-Bandeira Basquete</t>
        </is>
      </c>
      <c r="G8" s="50" t="n">
        <v>0</v>
      </c>
      <c r="H8" s="50" t="n">
        <v>1</v>
      </c>
      <c r="I8" s="50">
        <f>((C8*3) + (D8*1) + (E8*1) + G8) - H8</f>
        <v/>
      </c>
      <c r="J8" s="87" t="inlineStr">
        <is>
          <t>D v</t>
        </is>
      </c>
    </row>
    <row r="9">
      <c r="A9" s="134" t="n"/>
      <c r="B9" s="54" t="inlineStr">
        <is>
          <t>C m</t>
        </is>
      </c>
      <c r="C9" s="54">
        <f t="array" ref="C9">COUNTIF({Futebol!I:I; Futsal!I:I; Queimada!I:I; 'Rouba-Bandeira'!I:I;Basquete!I:I}, B9)</f>
        <v/>
      </c>
      <c r="D9" s="54">
        <f t="array" ref="D9">SUMPRODUCT(({Futebol!I:I;Futsal!I:I;Queimada!I:I;'Rouba-Bandeira'!I:I;Basquete!I:I}="Empate")*(({Futebol!H:H;Futsal!H:H;Queimada!H:H;'Rouba-Bandeira'!H:H;Basquete!H:H}=$B9)+({Futebol!G:G;Futsal!G:G;Queimada!G:G;'Rouba-Bandeira'!G:G;Basquete!G:G}=$B9)))</f>
        <v/>
      </c>
      <c r="E9" s="54" t="n">
        <v>0</v>
      </c>
      <c r="F9" s="134" t="n"/>
      <c r="G9" s="54" t="n">
        <v>0</v>
      </c>
      <c r="H9" s="54" t="n">
        <v>5</v>
      </c>
      <c r="I9" s="54">
        <f>((C9*3) + (D9*1) + (E9*1) + G9) - H9</f>
        <v/>
      </c>
    </row>
    <row r="10">
      <c r="A10" s="134" t="n"/>
      <c r="B10" s="50" t="inlineStr">
        <is>
          <t>C v</t>
        </is>
      </c>
      <c r="C10" s="50">
        <f t="array" ref="C10">COUNTIF({Futebol!I:I; Futsal!I:I; Queimada!I:I; 'Rouba-Bandeira'!I:I;Basquete!I:I}, B10)</f>
        <v/>
      </c>
      <c r="D10" s="50">
        <f t="array" ref="D10">SUMPRODUCT(({Futebol!I:I;Futsal!I:I;Queimada!I:I;'Rouba-Bandeira'!I:I;Basquete!I:I}="Empate")*(({Futebol!H:H;Futsal!H:H;Queimada!H:H;'Rouba-Bandeira'!H:H;Basquete!H:H}=$B10)+({Futebol!G:G;Futsal!G:G;Queimada!G:G;'Rouba-Bandeira'!G:G;Basquete!G:G}=$B10)))</f>
        <v/>
      </c>
      <c r="E10" s="50" t="n">
        <v>0</v>
      </c>
      <c r="F10" s="134" t="n"/>
      <c r="G10" s="50" t="n">
        <v>3</v>
      </c>
      <c r="H10" s="50" t="n">
        <v>1</v>
      </c>
      <c r="I10" s="50">
        <f>((C10*3) + (D10*1) + (E10*1) + G10) - H10</f>
        <v/>
      </c>
    </row>
    <row r="11">
      <c r="A11" s="134" t="n"/>
      <c r="B11" s="54" t="inlineStr">
        <is>
          <t>D m</t>
        </is>
      </c>
      <c r="C11" s="54">
        <f t="array" ref="C11">COUNTIF({Futebol!I:I; Futsal!I:I; Queimada!I:I; 'Rouba-Bandeira'!I:I;Basquete!I:I}, B11)</f>
        <v/>
      </c>
      <c r="D11" s="54">
        <f t="array" ref="D11">SUMPRODUCT(({Futebol!I:I;Futsal!I:I;Queimada!I:I;'Rouba-Bandeira'!I:I;Basquete!I:I}="Empate")*(({Futebol!H:H;Futsal!H:H;Queimada!H:H;'Rouba-Bandeira'!H:H;Basquete!H:H}=$B11)+({Futebol!G:G;Futsal!G:G;Queimada!G:G;'Rouba-Bandeira'!G:G;Basquete!G:G}=$B11)))</f>
        <v/>
      </c>
      <c r="E11" s="54" t="n">
        <v>1</v>
      </c>
      <c r="F11" s="134" t="n"/>
      <c r="G11" s="54" t="n">
        <v>0</v>
      </c>
      <c r="H11" s="54" t="n">
        <v>12</v>
      </c>
      <c r="I11" s="54">
        <f>((C11*3) + (D11*1) + (E11*1) + G11) - H11</f>
        <v/>
      </c>
    </row>
    <row r="12" ht="33" customHeight="1" s="128">
      <c r="A12" s="135" t="n"/>
      <c r="B12" s="50" t="inlineStr">
        <is>
          <t>D v</t>
        </is>
      </c>
      <c r="C12" s="50">
        <f t="array" ref="C12">COUNTIF({Futebol!I:I; Futsal!I:I; Queimada!I:I; 'Rouba-Bandeira'!I:I;Basquete!I:I}, B12)</f>
        <v/>
      </c>
      <c r="D12" s="50">
        <f t="array" ref="D12">SUMPRODUCT(({Futebol!I:I;Futsal!I:I;Queimada!I:I;'Rouba-Bandeira'!I:I;Basquete!I:I}="Empate")*(({Futebol!H:H;Futsal!H:H;Queimada!H:H;'Rouba-Bandeira'!H:H;Basquete!H:H}=$B12)+({Futebol!G:G;Futsal!G:G;Queimada!G:G;'Rouba-Bandeira'!G:G;Basquete!G:G}=$B12)))</f>
        <v/>
      </c>
      <c r="E12" s="50" t="n">
        <v>1</v>
      </c>
      <c r="F12" s="135" t="n"/>
      <c r="G12" s="50" t="n">
        <v>0</v>
      </c>
      <c r="H12" s="50" t="n">
        <v>4</v>
      </c>
      <c r="I12" s="50">
        <f>((C12*3) + (D12*1) + (E12*1) + G12) - H12</f>
        <v/>
      </c>
    </row>
    <row r="13">
      <c r="A13" s="84" t="n"/>
      <c r="B13" s="84" t="n"/>
      <c r="C13" s="84" t="n"/>
      <c r="D13" s="84" t="n"/>
      <c r="E13" s="84" t="n"/>
      <c r="F13" s="84" t="n"/>
      <c r="G13" s="84" t="n"/>
      <c r="H13" s="84" t="n"/>
      <c r="I13" s="84" t="n"/>
      <c r="J13" s="58" t="n"/>
    </row>
    <row r="14" ht="51.75" customHeight="1" s="128">
      <c r="A14" s="136" t="inlineStr">
        <is>
          <t>Júnior</t>
        </is>
      </c>
      <c r="B14" s="50" t="inlineStr">
        <is>
          <t>E m</t>
        </is>
      </c>
      <c r="C14" s="50">
        <f t="array" ref="C14">COUNTIF({Futebol!I:I; Futsal!I:I; Queimada!I:I; 'Rouba-Bandeira'!I:I;Basquete!I:I;'Volêi'!I:I}, B14)</f>
        <v/>
      </c>
      <c r="D14" s="50">
        <f t="array" ref="D14">SUMPRODUCT(({Futebol!I:I;Futsal!I:I;Queimada!I:I;'Rouba-Bandeira'!I:I;Basquete!I:I;'Volêi'!I:I}="Empate")*(({Futebol!H:H;Futsal!H:H;Queimada!H:H;'Rouba-Bandeira'!H:H;Basquete!H:H;'Volêi'!H:H}=$B14)+({Futebol!G:G;Futsal!G:G;Queimada!G:G;'Rouba-Bandeira'!G:G;Basquete!G:G;'Volêi'!G:G}=$B14)))
</f>
        <v/>
      </c>
      <c r="E14" s="50" t="n">
        <v>0</v>
      </c>
      <c r="F14" s="133" t="inlineStr">
        <is>
          <t>Futebol          Futsal          Queimada Rouba-Bandeira Basquete           Vôlei</t>
        </is>
      </c>
      <c r="G14" s="50" t="n">
        <v>0</v>
      </c>
      <c r="H14" s="50" t="n">
        <v>1</v>
      </c>
      <c r="I14" s="50">
        <f>((C14*3) + (D14*1) + (E14*1) + G14) - H14</f>
        <v/>
      </c>
      <c r="J14" s="87" t="inlineStr">
        <is>
          <t>E m</t>
        </is>
      </c>
    </row>
    <row r="15" ht="38.25" customHeight="1" s="128">
      <c r="A15" s="134" t="n"/>
      <c r="B15" s="54" t="inlineStr">
        <is>
          <t>E v</t>
        </is>
      </c>
      <c r="C15" s="54">
        <f t="array" ref="C15">COUNTIF({Futebol!I:I; Futsal!I:I; Queimada!I:I; 'Rouba-Bandeira'!I:I;Basquete!I:I;'Volêi'!I:I}, B15)</f>
        <v/>
      </c>
      <c r="D15" s="54">
        <f t="array" ref="D15">SUMPRODUCT(({Futebol!I:I;Futsal!I:I;Queimada!I:I;'Rouba-Bandeira'!I:I;Basquete!I:I;'Volêi'!I:I}="Empate")*(({Futebol!H:H;Futsal!H:H;Queimada!H:H;'Rouba-Bandeira'!H:H;Basquete!H:H;'Volêi'!H:H}=$B15)+({Futebol!G:G;Futsal!G:G;Queimada!G:G;'Rouba-Bandeira'!G:G;Basquete!G:G;'Volêi'!G:G}=$B15)))
</f>
        <v/>
      </c>
      <c r="E15" s="54" t="n">
        <v>3</v>
      </c>
      <c r="F15" s="134" t="n"/>
      <c r="G15" s="54" t="n">
        <v>0</v>
      </c>
      <c r="H15" s="54" t="n">
        <v>1</v>
      </c>
      <c r="I15" s="54">
        <f>((C15*3) + (D15*1) + (E15*1) + G15) - H15</f>
        <v/>
      </c>
    </row>
    <row r="16" ht="28.5" customHeight="1" s="128">
      <c r="A16" s="135" t="n"/>
      <c r="B16" s="50" t="inlineStr">
        <is>
          <t>GR</t>
        </is>
      </c>
      <c r="C16" s="50">
        <f t="array" ref="C16">COUNTIF({Futebol!I:I; Futsal!I:I; Queimada!I:I; 'Rouba-Bandeira'!I:I;Basquete!I:I;'Volêi'!I:I}, B16)</f>
        <v/>
      </c>
      <c r="D16" s="50">
        <f t="array" ref="D16">SUMPRODUCT(({Futebol!I:I;Futsal!I:I;Queimada!I:I;'Rouba-Bandeira'!I:I;Basquete!I:I;'Volêi'!I:I}="Empate")*(({Futebol!H:H;Futsal!H:H;Queimada!H:H;'Rouba-Bandeira'!H:H;Basquete!H:H;'Volêi'!H:H}=$B16)+({Futebol!G:G;Futsal!G:G;Queimada!G:G;'Rouba-Bandeira'!G:G;Basquete!G:G;'Volêi'!G:G}=$B16)))
</f>
        <v/>
      </c>
      <c r="E16" s="50" t="n">
        <v>0</v>
      </c>
      <c r="F16" s="135" t="n"/>
      <c r="G16" s="50" t="n">
        <v>3</v>
      </c>
      <c r="H16" s="50" t="n">
        <v>2</v>
      </c>
      <c r="I16" s="50">
        <f>((C16*3) + (D16*1) + (E16*1) + G16) - H16</f>
        <v/>
      </c>
    </row>
    <row r="17">
      <c r="A17" s="59" t="n"/>
      <c r="F17" s="25" t="n"/>
      <c r="J17" s="24" t="n"/>
    </row>
    <row r="18">
      <c r="J18" s="24" t="n"/>
    </row>
    <row r="19">
      <c r="J19" s="24" t="n"/>
    </row>
    <row r="20">
      <c r="J20" s="24" t="n"/>
    </row>
    <row r="21">
      <c r="J21" s="24" t="n"/>
    </row>
    <row r="22">
      <c r="J22" s="24" t="n"/>
    </row>
    <row r="23">
      <c r="J23" s="24" t="n"/>
    </row>
    <row r="24">
      <c r="J24" s="24" t="n"/>
    </row>
    <row r="25">
      <c r="J25" s="24" t="n"/>
    </row>
    <row r="26">
      <c r="J26" s="24" t="n"/>
    </row>
    <row r="27">
      <c r="J27" s="24" t="n"/>
    </row>
    <row r="28">
      <c r="J28" s="24" t="n"/>
    </row>
    <row r="29">
      <c r="J29" s="24" t="n"/>
    </row>
    <row r="30">
      <c r="J30" s="24" t="n"/>
    </row>
    <row r="31">
      <c r="J31" s="24" t="n"/>
    </row>
    <row r="32">
      <c r="J32" s="24" t="n"/>
    </row>
    <row r="33">
      <c r="J33" s="24" t="n"/>
    </row>
    <row r="34">
      <c r="J34" s="24" t="n"/>
    </row>
    <row r="35">
      <c r="J35" s="24" t="n"/>
    </row>
    <row r="36">
      <c r="J36" s="24" t="n"/>
    </row>
    <row r="37">
      <c r="J37" s="24" t="n"/>
    </row>
    <row r="38">
      <c r="J38" s="24" t="n"/>
    </row>
    <row r="39">
      <c r="J39" s="24" t="n"/>
    </row>
    <row r="40">
      <c r="J40" s="24" t="n"/>
    </row>
    <row r="41">
      <c r="J41" s="24" t="n"/>
    </row>
    <row r="42">
      <c r="J42" s="24" t="n"/>
    </row>
    <row r="43">
      <c r="J43" s="24" t="n"/>
    </row>
    <row r="44">
      <c r="J44" s="24" t="n"/>
    </row>
    <row r="45">
      <c r="J45" s="24" t="n"/>
    </row>
    <row r="46">
      <c r="J46" s="24" t="n"/>
    </row>
    <row r="47">
      <c r="J47" s="24" t="n"/>
    </row>
    <row r="48">
      <c r="J48" s="24" t="n"/>
    </row>
    <row r="49">
      <c r="J49" s="24" t="n"/>
    </row>
    <row r="50">
      <c r="J50" s="24" t="n"/>
    </row>
    <row r="51">
      <c r="J51" s="24" t="n"/>
    </row>
    <row r="52">
      <c r="J52" s="24" t="n"/>
    </row>
    <row r="53">
      <c r="J53" s="24" t="n"/>
    </row>
    <row r="54">
      <c r="J54" s="24" t="n"/>
    </row>
    <row r="55">
      <c r="J55" s="24" t="n"/>
    </row>
    <row r="56">
      <c r="J56" s="24" t="n"/>
    </row>
    <row r="57">
      <c r="J57" s="24" t="n"/>
    </row>
    <row r="58">
      <c r="J58" s="24" t="n"/>
    </row>
    <row r="59">
      <c r="J59" s="24" t="n"/>
    </row>
    <row r="60">
      <c r="J60" s="24" t="n"/>
    </row>
    <row r="61">
      <c r="J61" s="24" t="n"/>
    </row>
    <row r="62">
      <c r="J62" s="24" t="n"/>
    </row>
    <row r="63">
      <c r="J63" s="24" t="n"/>
    </row>
    <row r="64">
      <c r="J64" s="24" t="n"/>
    </row>
    <row r="65">
      <c r="J65" s="24" t="n"/>
    </row>
    <row r="66">
      <c r="J66" s="24" t="n"/>
    </row>
    <row r="67">
      <c r="J67" s="24" t="n"/>
    </row>
    <row r="68">
      <c r="J68" s="24" t="n"/>
    </row>
    <row r="69">
      <c r="J69" s="24" t="n"/>
    </row>
    <row r="70">
      <c r="J70" s="24" t="n"/>
    </row>
    <row r="71">
      <c r="J71" s="24" t="n"/>
    </row>
    <row r="72">
      <c r="J72" s="24" t="n"/>
    </row>
    <row r="73">
      <c r="J73" s="24" t="n"/>
    </row>
    <row r="74">
      <c r="J74" s="24" t="n"/>
    </row>
    <row r="75">
      <c r="J75" s="24" t="n"/>
    </row>
    <row r="76">
      <c r="J76" s="24" t="n"/>
    </row>
    <row r="77">
      <c r="J77" s="24" t="n"/>
    </row>
    <row r="78">
      <c r="J78" s="24" t="n"/>
    </row>
    <row r="79">
      <c r="J79" s="24" t="n"/>
    </row>
    <row r="80">
      <c r="J80" s="24" t="n"/>
    </row>
    <row r="81">
      <c r="J81" s="24" t="n"/>
    </row>
    <row r="82">
      <c r="J82" s="24" t="n"/>
    </row>
    <row r="83">
      <c r="J83" s="24" t="n"/>
    </row>
    <row r="84">
      <c r="J84" s="24" t="n"/>
    </row>
    <row r="85">
      <c r="J85" s="24" t="n"/>
    </row>
    <row r="86">
      <c r="J86" s="24" t="n"/>
    </row>
    <row r="87">
      <c r="J87" s="24" t="n"/>
    </row>
    <row r="88">
      <c r="J88" s="24" t="n"/>
    </row>
    <row r="89">
      <c r="J89" s="24" t="n"/>
    </row>
    <row r="90">
      <c r="J90" s="24" t="n"/>
    </row>
    <row r="91">
      <c r="J91" s="24" t="n"/>
    </row>
    <row r="92">
      <c r="J92" s="24" t="n"/>
    </row>
    <row r="93">
      <c r="J93" s="24" t="n"/>
    </row>
    <row r="94">
      <c r="J94" s="24" t="n"/>
    </row>
    <row r="95">
      <c r="J95" s="24" t="n"/>
    </row>
    <row r="96">
      <c r="J96" s="24" t="n"/>
    </row>
    <row r="97">
      <c r="J97" s="24" t="n"/>
    </row>
    <row r="98">
      <c r="J98" s="24" t="n"/>
    </row>
    <row r="99">
      <c r="J99" s="24" t="n"/>
    </row>
    <row r="100">
      <c r="J100" s="24" t="n"/>
    </row>
    <row r="101">
      <c r="J101" s="24" t="n"/>
    </row>
    <row r="102">
      <c r="J102" s="24" t="n"/>
    </row>
    <row r="103">
      <c r="J103" s="24" t="n"/>
    </row>
    <row r="104">
      <c r="J104" s="24" t="n"/>
    </row>
    <row r="105">
      <c r="J105" s="24" t="n"/>
    </row>
    <row r="106">
      <c r="J106" s="24" t="n"/>
    </row>
    <row r="107">
      <c r="J107" s="24" t="n"/>
    </row>
    <row r="108">
      <c r="J108" s="24" t="n"/>
    </row>
    <row r="109">
      <c r="J109" s="24" t="n"/>
    </row>
    <row r="110">
      <c r="J110" s="24" t="n"/>
    </row>
    <row r="111">
      <c r="J111" s="24" t="n"/>
    </row>
    <row r="112">
      <c r="J112" s="24" t="n"/>
    </row>
    <row r="113">
      <c r="J113" s="24" t="n"/>
    </row>
    <row r="114">
      <c r="J114" s="24" t="n"/>
    </row>
    <row r="115">
      <c r="J115" s="24" t="n"/>
    </row>
    <row r="116">
      <c r="J116" s="24" t="n"/>
    </row>
    <row r="117">
      <c r="J117" s="24" t="n"/>
    </row>
    <row r="118">
      <c r="J118" s="24" t="n"/>
    </row>
    <row r="119">
      <c r="J119" s="24" t="n"/>
    </row>
    <row r="120">
      <c r="J120" s="24" t="n"/>
    </row>
    <row r="121">
      <c r="J121" s="24" t="n"/>
    </row>
    <row r="122">
      <c r="J122" s="24" t="n"/>
    </row>
    <row r="123">
      <c r="J123" s="24" t="n"/>
    </row>
    <row r="124">
      <c r="J124" s="24" t="n"/>
    </row>
    <row r="125">
      <c r="J125" s="24" t="n"/>
    </row>
    <row r="126">
      <c r="J126" s="24" t="n"/>
    </row>
    <row r="127">
      <c r="J127" s="24" t="n"/>
    </row>
    <row r="128">
      <c r="J128" s="24" t="n"/>
    </row>
    <row r="129">
      <c r="J129" s="24" t="n"/>
    </row>
    <row r="130">
      <c r="J130" s="24" t="n"/>
    </row>
    <row r="131">
      <c r="J131" s="24" t="n"/>
    </row>
    <row r="132">
      <c r="J132" s="24" t="n"/>
    </row>
    <row r="133">
      <c r="J133" s="24" t="n"/>
    </row>
    <row r="134">
      <c r="J134" s="24" t="n"/>
    </row>
    <row r="135">
      <c r="J135" s="24" t="n"/>
    </row>
    <row r="136">
      <c r="J136" s="24" t="n"/>
    </row>
    <row r="137">
      <c r="J137" s="24" t="n"/>
    </row>
    <row r="138">
      <c r="J138" s="24" t="n"/>
    </row>
    <row r="139">
      <c r="J139" s="24" t="n"/>
    </row>
    <row r="140">
      <c r="J140" s="24" t="n"/>
    </row>
    <row r="141">
      <c r="J141" s="24" t="n"/>
    </row>
    <row r="142">
      <c r="J142" s="24" t="n"/>
    </row>
    <row r="143">
      <c r="J143" s="24" t="n"/>
    </row>
    <row r="144">
      <c r="J144" s="24" t="n"/>
    </row>
    <row r="145">
      <c r="J145" s="24" t="n"/>
    </row>
    <row r="146">
      <c r="J146" s="24" t="n"/>
    </row>
    <row r="147">
      <c r="J147" s="24" t="n"/>
    </row>
    <row r="148">
      <c r="J148" s="24" t="n"/>
    </row>
    <row r="149">
      <c r="J149" s="24" t="n"/>
    </row>
    <row r="150">
      <c r="J150" s="24" t="n"/>
    </row>
    <row r="151">
      <c r="J151" s="24" t="n"/>
    </row>
    <row r="152">
      <c r="J152" s="24" t="n"/>
    </row>
    <row r="153">
      <c r="J153" s="24" t="n"/>
    </row>
    <row r="154">
      <c r="J154" s="24" t="n"/>
    </row>
    <row r="155">
      <c r="J155" s="24" t="n"/>
    </row>
    <row r="156">
      <c r="J156" s="24" t="n"/>
    </row>
    <row r="157">
      <c r="J157" s="24" t="n"/>
    </row>
    <row r="158">
      <c r="J158" s="24" t="n"/>
    </row>
    <row r="159">
      <c r="J159" s="24" t="n"/>
    </row>
    <row r="160">
      <c r="J160" s="24" t="n"/>
    </row>
    <row r="161">
      <c r="J161" s="24" t="n"/>
    </row>
    <row r="162">
      <c r="J162" s="24" t="n"/>
    </row>
    <row r="163">
      <c r="J163" s="24" t="n"/>
    </row>
    <row r="164">
      <c r="J164" s="24" t="n"/>
    </row>
    <row r="165">
      <c r="J165" s="24" t="n"/>
    </row>
    <row r="166">
      <c r="J166" s="24" t="n"/>
    </row>
    <row r="167">
      <c r="J167" s="24" t="n"/>
    </row>
    <row r="168">
      <c r="J168" s="24" t="n"/>
    </row>
    <row r="169">
      <c r="J169" s="24" t="n"/>
    </row>
    <row r="170">
      <c r="J170" s="24" t="n"/>
    </row>
    <row r="171">
      <c r="J171" s="24" t="n"/>
    </row>
    <row r="172">
      <c r="J172" s="24" t="n"/>
    </row>
    <row r="173">
      <c r="J173" s="24" t="n"/>
    </row>
    <row r="174">
      <c r="J174" s="24" t="n"/>
    </row>
    <row r="175">
      <c r="J175" s="24" t="n"/>
    </row>
    <row r="176">
      <c r="J176" s="24" t="n"/>
    </row>
    <row r="177">
      <c r="J177" s="24" t="n"/>
    </row>
    <row r="178">
      <c r="J178" s="24" t="n"/>
    </row>
    <row r="179">
      <c r="J179" s="24" t="n"/>
    </row>
    <row r="180">
      <c r="J180" s="24" t="n"/>
    </row>
    <row r="181">
      <c r="J181" s="24" t="n"/>
    </row>
    <row r="182">
      <c r="J182" s="24" t="n"/>
    </row>
    <row r="183">
      <c r="J183" s="24" t="n"/>
    </row>
    <row r="184">
      <c r="J184" s="24" t="n"/>
    </row>
    <row r="185">
      <c r="J185" s="24" t="n"/>
    </row>
    <row r="186">
      <c r="J186" s="24" t="n"/>
    </row>
    <row r="187">
      <c r="J187" s="24" t="n"/>
    </row>
    <row r="188">
      <c r="J188" s="24" t="n"/>
    </row>
    <row r="189">
      <c r="J189" s="24" t="n"/>
    </row>
    <row r="190">
      <c r="J190" s="24" t="n"/>
    </row>
    <row r="191">
      <c r="J191" s="24" t="n"/>
    </row>
    <row r="192">
      <c r="J192" s="24" t="n"/>
    </row>
    <row r="193">
      <c r="J193" s="24" t="n"/>
    </row>
    <row r="194">
      <c r="J194" s="24" t="n"/>
    </row>
    <row r="195">
      <c r="J195" s="24" t="n"/>
    </row>
    <row r="196">
      <c r="J196" s="24" t="n"/>
    </row>
    <row r="197">
      <c r="J197" s="24" t="n"/>
    </row>
    <row r="198">
      <c r="J198" s="24" t="n"/>
    </row>
    <row r="199">
      <c r="J199" s="24" t="n"/>
    </row>
    <row r="200">
      <c r="J200" s="24" t="n"/>
    </row>
    <row r="201">
      <c r="J201" s="24" t="n"/>
    </row>
    <row r="202">
      <c r="J202" s="24" t="n"/>
    </row>
    <row r="203">
      <c r="J203" s="24" t="n"/>
    </row>
    <row r="204">
      <c r="J204" s="24" t="n"/>
    </row>
    <row r="205">
      <c r="J205" s="24" t="n"/>
    </row>
    <row r="206">
      <c r="J206" s="24" t="n"/>
    </row>
    <row r="207">
      <c r="J207" s="24" t="n"/>
    </row>
    <row r="208">
      <c r="J208" s="24" t="n"/>
    </row>
    <row r="209">
      <c r="J209" s="24" t="n"/>
    </row>
    <row r="210">
      <c r="J210" s="24" t="n"/>
    </row>
    <row r="211">
      <c r="J211" s="24" t="n"/>
    </row>
    <row r="212">
      <c r="J212" s="24" t="n"/>
    </row>
    <row r="213">
      <c r="J213" s="24" t="n"/>
    </row>
    <row r="214">
      <c r="J214" s="24" t="n"/>
    </row>
    <row r="215">
      <c r="J215" s="24" t="n"/>
    </row>
    <row r="216">
      <c r="J216" s="24" t="n"/>
    </row>
    <row r="217">
      <c r="J217" s="24" t="n"/>
    </row>
    <row r="218">
      <c r="J218" s="24" t="n"/>
    </row>
    <row r="219">
      <c r="J219" s="24" t="n"/>
    </row>
    <row r="220">
      <c r="J220" s="24" t="n"/>
    </row>
    <row r="221">
      <c r="J221" s="24" t="n"/>
    </row>
    <row r="222">
      <c r="J222" s="24" t="n"/>
    </row>
    <row r="223">
      <c r="J223" s="24" t="n"/>
    </row>
    <row r="224">
      <c r="J224" s="24" t="n"/>
    </row>
    <row r="225">
      <c r="J225" s="24" t="n"/>
    </row>
    <row r="226">
      <c r="J226" s="24" t="n"/>
    </row>
    <row r="227">
      <c r="J227" s="24" t="n"/>
    </row>
    <row r="228">
      <c r="J228" s="24" t="n"/>
    </row>
    <row r="229">
      <c r="J229" s="24" t="n"/>
    </row>
    <row r="230">
      <c r="J230" s="24" t="n"/>
    </row>
    <row r="231">
      <c r="J231" s="24" t="n"/>
    </row>
    <row r="232">
      <c r="J232" s="24" t="n"/>
    </row>
    <row r="233">
      <c r="J233" s="24" t="n"/>
    </row>
    <row r="234">
      <c r="J234" s="24" t="n"/>
    </row>
    <row r="235">
      <c r="J235" s="24" t="n"/>
    </row>
    <row r="236">
      <c r="J236" s="24" t="n"/>
    </row>
    <row r="237">
      <c r="J237" s="24" t="n"/>
    </row>
    <row r="238">
      <c r="J238" s="24" t="n"/>
    </row>
    <row r="239">
      <c r="J239" s="24" t="n"/>
    </row>
    <row r="240">
      <c r="J240" s="24" t="n"/>
    </row>
    <row r="241">
      <c r="J241" s="24" t="n"/>
    </row>
    <row r="242">
      <c r="J242" s="24" t="n"/>
    </row>
    <row r="243">
      <c r="J243" s="24" t="n"/>
    </row>
    <row r="244">
      <c r="J244" s="24" t="n"/>
    </row>
    <row r="245">
      <c r="J245" s="24" t="n"/>
    </row>
    <row r="246">
      <c r="J246" s="24" t="n"/>
    </row>
    <row r="247">
      <c r="J247" s="24" t="n"/>
    </row>
    <row r="248">
      <c r="J248" s="24" t="n"/>
    </row>
    <row r="249">
      <c r="J249" s="24" t="n"/>
    </row>
    <row r="250">
      <c r="J250" s="24" t="n"/>
    </row>
    <row r="251">
      <c r="J251" s="24" t="n"/>
    </row>
    <row r="252">
      <c r="J252" s="24" t="n"/>
    </row>
    <row r="253">
      <c r="J253" s="24" t="n"/>
    </row>
    <row r="254">
      <c r="J254" s="24" t="n"/>
    </row>
    <row r="255">
      <c r="J255" s="24" t="n"/>
    </row>
    <row r="256">
      <c r="J256" s="24" t="n"/>
    </row>
    <row r="257">
      <c r="J257" s="24" t="n"/>
    </row>
    <row r="258">
      <c r="J258" s="24" t="n"/>
    </row>
    <row r="259">
      <c r="J259" s="24" t="n"/>
    </row>
    <row r="260">
      <c r="J260" s="24" t="n"/>
    </row>
    <row r="261">
      <c r="J261" s="24" t="n"/>
    </row>
    <row r="262">
      <c r="J262" s="24" t="n"/>
    </row>
    <row r="263">
      <c r="J263" s="24" t="n"/>
    </row>
    <row r="264">
      <c r="J264" s="24" t="n"/>
    </row>
    <row r="265">
      <c r="J265" s="24" t="n"/>
    </row>
    <row r="266">
      <c r="J266" s="24" t="n"/>
    </row>
    <row r="267">
      <c r="J267" s="24" t="n"/>
    </row>
    <row r="268">
      <c r="J268" s="24" t="n"/>
    </row>
    <row r="269">
      <c r="J269" s="24" t="n"/>
    </row>
    <row r="270">
      <c r="J270" s="24" t="n"/>
    </row>
    <row r="271">
      <c r="J271" s="24" t="n"/>
    </row>
    <row r="272">
      <c r="J272" s="24" t="n"/>
    </row>
    <row r="273">
      <c r="J273" s="24" t="n"/>
    </row>
    <row r="274">
      <c r="J274" s="24" t="n"/>
    </row>
    <row r="275">
      <c r="J275" s="24" t="n"/>
    </row>
    <row r="276">
      <c r="J276" s="24" t="n"/>
    </row>
    <row r="277">
      <c r="J277" s="24" t="n"/>
    </row>
    <row r="278">
      <c r="J278" s="24" t="n"/>
    </row>
    <row r="279">
      <c r="J279" s="24" t="n"/>
    </row>
    <row r="280">
      <c r="J280" s="24" t="n"/>
    </row>
    <row r="281">
      <c r="J281" s="24" t="n"/>
    </row>
    <row r="282">
      <c r="J282" s="24" t="n"/>
    </row>
    <row r="283">
      <c r="J283" s="24" t="n"/>
    </row>
    <row r="284">
      <c r="J284" s="24" t="n"/>
    </row>
    <row r="285">
      <c r="J285" s="24" t="n"/>
    </row>
    <row r="286">
      <c r="J286" s="24" t="n"/>
    </row>
    <row r="287">
      <c r="J287" s="24" t="n"/>
    </row>
    <row r="288">
      <c r="J288" s="24" t="n"/>
    </row>
    <row r="289">
      <c r="J289" s="24" t="n"/>
    </row>
    <row r="290">
      <c r="J290" s="24" t="n"/>
    </row>
    <row r="291">
      <c r="J291" s="24" t="n"/>
    </row>
    <row r="292">
      <c r="J292" s="24" t="n"/>
    </row>
    <row r="293">
      <c r="J293" s="24" t="n"/>
    </row>
    <row r="294">
      <c r="J294" s="24" t="n"/>
    </row>
    <row r="295">
      <c r="J295" s="24" t="n"/>
    </row>
    <row r="296">
      <c r="J296" s="24" t="n"/>
    </row>
    <row r="297">
      <c r="J297" s="24" t="n"/>
    </row>
    <row r="298">
      <c r="J298" s="24" t="n"/>
    </row>
    <row r="299">
      <c r="J299" s="24" t="n"/>
    </row>
    <row r="300">
      <c r="J300" s="24" t="n"/>
    </row>
    <row r="301">
      <c r="J301" s="24" t="n"/>
    </row>
    <row r="302">
      <c r="J302" s="24" t="n"/>
    </row>
    <row r="303">
      <c r="J303" s="24" t="n"/>
    </row>
    <row r="304">
      <c r="J304" s="24" t="n"/>
    </row>
    <row r="305">
      <c r="J305" s="24" t="n"/>
    </row>
    <row r="306">
      <c r="J306" s="24" t="n"/>
    </row>
    <row r="307">
      <c r="J307" s="24" t="n"/>
    </row>
    <row r="308">
      <c r="J308" s="24" t="n"/>
    </row>
    <row r="309">
      <c r="J309" s="24" t="n"/>
    </row>
    <row r="310">
      <c r="J310" s="24" t="n"/>
    </row>
    <row r="311">
      <c r="J311" s="24" t="n"/>
    </row>
    <row r="312">
      <c r="J312" s="24" t="n"/>
    </row>
    <row r="313">
      <c r="J313" s="24" t="n"/>
    </row>
    <row r="314">
      <c r="J314" s="24" t="n"/>
    </row>
    <row r="315">
      <c r="J315" s="24" t="n"/>
    </row>
    <row r="316">
      <c r="J316" s="24" t="n"/>
    </row>
    <row r="317">
      <c r="J317" s="24" t="n"/>
    </row>
    <row r="318">
      <c r="J318" s="24" t="n"/>
    </row>
    <row r="319">
      <c r="J319" s="24" t="n"/>
    </row>
    <row r="320">
      <c r="J320" s="24" t="n"/>
    </row>
    <row r="321">
      <c r="J321" s="24" t="n"/>
    </row>
    <row r="322">
      <c r="J322" s="24" t="n"/>
    </row>
    <row r="323">
      <c r="J323" s="24" t="n"/>
    </row>
    <row r="324">
      <c r="J324" s="24" t="n"/>
    </row>
    <row r="325">
      <c r="J325" s="24" t="n"/>
    </row>
    <row r="326">
      <c r="J326" s="24" t="n"/>
    </row>
    <row r="327">
      <c r="J327" s="24" t="n"/>
    </row>
    <row r="328">
      <c r="J328" s="24" t="n"/>
    </row>
    <row r="329">
      <c r="J329" s="24" t="n"/>
    </row>
    <row r="330">
      <c r="J330" s="24" t="n"/>
    </row>
    <row r="331">
      <c r="J331" s="24" t="n"/>
    </row>
    <row r="332">
      <c r="J332" s="24" t="n"/>
    </row>
    <row r="333">
      <c r="J333" s="24" t="n"/>
    </row>
    <row r="334">
      <c r="J334" s="24" t="n"/>
    </row>
    <row r="335">
      <c r="J335" s="24" t="n"/>
    </row>
    <row r="336">
      <c r="J336" s="24" t="n"/>
    </row>
    <row r="337">
      <c r="J337" s="24" t="n"/>
    </row>
    <row r="338">
      <c r="J338" s="24" t="n"/>
    </row>
    <row r="339">
      <c r="J339" s="24" t="n"/>
    </row>
    <row r="340">
      <c r="J340" s="24" t="n"/>
    </row>
    <row r="341">
      <c r="J341" s="24" t="n"/>
    </row>
    <row r="342">
      <c r="J342" s="24" t="n"/>
    </row>
    <row r="343">
      <c r="J343" s="24" t="n"/>
    </row>
    <row r="344">
      <c r="J344" s="24" t="n"/>
    </row>
    <row r="345">
      <c r="J345" s="24" t="n"/>
    </row>
    <row r="346">
      <c r="J346" s="24" t="n"/>
    </row>
    <row r="347">
      <c r="J347" s="24" t="n"/>
    </row>
    <row r="348">
      <c r="J348" s="24" t="n"/>
    </row>
    <row r="349">
      <c r="J349" s="24" t="n"/>
    </row>
    <row r="350">
      <c r="J350" s="24" t="n"/>
    </row>
    <row r="351">
      <c r="J351" s="24" t="n"/>
    </row>
    <row r="352">
      <c r="J352" s="24" t="n"/>
    </row>
    <row r="353">
      <c r="J353" s="24" t="n"/>
    </row>
    <row r="354">
      <c r="J354" s="24" t="n"/>
    </row>
    <row r="355">
      <c r="J355" s="24" t="n"/>
    </row>
    <row r="356">
      <c r="J356" s="24" t="n"/>
    </row>
    <row r="357">
      <c r="J357" s="24" t="n"/>
    </row>
    <row r="358">
      <c r="J358" s="24" t="n"/>
    </row>
    <row r="359">
      <c r="J359" s="24" t="n"/>
    </row>
    <row r="360">
      <c r="J360" s="24" t="n"/>
    </row>
    <row r="361">
      <c r="J361" s="24" t="n"/>
    </row>
    <row r="362">
      <c r="J362" s="24" t="n"/>
    </row>
    <row r="363">
      <c r="J363" s="24" t="n"/>
    </row>
    <row r="364">
      <c r="J364" s="24" t="n"/>
    </row>
    <row r="365">
      <c r="J365" s="24" t="n"/>
    </row>
    <row r="366">
      <c r="J366" s="24" t="n"/>
    </row>
    <row r="367">
      <c r="J367" s="24" t="n"/>
    </row>
    <row r="368">
      <c r="J368" s="24" t="n"/>
    </row>
    <row r="369">
      <c r="J369" s="24" t="n"/>
    </row>
    <row r="370">
      <c r="J370" s="24" t="n"/>
    </row>
    <row r="371">
      <c r="J371" s="24" t="n"/>
    </row>
    <row r="372">
      <c r="J372" s="24" t="n"/>
    </row>
    <row r="373">
      <c r="J373" s="24" t="n"/>
    </row>
    <row r="374">
      <c r="J374" s="24" t="n"/>
    </row>
    <row r="375">
      <c r="J375" s="24" t="n"/>
    </row>
    <row r="376">
      <c r="J376" s="24" t="n"/>
    </row>
    <row r="377">
      <c r="J377" s="24" t="n"/>
    </row>
    <row r="378">
      <c r="J378" s="24" t="n"/>
    </row>
    <row r="379">
      <c r="J379" s="24" t="n"/>
    </row>
    <row r="380">
      <c r="J380" s="24" t="n"/>
    </row>
    <row r="381">
      <c r="J381" s="24" t="n"/>
    </row>
    <row r="382">
      <c r="J382" s="24" t="n"/>
    </row>
    <row r="383">
      <c r="J383" s="24" t="n"/>
    </row>
    <row r="384">
      <c r="J384" s="24" t="n"/>
    </row>
    <row r="385">
      <c r="J385" s="24" t="n"/>
    </row>
    <row r="386">
      <c r="J386" s="24" t="n"/>
    </row>
    <row r="387">
      <c r="J387" s="24" t="n"/>
    </row>
    <row r="388">
      <c r="J388" s="24" t="n"/>
    </row>
    <row r="389">
      <c r="J389" s="24" t="n"/>
    </row>
    <row r="390">
      <c r="J390" s="24" t="n"/>
    </row>
    <row r="391">
      <c r="J391" s="24" t="n"/>
    </row>
    <row r="392">
      <c r="J392" s="24" t="n"/>
    </row>
    <row r="393">
      <c r="J393" s="24" t="n"/>
    </row>
    <row r="394">
      <c r="J394" s="24" t="n"/>
    </row>
    <row r="395">
      <c r="J395" s="24" t="n"/>
    </row>
    <row r="396">
      <c r="J396" s="24" t="n"/>
    </row>
    <row r="397">
      <c r="J397" s="24" t="n"/>
    </row>
    <row r="398">
      <c r="J398" s="24" t="n"/>
    </row>
    <row r="399">
      <c r="J399" s="24" t="n"/>
    </row>
    <row r="400">
      <c r="J400" s="24" t="n"/>
    </row>
    <row r="401">
      <c r="J401" s="24" t="n"/>
    </row>
    <row r="402">
      <c r="J402" s="24" t="n"/>
    </row>
    <row r="403">
      <c r="J403" s="24" t="n"/>
    </row>
    <row r="404">
      <c r="J404" s="24" t="n"/>
    </row>
    <row r="405">
      <c r="J405" s="24" t="n"/>
    </row>
    <row r="406">
      <c r="J406" s="24" t="n"/>
    </row>
    <row r="407">
      <c r="J407" s="24" t="n"/>
    </row>
    <row r="408">
      <c r="J408" s="24" t="n"/>
    </row>
    <row r="409">
      <c r="J409" s="24" t="n"/>
    </row>
    <row r="410">
      <c r="J410" s="24" t="n"/>
    </row>
    <row r="411">
      <c r="J411" s="24" t="n"/>
    </row>
    <row r="412">
      <c r="J412" s="24" t="n"/>
    </row>
    <row r="413">
      <c r="J413" s="24" t="n"/>
    </row>
    <row r="414">
      <c r="J414" s="24" t="n"/>
    </row>
    <row r="415">
      <c r="J415" s="24" t="n"/>
    </row>
    <row r="416">
      <c r="J416" s="24" t="n"/>
    </row>
    <row r="417">
      <c r="J417" s="24" t="n"/>
    </row>
    <row r="418">
      <c r="J418" s="24" t="n"/>
    </row>
    <row r="419">
      <c r="J419" s="24" t="n"/>
    </row>
    <row r="420">
      <c r="J420" s="24" t="n"/>
    </row>
    <row r="421">
      <c r="J421" s="24" t="n"/>
    </row>
    <row r="422">
      <c r="J422" s="24" t="n"/>
    </row>
    <row r="423">
      <c r="J423" s="24" t="n"/>
    </row>
    <row r="424">
      <c r="J424" s="24" t="n"/>
    </row>
    <row r="425">
      <c r="J425" s="24" t="n"/>
    </row>
    <row r="426">
      <c r="J426" s="24" t="n"/>
    </row>
    <row r="427">
      <c r="J427" s="24" t="n"/>
    </row>
    <row r="428">
      <c r="J428" s="24" t="n"/>
    </row>
    <row r="429">
      <c r="J429" s="24" t="n"/>
    </row>
    <row r="430">
      <c r="J430" s="24" t="n"/>
    </row>
    <row r="431">
      <c r="J431" s="24" t="n"/>
    </row>
    <row r="432">
      <c r="J432" s="24" t="n"/>
    </row>
    <row r="433">
      <c r="J433" s="24" t="n"/>
    </row>
    <row r="434">
      <c r="J434" s="24" t="n"/>
    </row>
    <row r="435">
      <c r="J435" s="24" t="n"/>
    </row>
    <row r="436">
      <c r="J436" s="24" t="n"/>
    </row>
    <row r="437">
      <c r="J437" s="24" t="n"/>
    </row>
    <row r="438">
      <c r="J438" s="24" t="n"/>
    </row>
    <row r="439">
      <c r="J439" s="24" t="n"/>
    </row>
    <row r="440">
      <c r="J440" s="24" t="n"/>
    </row>
    <row r="441">
      <c r="J441" s="24" t="n"/>
    </row>
    <row r="442">
      <c r="J442" s="24" t="n"/>
    </row>
    <row r="443">
      <c r="J443" s="24" t="n"/>
    </row>
    <row r="444">
      <c r="J444" s="24" t="n"/>
    </row>
    <row r="445">
      <c r="J445" s="24" t="n"/>
    </row>
    <row r="446">
      <c r="J446" s="24" t="n"/>
    </row>
    <row r="447">
      <c r="J447" s="24" t="n"/>
    </row>
    <row r="448">
      <c r="J448" s="24" t="n"/>
    </row>
    <row r="449">
      <c r="J449" s="24" t="n"/>
    </row>
    <row r="450">
      <c r="J450" s="24" t="n"/>
    </row>
    <row r="451">
      <c r="J451" s="24" t="n"/>
    </row>
    <row r="452">
      <c r="J452" s="24" t="n"/>
    </row>
    <row r="453">
      <c r="J453" s="24" t="n"/>
    </row>
    <row r="454">
      <c r="J454" s="24" t="n"/>
    </row>
    <row r="455">
      <c r="J455" s="24" t="n"/>
    </row>
    <row r="456">
      <c r="J456" s="24" t="n"/>
    </row>
    <row r="457">
      <c r="J457" s="24" t="n"/>
    </row>
    <row r="458">
      <c r="J458" s="24" t="n"/>
    </row>
    <row r="459">
      <c r="J459" s="24" t="n"/>
    </row>
    <row r="460">
      <c r="J460" s="24" t="n"/>
    </row>
    <row r="461">
      <c r="J461" s="24" t="n"/>
    </row>
    <row r="462">
      <c r="J462" s="24" t="n"/>
    </row>
    <row r="463">
      <c r="J463" s="24" t="n"/>
    </row>
    <row r="464">
      <c r="J464" s="24" t="n"/>
    </row>
    <row r="465">
      <c r="J465" s="24" t="n"/>
    </row>
    <row r="466">
      <c r="J466" s="24" t="n"/>
    </row>
    <row r="467">
      <c r="J467" s="24" t="n"/>
    </row>
    <row r="468">
      <c r="J468" s="24" t="n"/>
    </row>
    <row r="469">
      <c r="J469" s="24" t="n"/>
    </row>
    <row r="470">
      <c r="J470" s="24" t="n"/>
    </row>
    <row r="471">
      <c r="J471" s="24" t="n"/>
    </row>
    <row r="472">
      <c r="J472" s="24" t="n"/>
    </row>
    <row r="473">
      <c r="J473" s="24" t="n"/>
    </row>
    <row r="474">
      <c r="J474" s="24" t="n"/>
    </row>
    <row r="475">
      <c r="J475" s="24" t="n"/>
    </row>
    <row r="476">
      <c r="J476" s="24" t="n"/>
    </row>
    <row r="477">
      <c r="J477" s="24" t="n"/>
    </row>
    <row r="478">
      <c r="J478" s="24" t="n"/>
    </row>
    <row r="479">
      <c r="J479" s="24" t="n"/>
    </row>
    <row r="480">
      <c r="J480" s="24" t="n"/>
    </row>
    <row r="481">
      <c r="J481" s="24" t="n"/>
    </row>
    <row r="482">
      <c r="J482" s="24" t="n"/>
    </row>
    <row r="483">
      <c r="J483" s="24" t="n"/>
    </row>
    <row r="484">
      <c r="J484" s="24" t="n"/>
    </row>
    <row r="485">
      <c r="J485" s="24" t="n"/>
    </row>
    <row r="486">
      <c r="J486" s="24" t="n"/>
    </row>
    <row r="487">
      <c r="J487" s="24" t="n"/>
    </row>
    <row r="488">
      <c r="J488" s="24" t="n"/>
    </row>
    <row r="489">
      <c r="J489" s="24" t="n"/>
    </row>
    <row r="490">
      <c r="J490" s="24" t="n"/>
    </row>
    <row r="491">
      <c r="J491" s="24" t="n"/>
    </row>
    <row r="492">
      <c r="J492" s="24" t="n"/>
    </row>
    <row r="493">
      <c r="J493" s="24" t="n"/>
    </row>
    <row r="494">
      <c r="J494" s="24" t="n"/>
    </row>
    <row r="495">
      <c r="J495" s="24" t="n"/>
    </row>
    <row r="496">
      <c r="J496" s="24" t="n"/>
    </row>
    <row r="497">
      <c r="J497" s="24" t="n"/>
    </row>
    <row r="498">
      <c r="J498" s="24" t="n"/>
    </row>
    <row r="499">
      <c r="J499" s="24" t="n"/>
    </row>
    <row r="500">
      <c r="J500" s="24" t="n"/>
    </row>
    <row r="501">
      <c r="J501" s="24" t="n"/>
    </row>
    <row r="502">
      <c r="J502" s="24" t="n"/>
    </row>
    <row r="503">
      <c r="J503" s="24" t="n"/>
    </row>
    <row r="504">
      <c r="J504" s="24" t="n"/>
    </row>
    <row r="505">
      <c r="J505" s="24" t="n"/>
    </row>
    <row r="506">
      <c r="J506" s="24" t="n"/>
    </row>
    <row r="507">
      <c r="J507" s="24" t="n"/>
    </row>
    <row r="508">
      <c r="J508" s="24" t="n"/>
    </row>
    <row r="509">
      <c r="J509" s="24" t="n"/>
    </row>
    <row r="510">
      <c r="J510" s="24" t="n"/>
    </row>
    <row r="511">
      <c r="J511" s="24" t="n"/>
    </row>
    <row r="512">
      <c r="J512" s="24" t="n"/>
    </row>
    <row r="513">
      <c r="J513" s="24" t="n"/>
    </row>
    <row r="514">
      <c r="J514" s="24" t="n"/>
    </row>
    <row r="515">
      <c r="J515" s="24" t="n"/>
    </row>
    <row r="516">
      <c r="J516" s="24" t="n"/>
    </row>
    <row r="517">
      <c r="J517" s="24" t="n"/>
    </row>
    <row r="518">
      <c r="J518" s="24" t="n"/>
    </row>
    <row r="519">
      <c r="J519" s="24" t="n"/>
    </row>
    <row r="520">
      <c r="J520" s="24" t="n"/>
    </row>
    <row r="521">
      <c r="J521" s="24" t="n"/>
    </row>
    <row r="522">
      <c r="J522" s="24" t="n"/>
    </row>
    <row r="523">
      <c r="J523" s="24" t="n"/>
    </row>
    <row r="524">
      <c r="J524" s="24" t="n"/>
    </row>
    <row r="525">
      <c r="J525" s="24" t="n"/>
    </row>
    <row r="526">
      <c r="J526" s="24" t="n"/>
    </row>
    <row r="527">
      <c r="J527" s="24" t="n"/>
    </row>
    <row r="528">
      <c r="J528" s="24" t="n"/>
    </row>
    <row r="529">
      <c r="J529" s="24" t="n"/>
    </row>
    <row r="530">
      <c r="J530" s="24" t="n"/>
    </row>
    <row r="531">
      <c r="J531" s="24" t="n"/>
    </row>
    <row r="532">
      <c r="J532" s="24" t="n"/>
    </row>
    <row r="533">
      <c r="J533" s="24" t="n"/>
    </row>
    <row r="534">
      <c r="J534" s="24" t="n"/>
    </row>
    <row r="535">
      <c r="J535" s="24" t="n"/>
    </row>
    <row r="536">
      <c r="J536" s="24" t="n"/>
    </row>
    <row r="537">
      <c r="J537" s="24" t="n"/>
    </row>
    <row r="538">
      <c r="J538" s="24" t="n"/>
    </row>
    <row r="539">
      <c r="J539" s="24" t="n"/>
    </row>
    <row r="540">
      <c r="J540" s="24" t="n"/>
    </row>
    <row r="541">
      <c r="J541" s="24" t="n"/>
    </row>
    <row r="542">
      <c r="J542" s="24" t="n"/>
    </row>
    <row r="543">
      <c r="J543" s="24" t="n"/>
    </row>
    <row r="544">
      <c r="J544" s="24" t="n"/>
    </row>
    <row r="545">
      <c r="J545" s="24" t="n"/>
    </row>
    <row r="546">
      <c r="J546" s="24" t="n"/>
    </row>
    <row r="547">
      <c r="J547" s="24" t="n"/>
    </row>
    <row r="548">
      <c r="J548" s="24" t="n"/>
    </row>
    <row r="549">
      <c r="J549" s="24" t="n"/>
    </row>
    <row r="550">
      <c r="J550" s="24" t="n"/>
    </row>
    <row r="551">
      <c r="J551" s="24" t="n"/>
    </row>
    <row r="552">
      <c r="J552" s="24" t="n"/>
    </row>
    <row r="553">
      <c r="J553" s="24" t="n"/>
    </row>
    <row r="554">
      <c r="J554" s="24" t="n"/>
    </row>
    <row r="555">
      <c r="J555" s="24" t="n"/>
    </row>
    <row r="556">
      <c r="J556" s="24" t="n"/>
    </row>
    <row r="557">
      <c r="J557" s="24" t="n"/>
    </row>
    <row r="558">
      <c r="J558" s="24" t="n"/>
    </row>
    <row r="559">
      <c r="J559" s="24" t="n"/>
    </row>
    <row r="560">
      <c r="J560" s="24" t="n"/>
    </row>
    <row r="561">
      <c r="J561" s="24" t="n"/>
    </row>
    <row r="562">
      <c r="J562" s="24" t="n"/>
    </row>
    <row r="563">
      <c r="J563" s="24" t="n"/>
    </row>
    <row r="564">
      <c r="J564" s="24" t="n"/>
    </row>
    <row r="565">
      <c r="J565" s="24" t="n"/>
    </row>
    <row r="566">
      <c r="J566" s="24" t="n"/>
    </row>
    <row r="567">
      <c r="J567" s="24" t="n"/>
    </row>
    <row r="568">
      <c r="J568" s="24" t="n"/>
    </row>
    <row r="569">
      <c r="J569" s="24" t="n"/>
    </row>
    <row r="570">
      <c r="J570" s="24" t="n"/>
    </row>
    <row r="571">
      <c r="J571" s="24" t="n"/>
    </row>
    <row r="572">
      <c r="J572" s="24" t="n"/>
    </row>
    <row r="573">
      <c r="J573" s="24" t="n"/>
    </row>
    <row r="574">
      <c r="J574" s="24" t="n"/>
    </row>
    <row r="575">
      <c r="J575" s="24" t="n"/>
    </row>
    <row r="576">
      <c r="J576" s="24" t="n"/>
    </row>
    <row r="577">
      <c r="J577" s="24" t="n"/>
    </row>
    <row r="578">
      <c r="J578" s="24" t="n"/>
    </row>
    <row r="579">
      <c r="J579" s="24" t="n"/>
    </row>
    <row r="580">
      <c r="J580" s="24" t="n"/>
    </row>
    <row r="581">
      <c r="J581" s="24" t="n"/>
    </row>
    <row r="582">
      <c r="J582" s="24" t="n"/>
    </row>
    <row r="583">
      <c r="J583" s="24" t="n"/>
    </row>
    <row r="584">
      <c r="J584" s="24" t="n"/>
    </row>
    <row r="585">
      <c r="J585" s="24" t="n"/>
    </row>
    <row r="586">
      <c r="J586" s="24" t="n"/>
    </row>
    <row r="587">
      <c r="J587" s="24" t="n"/>
    </row>
    <row r="588">
      <c r="J588" s="24" t="n"/>
    </row>
    <row r="589">
      <c r="J589" s="24" t="n"/>
    </row>
    <row r="590">
      <c r="J590" s="24" t="n"/>
    </row>
    <row r="591">
      <c r="J591" s="24" t="n"/>
    </row>
    <row r="592">
      <c r="J592" s="24" t="n"/>
    </row>
    <row r="593">
      <c r="J593" s="24" t="n"/>
    </row>
    <row r="594">
      <c r="J594" s="24" t="n"/>
    </row>
    <row r="595">
      <c r="J595" s="24" t="n"/>
    </row>
    <row r="596">
      <c r="J596" s="24" t="n"/>
    </row>
    <row r="597">
      <c r="J597" s="24" t="n"/>
    </row>
    <row r="598">
      <c r="J598" s="24" t="n"/>
    </row>
    <row r="599">
      <c r="J599" s="24" t="n"/>
    </row>
    <row r="600">
      <c r="J600" s="24" t="n"/>
    </row>
    <row r="601">
      <c r="J601" s="24" t="n"/>
    </row>
    <row r="602">
      <c r="J602" s="24" t="n"/>
    </row>
    <row r="603">
      <c r="J603" s="24" t="n"/>
    </row>
    <row r="604">
      <c r="J604" s="24" t="n"/>
    </row>
    <row r="605">
      <c r="J605" s="24" t="n"/>
    </row>
    <row r="606">
      <c r="J606" s="24" t="n"/>
    </row>
    <row r="607">
      <c r="J607" s="24" t="n"/>
    </row>
    <row r="608">
      <c r="J608" s="24" t="n"/>
    </row>
    <row r="609">
      <c r="J609" s="24" t="n"/>
    </row>
    <row r="610">
      <c r="J610" s="24" t="n"/>
    </row>
    <row r="611">
      <c r="J611" s="24" t="n"/>
    </row>
    <row r="612">
      <c r="J612" s="24" t="n"/>
    </row>
    <row r="613">
      <c r="J613" s="24" t="n"/>
    </row>
    <row r="614">
      <c r="J614" s="24" t="n"/>
    </row>
    <row r="615">
      <c r="J615" s="24" t="n"/>
    </row>
    <row r="616">
      <c r="J616" s="24" t="n"/>
    </row>
    <row r="617">
      <c r="J617" s="24" t="n"/>
    </row>
    <row r="618">
      <c r="J618" s="24" t="n"/>
    </row>
    <row r="619">
      <c r="J619" s="24" t="n"/>
    </row>
    <row r="620">
      <c r="J620" s="24" t="n"/>
    </row>
    <row r="621">
      <c r="J621" s="24" t="n"/>
    </row>
    <row r="622">
      <c r="J622" s="24" t="n"/>
    </row>
    <row r="623">
      <c r="J623" s="24" t="n"/>
    </row>
    <row r="624">
      <c r="J624" s="24" t="n"/>
    </row>
    <row r="625">
      <c r="J625" s="24" t="n"/>
    </row>
    <row r="626">
      <c r="J626" s="24" t="n"/>
    </row>
    <row r="627">
      <c r="J627" s="24" t="n"/>
    </row>
    <row r="628">
      <c r="J628" s="24" t="n"/>
    </row>
    <row r="629">
      <c r="J629" s="24" t="n"/>
    </row>
    <row r="630">
      <c r="J630" s="24" t="n"/>
    </row>
    <row r="631">
      <c r="J631" s="24" t="n"/>
    </row>
    <row r="632">
      <c r="J632" s="24" t="n"/>
    </row>
    <row r="633">
      <c r="J633" s="24" t="n"/>
    </row>
    <row r="634">
      <c r="J634" s="24" t="n"/>
    </row>
    <row r="635">
      <c r="J635" s="24" t="n"/>
    </row>
    <row r="636">
      <c r="J636" s="24" t="n"/>
    </row>
    <row r="637">
      <c r="J637" s="24" t="n"/>
    </row>
    <row r="638">
      <c r="J638" s="24" t="n"/>
    </row>
    <row r="639">
      <c r="J639" s="24" t="n"/>
    </row>
    <row r="640">
      <c r="J640" s="24" t="n"/>
    </row>
    <row r="641">
      <c r="J641" s="24" t="n"/>
    </row>
    <row r="642">
      <c r="J642" s="24" t="n"/>
    </row>
    <row r="643">
      <c r="J643" s="24" t="n"/>
    </row>
    <row r="644">
      <c r="J644" s="24" t="n"/>
    </row>
    <row r="645">
      <c r="J645" s="24" t="n"/>
    </row>
    <row r="646">
      <c r="J646" s="24" t="n"/>
    </row>
    <row r="647">
      <c r="J647" s="24" t="n"/>
    </row>
    <row r="648">
      <c r="J648" s="24" t="n"/>
    </row>
    <row r="649">
      <c r="J649" s="24" t="n"/>
    </row>
    <row r="650">
      <c r="J650" s="24" t="n"/>
    </row>
    <row r="651">
      <c r="J651" s="24" t="n"/>
    </row>
    <row r="652">
      <c r="J652" s="24" t="n"/>
    </row>
    <row r="653">
      <c r="J653" s="24" t="n"/>
    </row>
    <row r="654">
      <c r="J654" s="24" t="n"/>
    </row>
    <row r="655">
      <c r="J655" s="24" t="n"/>
    </row>
    <row r="656">
      <c r="J656" s="24" t="n"/>
    </row>
    <row r="657">
      <c r="J657" s="24" t="n"/>
    </row>
    <row r="658">
      <c r="J658" s="24" t="n"/>
    </row>
    <row r="659">
      <c r="J659" s="24" t="n"/>
    </row>
    <row r="660">
      <c r="J660" s="24" t="n"/>
    </row>
    <row r="661">
      <c r="J661" s="24" t="n"/>
    </row>
    <row r="662">
      <c r="J662" s="24" t="n"/>
    </row>
    <row r="663">
      <c r="J663" s="24" t="n"/>
    </row>
    <row r="664">
      <c r="J664" s="24" t="n"/>
    </row>
    <row r="665">
      <c r="J665" s="24" t="n"/>
    </row>
    <row r="666">
      <c r="J666" s="24" t="n"/>
    </row>
    <row r="667">
      <c r="J667" s="24" t="n"/>
    </row>
    <row r="668">
      <c r="J668" s="24" t="n"/>
    </row>
    <row r="669">
      <c r="J669" s="24" t="n"/>
    </row>
    <row r="670">
      <c r="J670" s="24" t="n"/>
    </row>
    <row r="671">
      <c r="J671" s="24" t="n"/>
    </row>
    <row r="672">
      <c r="J672" s="24" t="n"/>
    </row>
    <row r="673">
      <c r="J673" s="24" t="n"/>
    </row>
    <row r="674">
      <c r="J674" s="24" t="n"/>
    </row>
    <row r="675">
      <c r="J675" s="24" t="n"/>
    </row>
    <row r="676">
      <c r="J676" s="24" t="n"/>
    </row>
    <row r="677">
      <c r="J677" s="24" t="n"/>
    </row>
    <row r="678">
      <c r="J678" s="24" t="n"/>
    </row>
    <row r="679">
      <c r="J679" s="24" t="n"/>
    </row>
    <row r="680">
      <c r="J680" s="24" t="n"/>
    </row>
    <row r="681">
      <c r="J681" s="24" t="n"/>
    </row>
    <row r="682">
      <c r="J682" s="24" t="n"/>
    </row>
    <row r="683">
      <c r="J683" s="24" t="n"/>
    </row>
    <row r="684">
      <c r="J684" s="24" t="n"/>
    </row>
    <row r="685">
      <c r="J685" s="24" t="n"/>
    </row>
    <row r="686">
      <c r="J686" s="24" t="n"/>
    </row>
    <row r="687">
      <c r="J687" s="24" t="n"/>
    </row>
    <row r="688">
      <c r="J688" s="24" t="n"/>
    </row>
    <row r="689">
      <c r="J689" s="24" t="n"/>
    </row>
    <row r="690">
      <c r="J690" s="24" t="n"/>
    </row>
    <row r="691">
      <c r="J691" s="24" t="n"/>
    </row>
    <row r="692">
      <c r="J692" s="24" t="n"/>
    </row>
    <row r="693">
      <c r="J693" s="24" t="n"/>
    </row>
    <row r="694">
      <c r="J694" s="24" t="n"/>
    </row>
    <row r="695">
      <c r="J695" s="24" t="n"/>
    </row>
    <row r="696">
      <c r="J696" s="24" t="n"/>
    </row>
    <row r="697">
      <c r="J697" s="24" t="n"/>
    </row>
    <row r="698">
      <c r="J698" s="24" t="n"/>
    </row>
    <row r="699">
      <c r="J699" s="24" t="n"/>
    </row>
    <row r="700">
      <c r="J700" s="24" t="n"/>
    </row>
    <row r="701">
      <c r="J701" s="24" t="n"/>
    </row>
    <row r="702">
      <c r="J702" s="24" t="n"/>
    </row>
    <row r="703">
      <c r="J703" s="24" t="n"/>
    </row>
    <row r="704">
      <c r="J704" s="24" t="n"/>
    </row>
    <row r="705">
      <c r="J705" s="24" t="n"/>
    </row>
    <row r="706">
      <c r="J706" s="24" t="n"/>
    </row>
    <row r="707">
      <c r="J707" s="24" t="n"/>
    </row>
    <row r="708">
      <c r="J708" s="24" t="n"/>
    </row>
    <row r="709">
      <c r="J709" s="24" t="n"/>
    </row>
    <row r="710">
      <c r="J710" s="24" t="n"/>
    </row>
    <row r="711">
      <c r="J711" s="24" t="n"/>
    </row>
    <row r="712">
      <c r="J712" s="24" t="n"/>
    </row>
    <row r="713">
      <c r="J713" s="24" t="n"/>
    </row>
    <row r="714">
      <c r="J714" s="24" t="n"/>
    </row>
    <row r="715">
      <c r="J715" s="24" t="n"/>
    </row>
    <row r="716">
      <c r="J716" s="24" t="n"/>
    </row>
    <row r="717">
      <c r="J717" s="24" t="n"/>
    </row>
    <row r="718">
      <c r="J718" s="24" t="n"/>
    </row>
    <row r="719">
      <c r="J719" s="24" t="n"/>
    </row>
    <row r="720">
      <c r="J720" s="24" t="n"/>
    </row>
    <row r="721">
      <c r="J721" s="24" t="n"/>
    </row>
    <row r="722">
      <c r="J722" s="24" t="n"/>
    </row>
    <row r="723">
      <c r="J723" s="24" t="n"/>
    </row>
    <row r="724">
      <c r="J724" s="24" t="n"/>
    </row>
    <row r="725">
      <c r="J725" s="24" t="n"/>
    </row>
    <row r="726">
      <c r="J726" s="24" t="n"/>
    </row>
    <row r="727">
      <c r="J727" s="24" t="n"/>
    </row>
    <row r="728">
      <c r="J728" s="24" t="n"/>
    </row>
    <row r="729">
      <c r="J729" s="24" t="n"/>
    </row>
    <row r="730">
      <c r="J730" s="24" t="n"/>
    </row>
    <row r="731">
      <c r="J731" s="24" t="n"/>
    </row>
    <row r="732">
      <c r="J732" s="24" t="n"/>
    </row>
    <row r="733">
      <c r="J733" s="24" t="n"/>
    </row>
    <row r="734">
      <c r="J734" s="24" t="n"/>
    </row>
    <row r="735">
      <c r="J735" s="24" t="n"/>
    </row>
    <row r="736">
      <c r="J736" s="24" t="n"/>
    </row>
    <row r="737">
      <c r="J737" s="24" t="n"/>
    </row>
    <row r="738">
      <c r="J738" s="24" t="n"/>
    </row>
    <row r="739">
      <c r="J739" s="24" t="n"/>
    </row>
    <row r="740">
      <c r="J740" s="24" t="n"/>
    </row>
    <row r="741">
      <c r="J741" s="24" t="n"/>
    </row>
    <row r="742">
      <c r="J742" s="24" t="n"/>
    </row>
    <row r="743">
      <c r="J743" s="24" t="n"/>
    </row>
    <row r="744">
      <c r="J744" s="24" t="n"/>
    </row>
    <row r="745">
      <c r="J745" s="24" t="n"/>
    </row>
    <row r="746">
      <c r="J746" s="24" t="n"/>
    </row>
    <row r="747">
      <c r="J747" s="24" t="n"/>
    </row>
    <row r="748">
      <c r="J748" s="24" t="n"/>
    </row>
    <row r="749">
      <c r="J749" s="24" t="n"/>
    </row>
    <row r="750">
      <c r="J750" s="24" t="n"/>
    </row>
    <row r="751">
      <c r="J751" s="24" t="n"/>
    </row>
    <row r="752">
      <c r="J752" s="24" t="n"/>
    </row>
    <row r="753">
      <c r="J753" s="24" t="n"/>
    </row>
    <row r="754">
      <c r="J754" s="24" t="n"/>
    </row>
    <row r="755">
      <c r="J755" s="24" t="n"/>
    </row>
    <row r="756">
      <c r="J756" s="24" t="n"/>
    </row>
    <row r="757">
      <c r="J757" s="24" t="n"/>
    </row>
    <row r="758">
      <c r="J758" s="24" t="n"/>
    </row>
    <row r="759">
      <c r="J759" s="24" t="n"/>
    </row>
    <row r="760">
      <c r="J760" s="24" t="n"/>
    </row>
    <row r="761">
      <c r="J761" s="24" t="n"/>
    </row>
    <row r="762">
      <c r="J762" s="24" t="n"/>
    </row>
    <row r="763">
      <c r="J763" s="24" t="n"/>
    </row>
    <row r="764">
      <c r="J764" s="24" t="n"/>
    </row>
    <row r="765">
      <c r="J765" s="24" t="n"/>
    </row>
    <row r="766">
      <c r="J766" s="24" t="n"/>
    </row>
    <row r="767">
      <c r="J767" s="24" t="n"/>
    </row>
    <row r="768">
      <c r="J768" s="24" t="n"/>
    </row>
    <row r="769">
      <c r="J769" s="24" t="n"/>
    </row>
    <row r="770">
      <c r="J770" s="24" t="n"/>
    </row>
    <row r="771">
      <c r="J771" s="24" t="n"/>
    </row>
    <row r="772">
      <c r="J772" s="24" t="n"/>
    </row>
    <row r="773">
      <c r="J773" s="24" t="n"/>
    </row>
    <row r="774">
      <c r="J774" s="24" t="n"/>
    </row>
    <row r="775">
      <c r="J775" s="24" t="n"/>
    </row>
    <row r="776">
      <c r="J776" s="24" t="n"/>
    </row>
    <row r="777">
      <c r="J777" s="24" t="n"/>
    </row>
    <row r="778">
      <c r="J778" s="24" t="n"/>
    </row>
    <row r="779">
      <c r="J779" s="24" t="n"/>
    </row>
    <row r="780">
      <c r="J780" s="24" t="n"/>
    </row>
    <row r="781">
      <c r="J781" s="24" t="n"/>
    </row>
    <row r="782">
      <c r="J782" s="24" t="n"/>
    </row>
    <row r="783">
      <c r="J783" s="24" t="n"/>
    </row>
    <row r="784">
      <c r="J784" s="24" t="n"/>
    </row>
    <row r="785">
      <c r="J785" s="24" t="n"/>
    </row>
    <row r="786">
      <c r="J786" s="24" t="n"/>
    </row>
    <row r="787">
      <c r="J787" s="24" t="n"/>
    </row>
    <row r="788">
      <c r="J788" s="24" t="n"/>
    </row>
    <row r="789">
      <c r="J789" s="24" t="n"/>
    </row>
    <row r="790">
      <c r="J790" s="24" t="n"/>
    </row>
    <row r="791">
      <c r="J791" s="24" t="n"/>
    </row>
    <row r="792">
      <c r="J792" s="24" t="n"/>
    </row>
    <row r="793">
      <c r="J793" s="24" t="n"/>
    </row>
    <row r="794">
      <c r="J794" s="24" t="n"/>
    </row>
    <row r="795">
      <c r="J795" s="24" t="n"/>
    </row>
    <row r="796">
      <c r="J796" s="24" t="n"/>
    </row>
    <row r="797">
      <c r="J797" s="24" t="n"/>
    </row>
    <row r="798">
      <c r="J798" s="24" t="n"/>
    </row>
    <row r="799">
      <c r="J799" s="24" t="n"/>
    </row>
    <row r="800">
      <c r="J800" s="24" t="n"/>
    </row>
    <row r="801">
      <c r="J801" s="24" t="n"/>
    </row>
    <row r="802">
      <c r="J802" s="24" t="n"/>
    </row>
    <row r="803">
      <c r="J803" s="24" t="n"/>
    </row>
    <row r="804">
      <c r="J804" s="24" t="n"/>
    </row>
    <row r="805">
      <c r="J805" s="24" t="n"/>
    </row>
    <row r="806">
      <c r="J806" s="24" t="n"/>
    </row>
    <row r="807">
      <c r="J807" s="24" t="n"/>
    </row>
    <row r="808">
      <c r="J808" s="24" t="n"/>
    </row>
    <row r="809">
      <c r="J809" s="24" t="n"/>
    </row>
    <row r="810">
      <c r="J810" s="24" t="n"/>
    </row>
    <row r="811">
      <c r="J811" s="24" t="n"/>
    </row>
    <row r="812">
      <c r="J812" s="24" t="n"/>
    </row>
    <row r="813">
      <c r="J813" s="24" t="n"/>
    </row>
    <row r="814">
      <c r="J814" s="24" t="n"/>
    </row>
    <row r="815">
      <c r="J815" s="24" t="n"/>
    </row>
    <row r="816">
      <c r="J816" s="24" t="n"/>
    </row>
    <row r="817">
      <c r="J817" s="24" t="n"/>
    </row>
    <row r="818">
      <c r="J818" s="24" t="n"/>
    </row>
    <row r="819">
      <c r="J819" s="24" t="n"/>
    </row>
    <row r="820">
      <c r="J820" s="24" t="n"/>
    </row>
    <row r="821">
      <c r="J821" s="24" t="n"/>
    </row>
    <row r="822">
      <c r="J822" s="24" t="n"/>
    </row>
    <row r="823">
      <c r="J823" s="24" t="n"/>
    </row>
    <row r="824">
      <c r="J824" s="24" t="n"/>
    </row>
    <row r="825">
      <c r="J825" s="24" t="n"/>
    </row>
    <row r="826">
      <c r="J826" s="24" t="n"/>
    </row>
    <row r="827">
      <c r="J827" s="24" t="n"/>
    </row>
    <row r="828">
      <c r="J828" s="24" t="n"/>
    </row>
    <row r="829">
      <c r="J829" s="24" t="n"/>
    </row>
    <row r="830">
      <c r="J830" s="24" t="n"/>
    </row>
    <row r="831">
      <c r="J831" s="24" t="n"/>
    </row>
    <row r="832">
      <c r="J832" s="24" t="n"/>
    </row>
    <row r="833">
      <c r="J833" s="24" t="n"/>
    </row>
    <row r="834">
      <c r="J834" s="24" t="n"/>
    </row>
    <row r="835">
      <c r="J835" s="24" t="n"/>
    </row>
    <row r="836">
      <c r="J836" s="24" t="n"/>
    </row>
    <row r="837">
      <c r="J837" s="24" t="n"/>
    </row>
    <row r="838">
      <c r="J838" s="24" t="n"/>
    </row>
    <row r="839">
      <c r="J839" s="24" t="n"/>
    </row>
    <row r="840">
      <c r="J840" s="24" t="n"/>
    </row>
    <row r="841">
      <c r="J841" s="24" t="n"/>
    </row>
    <row r="842">
      <c r="J842" s="24" t="n"/>
    </row>
    <row r="843">
      <c r="J843" s="24" t="n"/>
    </row>
    <row r="844">
      <c r="J844" s="24" t="n"/>
    </row>
    <row r="845">
      <c r="J845" s="24" t="n"/>
    </row>
    <row r="846">
      <c r="J846" s="24" t="n"/>
    </row>
    <row r="847">
      <c r="J847" s="24" t="n"/>
    </row>
    <row r="848">
      <c r="J848" s="24" t="n"/>
    </row>
    <row r="849">
      <c r="J849" s="24" t="n"/>
    </row>
    <row r="850">
      <c r="J850" s="24" t="n"/>
    </row>
    <row r="851">
      <c r="J851" s="24" t="n"/>
    </row>
    <row r="852">
      <c r="J852" s="24" t="n"/>
    </row>
    <row r="853">
      <c r="J853" s="24" t="n"/>
    </row>
    <row r="854">
      <c r="J854" s="24" t="n"/>
    </row>
    <row r="855">
      <c r="J855" s="24" t="n"/>
    </row>
    <row r="856">
      <c r="J856" s="24" t="n"/>
    </row>
    <row r="857">
      <c r="J857" s="24" t="n"/>
    </row>
    <row r="858">
      <c r="J858" s="24" t="n"/>
    </row>
    <row r="859">
      <c r="J859" s="24" t="n"/>
    </row>
    <row r="860">
      <c r="J860" s="24" t="n"/>
    </row>
    <row r="861">
      <c r="J861" s="24" t="n"/>
    </row>
    <row r="862">
      <c r="J862" s="24" t="n"/>
    </row>
    <row r="863">
      <c r="J863" s="24" t="n"/>
    </row>
    <row r="864">
      <c r="J864" s="24" t="n"/>
    </row>
    <row r="865">
      <c r="J865" s="24" t="n"/>
    </row>
    <row r="866">
      <c r="J866" s="24" t="n"/>
    </row>
    <row r="867">
      <c r="J867" s="24" t="n"/>
    </row>
    <row r="868">
      <c r="J868" s="24" t="n"/>
    </row>
    <row r="869">
      <c r="J869" s="24" t="n"/>
    </row>
    <row r="870">
      <c r="J870" s="24" t="n"/>
    </row>
    <row r="871">
      <c r="J871" s="24" t="n"/>
    </row>
    <row r="872">
      <c r="J872" s="24" t="n"/>
    </row>
    <row r="873">
      <c r="J873" s="24" t="n"/>
    </row>
    <row r="874">
      <c r="J874" s="24" t="n"/>
    </row>
    <row r="875">
      <c r="J875" s="24" t="n"/>
    </row>
    <row r="876">
      <c r="J876" s="24" t="n"/>
    </row>
    <row r="877">
      <c r="J877" s="24" t="n"/>
    </row>
    <row r="878">
      <c r="J878" s="24" t="n"/>
    </row>
    <row r="879">
      <c r="J879" s="24" t="n"/>
    </row>
    <row r="880">
      <c r="J880" s="24" t="n"/>
    </row>
    <row r="881">
      <c r="J881" s="24" t="n"/>
    </row>
    <row r="882">
      <c r="J882" s="24" t="n"/>
    </row>
    <row r="883">
      <c r="J883" s="24" t="n"/>
    </row>
    <row r="884">
      <c r="J884" s="24" t="n"/>
    </row>
    <row r="885">
      <c r="J885" s="24" t="n"/>
    </row>
    <row r="886">
      <c r="J886" s="24" t="n"/>
    </row>
    <row r="887">
      <c r="J887" s="24" t="n"/>
    </row>
    <row r="888">
      <c r="J888" s="24" t="n"/>
    </row>
    <row r="889">
      <c r="J889" s="24" t="n"/>
    </row>
    <row r="890">
      <c r="J890" s="24" t="n"/>
    </row>
    <row r="891">
      <c r="J891" s="24" t="n"/>
    </row>
    <row r="892">
      <c r="J892" s="24" t="n"/>
    </row>
    <row r="893">
      <c r="J893" s="24" t="n"/>
    </row>
    <row r="894">
      <c r="J894" s="24" t="n"/>
    </row>
    <row r="895">
      <c r="J895" s="24" t="n"/>
    </row>
    <row r="896">
      <c r="J896" s="24" t="n"/>
    </row>
    <row r="897">
      <c r="J897" s="24" t="n"/>
    </row>
    <row r="898">
      <c r="J898" s="24" t="n"/>
    </row>
    <row r="899">
      <c r="J899" s="24" t="n"/>
    </row>
    <row r="900">
      <c r="J900" s="24" t="n"/>
    </row>
    <row r="901">
      <c r="J901" s="24" t="n"/>
    </row>
    <row r="902">
      <c r="J902" s="24" t="n"/>
    </row>
    <row r="903">
      <c r="J903" s="24" t="n"/>
    </row>
    <row r="904">
      <c r="J904" s="24" t="n"/>
    </row>
    <row r="905">
      <c r="J905" s="24" t="n"/>
    </row>
    <row r="906">
      <c r="J906" s="24" t="n"/>
    </row>
    <row r="907">
      <c r="J907" s="24" t="n"/>
    </row>
    <row r="908">
      <c r="J908" s="24" t="n"/>
    </row>
    <row r="909">
      <c r="J909" s="24" t="n"/>
    </row>
    <row r="910">
      <c r="J910" s="24" t="n"/>
    </row>
    <row r="911">
      <c r="J911" s="24" t="n"/>
    </row>
    <row r="912">
      <c r="J912" s="24" t="n"/>
    </row>
    <row r="913">
      <c r="J913" s="24" t="n"/>
    </row>
    <row r="914">
      <c r="J914" s="24" t="n"/>
    </row>
    <row r="915">
      <c r="J915" s="24" t="n"/>
    </row>
    <row r="916">
      <c r="J916" s="24" t="n"/>
    </row>
    <row r="917">
      <c r="J917" s="24" t="n"/>
    </row>
    <row r="918">
      <c r="J918" s="24" t="n"/>
    </row>
    <row r="919">
      <c r="J919" s="24" t="n"/>
    </row>
    <row r="920">
      <c r="J920" s="24" t="n"/>
    </row>
    <row r="921">
      <c r="J921" s="24" t="n"/>
    </row>
    <row r="922">
      <c r="J922" s="24" t="n"/>
    </row>
    <row r="923">
      <c r="J923" s="24" t="n"/>
    </row>
    <row r="924">
      <c r="J924" s="24" t="n"/>
    </row>
    <row r="925">
      <c r="J925" s="24" t="n"/>
    </row>
    <row r="926">
      <c r="J926" s="24" t="n"/>
    </row>
    <row r="927">
      <c r="J927" s="24" t="n"/>
    </row>
    <row r="928">
      <c r="J928" s="24" t="n"/>
    </row>
    <row r="929">
      <c r="J929" s="24" t="n"/>
    </row>
    <row r="930">
      <c r="J930" s="24" t="n"/>
    </row>
    <row r="931">
      <c r="J931" s="24" t="n"/>
    </row>
    <row r="932">
      <c r="J932" s="24" t="n"/>
    </row>
    <row r="933">
      <c r="J933" s="24" t="n"/>
    </row>
    <row r="934">
      <c r="J934" s="24" t="n"/>
    </row>
    <row r="935">
      <c r="J935" s="24" t="n"/>
    </row>
    <row r="936">
      <c r="J936" s="24" t="n"/>
    </row>
    <row r="937">
      <c r="J937" s="24" t="n"/>
    </row>
    <row r="938">
      <c r="J938" s="24" t="n"/>
    </row>
    <row r="939">
      <c r="J939" s="24" t="n"/>
    </row>
    <row r="940">
      <c r="J940" s="24" t="n"/>
    </row>
    <row r="941">
      <c r="J941" s="24" t="n"/>
    </row>
    <row r="942">
      <c r="J942" s="24" t="n"/>
    </row>
    <row r="943">
      <c r="J943" s="24" t="n"/>
    </row>
    <row r="944">
      <c r="J944" s="24" t="n"/>
    </row>
    <row r="945">
      <c r="J945" s="24" t="n"/>
    </row>
    <row r="946">
      <c r="J946" s="24" t="n"/>
    </row>
    <row r="947">
      <c r="J947" s="24" t="n"/>
    </row>
    <row r="948">
      <c r="J948" s="24" t="n"/>
    </row>
    <row r="949">
      <c r="J949" s="24" t="n"/>
    </row>
    <row r="950">
      <c r="J950" s="24" t="n"/>
    </row>
    <row r="951">
      <c r="J951" s="24" t="n"/>
    </row>
    <row r="952">
      <c r="J952" s="24" t="n"/>
    </row>
    <row r="953">
      <c r="J953" s="24" t="n"/>
    </row>
    <row r="954">
      <c r="J954" s="24" t="n"/>
    </row>
    <row r="955">
      <c r="J955" s="24" t="n"/>
    </row>
    <row r="956">
      <c r="J956" s="24" t="n"/>
    </row>
    <row r="957">
      <c r="J957" s="24" t="n"/>
    </row>
    <row r="958">
      <c r="J958" s="24" t="n"/>
    </row>
    <row r="959">
      <c r="J959" s="24" t="n"/>
    </row>
    <row r="960">
      <c r="J960" s="24" t="n"/>
    </row>
    <row r="961">
      <c r="J961" s="24" t="n"/>
    </row>
    <row r="962">
      <c r="J962" s="24" t="n"/>
    </row>
    <row r="963">
      <c r="J963" s="24" t="n"/>
    </row>
    <row r="964">
      <c r="J964" s="24" t="n"/>
    </row>
    <row r="965">
      <c r="J965" s="24" t="n"/>
    </row>
    <row r="966">
      <c r="J966" s="24" t="n"/>
    </row>
    <row r="967">
      <c r="J967" s="24" t="n"/>
    </row>
    <row r="968">
      <c r="J968" s="24" t="n"/>
    </row>
    <row r="969">
      <c r="J969" s="24" t="n"/>
    </row>
    <row r="970">
      <c r="J970" s="24" t="n"/>
    </row>
    <row r="971">
      <c r="J971" s="24" t="n"/>
    </row>
    <row r="972">
      <c r="J972" s="24" t="n"/>
    </row>
    <row r="973">
      <c r="J973" s="24" t="n"/>
    </row>
    <row r="974">
      <c r="J974" s="24" t="n"/>
    </row>
    <row r="975">
      <c r="J975" s="24" t="n"/>
    </row>
    <row r="976">
      <c r="J976" s="24" t="n"/>
    </row>
    <row r="977">
      <c r="J977" s="24" t="n"/>
    </row>
    <row r="978">
      <c r="J978" s="24" t="n"/>
    </row>
    <row r="979">
      <c r="J979" s="24" t="n"/>
    </row>
    <row r="980">
      <c r="J980" s="24" t="n"/>
    </row>
    <row r="981">
      <c r="J981" s="24" t="n"/>
    </row>
    <row r="982">
      <c r="J982" s="24" t="n"/>
    </row>
    <row r="983">
      <c r="J983" s="24" t="n"/>
    </row>
    <row r="984">
      <c r="J984" s="24" t="n"/>
    </row>
    <row r="985">
      <c r="J985" s="24" t="n"/>
    </row>
    <row r="986">
      <c r="J986" s="24" t="n"/>
    </row>
    <row r="987">
      <c r="J987" s="24" t="n"/>
    </row>
    <row r="988">
      <c r="J988" s="24" t="n"/>
    </row>
    <row r="989">
      <c r="J989" s="24" t="n"/>
    </row>
    <row r="990">
      <c r="J990" s="24" t="n"/>
    </row>
    <row r="991">
      <c r="J991" s="24" t="n"/>
    </row>
    <row r="992">
      <c r="J992" s="24" t="n"/>
    </row>
    <row r="993">
      <c r="J993" s="24" t="n"/>
    </row>
    <row r="994">
      <c r="J994" s="24" t="n"/>
    </row>
    <row r="995">
      <c r="J995" s="24" t="n"/>
    </row>
    <row r="996">
      <c r="J996" s="24" t="n"/>
    </row>
    <row r="997">
      <c r="J997" s="24" t="n"/>
    </row>
    <row r="998">
      <c r="J998" s="24" t="n"/>
    </row>
    <row r="999">
      <c r="J999" s="24" t="n"/>
    </row>
    <row r="1000">
      <c r="J1000" s="24" t="n"/>
    </row>
  </sheetData>
  <mergeCells count="9">
    <mergeCell ref="F14:F16"/>
    <mergeCell ref="F2:F6"/>
    <mergeCell ref="J2:J6"/>
    <mergeCell ref="A8:A12"/>
    <mergeCell ref="A2:A6"/>
    <mergeCell ref="F8:F12"/>
    <mergeCell ref="J8:J12"/>
    <mergeCell ref="J14:J16"/>
    <mergeCell ref="A14:A16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37.5" customWidth="1" style="128" min="1" max="1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F1" s="69" t="inlineStr">
        <is>
          <t>CONFRONTOS</t>
        </is>
      </c>
      <c r="G1" s="130" t="n"/>
      <c r="H1" s="130" t="n"/>
      <c r="I1" s="131" t="n"/>
    </row>
    <row r="2">
      <c r="A2" s="34">
        <f>IFERROR(__xludf.DUMMYFUNCTION("FILTER(Alunos!A:A, Alunos!$D:$D = ""Participa"")"),"ADILSON EVÊNCIO DA SILVA JUNIOR")</f>
        <v/>
      </c>
      <c r="B2" s="34">
        <f>IFERROR(__xludf.DUMMYFUNCTION("FILTER(Alunos!B:B, Alunos!$D:$D = ""Participa"")"),"Turma E")</f>
        <v/>
      </c>
      <c r="C2" s="34">
        <f>IFERROR(__xludf.DUMMYFUNCTION("FILTER(Alunos!C:C, Alunos!$D:$D = ""Participa"")"),"Matutino")</f>
        <v/>
      </c>
      <c r="D2" s="34" t="inlineStr">
        <is>
          <t>Veio</t>
        </is>
      </c>
      <c r="F2" s="61" t="inlineStr">
        <is>
          <t>Categoria</t>
        </is>
      </c>
      <c r="G2" s="61" t="inlineStr">
        <is>
          <t>Turmas</t>
        </is>
      </c>
      <c r="H2" s="131" t="n"/>
      <c r="I2" s="61" t="inlineStr">
        <is>
          <t>Resultados</t>
        </is>
      </c>
    </row>
    <row r="3">
      <c r="A3" s="34">
        <f>IFERROR(__xludf.DUMMYFUNCTION("""COMPUTED_VALUE"""),"ALIPHER GABRIEL LOPES FERREIRA")</f>
        <v/>
      </c>
      <c r="B3" s="34">
        <f>IFERROR(__xludf.DUMMYFUNCTION("""COMPUTED_VALUE"""),"Turma B2")</f>
        <v/>
      </c>
      <c r="C3" s="34">
        <f>IFERROR(__xludf.DUMMYFUNCTION("""COMPUTED_VALUE"""),"Vespertino")</f>
        <v/>
      </c>
      <c r="D3" s="34" t="inlineStr">
        <is>
          <t>Não Veio</t>
        </is>
      </c>
      <c r="F3" s="67" t="inlineStr">
        <is>
          <t>Infantil</t>
        </is>
      </c>
      <c r="G3" s="114" t="inlineStr">
        <is>
          <t>A v</t>
        </is>
      </c>
      <c r="H3" s="114" t="inlineStr">
        <is>
          <t>B2 m</t>
        </is>
      </c>
      <c r="I3" s="65" t="inlineStr">
        <is>
          <t>A v</t>
        </is>
      </c>
    </row>
    <row r="4">
      <c r="A4" s="34">
        <f>IFERROR(__xludf.DUMMYFUNCTION("""COMPUTED_VALUE"""),"ALLAN ALVES RIBEIRO")</f>
        <v/>
      </c>
      <c r="B4" s="34">
        <f>IFERROR(__xludf.DUMMYFUNCTION("""COMPUTED_VALUE"""),"Turma E")</f>
        <v/>
      </c>
      <c r="C4" s="34">
        <f>IFERROR(__xludf.DUMMYFUNCTION("""COMPUTED_VALUE"""),"Vespertino")</f>
        <v/>
      </c>
      <c r="D4" s="34" t="inlineStr">
        <is>
          <t>Veio</t>
        </is>
      </c>
      <c r="F4" s="134" t="n"/>
      <c r="G4" s="114" t="inlineStr">
        <is>
          <t>B1 m</t>
        </is>
      </c>
      <c r="H4" s="114" t="inlineStr">
        <is>
          <t>B1 v</t>
        </is>
      </c>
      <c r="I4" s="65" t="inlineStr">
        <is>
          <t>B1 m</t>
        </is>
      </c>
    </row>
    <row r="5">
      <c r="A5" s="34">
        <f>IFERROR(__xludf.DUMMYFUNCTION("""COMPUTED_VALUE"""),"Allana Gonçalves Da Silva")</f>
        <v/>
      </c>
      <c r="B5" s="34">
        <f>IFERROR(__xludf.DUMMYFUNCTION("""COMPUTED_VALUE"""),"Turma C")</f>
        <v/>
      </c>
      <c r="C5" s="34">
        <f>IFERROR(__xludf.DUMMYFUNCTION("""COMPUTED_VALUE"""),"Matutino")</f>
        <v/>
      </c>
      <c r="D5" s="34" t="inlineStr">
        <is>
          <t>Veio</t>
        </is>
      </c>
      <c r="F5" s="134" t="n"/>
      <c r="G5" s="114" t="inlineStr">
        <is>
          <t>A m</t>
        </is>
      </c>
      <c r="H5" s="114" t="inlineStr">
        <is>
          <t>B2 m</t>
        </is>
      </c>
      <c r="I5" s="65" t="inlineStr">
        <is>
          <t>A m</t>
        </is>
      </c>
    </row>
    <row r="6">
      <c r="A6" s="34">
        <f>IFERROR(__xludf.DUMMYFUNCTION("""COMPUTED_VALUE"""),"ANA CLARA DE FREITAS TEIXEIRA")</f>
        <v/>
      </c>
      <c r="B6" s="34">
        <f>IFERROR(__xludf.DUMMYFUNCTION("""COMPUTED_VALUE"""),"Turma GR")</f>
        <v/>
      </c>
      <c r="C6" s="34">
        <f>IFERROR(__xludf.DUMMYFUNCTION("""COMPUTED_VALUE"""),"Vespertino")</f>
        <v/>
      </c>
      <c r="D6" s="34" t="inlineStr">
        <is>
          <t>Veio</t>
        </is>
      </c>
      <c r="F6" s="134" t="n"/>
      <c r="G6" s="114" t="inlineStr">
        <is>
          <t>A v</t>
        </is>
      </c>
      <c r="H6" s="114" t="inlineStr">
        <is>
          <t>B1 m</t>
        </is>
      </c>
      <c r="I6" s="65" t="inlineStr">
        <is>
          <t>B1 m</t>
        </is>
      </c>
    </row>
    <row r="7">
      <c r="A7" s="34">
        <f>IFERROR(__xludf.DUMMYFUNCTION("""COMPUTED_VALUE"""),"ANA CRISTINA SOUZA LOBAK")</f>
        <v/>
      </c>
      <c r="B7" s="34">
        <f>IFERROR(__xludf.DUMMYFUNCTION("""COMPUTED_VALUE"""),"Turma E")</f>
        <v/>
      </c>
      <c r="C7" s="34">
        <f>IFERROR(__xludf.DUMMYFUNCTION("""COMPUTED_VALUE"""),"Vespertino")</f>
        <v/>
      </c>
      <c r="D7" s="34" t="inlineStr">
        <is>
          <t>Veio</t>
        </is>
      </c>
      <c r="F7" s="134" t="n"/>
      <c r="G7" s="114" t="inlineStr">
        <is>
          <t>A m</t>
        </is>
      </c>
      <c r="H7" s="114" t="inlineStr">
        <is>
          <t>B1 v</t>
        </is>
      </c>
      <c r="I7" s="65" t="inlineStr">
        <is>
          <t>B1 v</t>
        </is>
      </c>
    </row>
    <row r="8">
      <c r="A8" s="34">
        <f>IFERROR(__xludf.DUMMYFUNCTION("""COMPUTED_VALUE"""),"Ana Julia Da Cruz Oliveira")</f>
        <v/>
      </c>
      <c r="B8" s="34">
        <f>IFERROR(__xludf.DUMMYFUNCTION("""COMPUTED_VALUE"""),"Turma A")</f>
        <v/>
      </c>
      <c r="C8" s="34">
        <f>IFERROR(__xludf.DUMMYFUNCTION("""COMPUTED_VALUE"""),"Matutino")</f>
        <v/>
      </c>
      <c r="D8" s="34" t="inlineStr">
        <is>
          <t>Veio</t>
        </is>
      </c>
      <c r="F8" s="134" t="n"/>
      <c r="G8" s="114" t="inlineStr">
        <is>
          <t>B2 m</t>
        </is>
      </c>
      <c r="H8" s="114" t="inlineStr">
        <is>
          <t>B1 m</t>
        </is>
      </c>
      <c r="I8" s="65" t="inlineStr">
        <is>
          <t>B1 m</t>
        </is>
      </c>
    </row>
    <row r="9">
      <c r="A9" s="34">
        <f>IFERROR(__xludf.DUMMYFUNCTION("""COMPUTED_VALUE"""),"ANA LUIZA DA SILVA BORGES")</f>
        <v/>
      </c>
      <c r="B9" s="34">
        <f>IFERROR(__xludf.DUMMYFUNCTION("""COMPUTED_VALUE"""),"Turma E")</f>
        <v/>
      </c>
      <c r="C9" s="34">
        <f>IFERROR(__xludf.DUMMYFUNCTION("""COMPUTED_VALUE"""),"Matutino")</f>
        <v/>
      </c>
      <c r="D9" s="34" t="inlineStr">
        <is>
          <t>Veio</t>
        </is>
      </c>
      <c r="F9" s="134" t="n"/>
      <c r="G9" s="114" t="inlineStr">
        <is>
          <t>A m</t>
        </is>
      </c>
      <c r="H9" s="114" t="inlineStr">
        <is>
          <t>B1 m</t>
        </is>
      </c>
      <c r="I9" s="65" t="inlineStr">
        <is>
          <t>B1 m</t>
        </is>
      </c>
    </row>
    <row r="10">
      <c r="A10" s="34">
        <f>IFERROR(__xludf.DUMMYFUNCTION("""COMPUTED_VALUE"""),"Ana Vitória Santana Oliveira Da Silva")</f>
        <v/>
      </c>
      <c r="B10" s="34">
        <f>IFERROR(__xludf.DUMMYFUNCTION("""COMPUTED_VALUE"""),"Turma A")</f>
        <v/>
      </c>
      <c r="C10" s="34">
        <f>IFERROR(__xludf.DUMMYFUNCTION("""COMPUTED_VALUE"""),"Matutino")</f>
        <v/>
      </c>
      <c r="D10" s="34" t="inlineStr">
        <is>
          <t>Veio</t>
        </is>
      </c>
      <c r="F10" s="134" t="n"/>
      <c r="G10" s="114" t="inlineStr">
        <is>
          <t>B1 v</t>
        </is>
      </c>
      <c r="H10" s="114" t="inlineStr">
        <is>
          <t>A v</t>
        </is>
      </c>
      <c r="I10" s="65" t="inlineStr">
        <is>
          <t>B1 v</t>
        </is>
      </c>
    </row>
    <row r="11">
      <c r="A11" s="34">
        <f>IFERROR(__xludf.DUMMYFUNCTION("""COMPUTED_VALUE"""),"Andressa Campos De Barros")</f>
        <v/>
      </c>
      <c r="B11" s="34">
        <f>IFERROR(__xludf.DUMMYFUNCTION("""COMPUTED_VALUE"""),"Turma D")</f>
        <v/>
      </c>
      <c r="C11" s="34">
        <f>IFERROR(__xludf.DUMMYFUNCTION("""COMPUTED_VALUE"""),"Vespertino")</f>
        <v/>
      </c>
      <c r="D11" s="34" t="inlineStr">
        <is>
          <t>Veio</t>
        </is>
      </c>
      <c r="F11" s="134" t="n"/>
      <c r="G11" s="114" t="inlineStr">
        <is>
          <t>A m</t>
        </is>
      </c>
      <c r="H11" s="114" t="inlineStr">
        <is>
          <t>A v</t>
        </is>
      </c>
      <c r="I11" s="65" t="inlineStr">
        <is>
          <t>A v</t>
        </is>
      </c>
    </row>
    <row r="12">
      <c r="A12" s="34">
        <f>IFERROR(__xludf.DUMMYFUNCTION("""COMPUTED_VALUE"""),"ANNY HELOISE OLIVEIRA DA SILVA")</f>
        <v/>
      </c>
      <c r="B12" s="34">
        <f>IFERROR(__xludf.DUMMYFUNCTION("""COMPUTED_VALUE"""),"Turma B2")</f>
        <v/>
      </c>
      <c r="C12" s="34">
        <f>IFERROR(__xludf.DUMMYFUNCTION("""COMPUTED_VALUE"""),"Vespertino")</f>
        <v/>
      </c>
      <c r="D12" s="34" t="inlineStr">
        <is>
          <t>Veio</t>
        </is>
      </c>
      <c r="F12" s="134" t="n"/>
      <c r="G12" s="114" t="inlineStr">
        <is>
          <t>B1 v</t>
        </is>
      </c>
      <c r="H12" s="114" t="inlineStr">
        <is>
          <t>B2 m</t>
        </is>
      </c>
      <c r="I12" s="65" t="inlineStr">
        <is>
          <t>B1 v</t>
        </is>
      </c>
    </row>
    <row r="13">
      <c r="A13" s="34">
        <f>IFERROR(__xludf.DUMMYFUNCTION("""COMPUTED_VALUE"""),"AQUIRIZ ARAUJO DE FREITAS")</f>
        <v/>
      </c>
      <c r="B13" s="34">
        <f>IFERROR(__xludf.DUMMYFUNCTION("""COMPUTED_VALUE"""),"Turma C")</f>
        <v/>
      </c>
      <c r="C13" s="34">
        <f>IFERROR(__xludf.DUMMYFUNCTION("""COMPUTED_VALUE"""),"Vespertino")</f>
        <v/>
      </c>
      <c r="D13" s="34" t="inlineStr">
        <is>
          <t>Veio</t>
        </is>
      </c>
      <c r="F13" s="67" t="inlineStr">
        <is>
          <t>Juvenil</t>
        </is>
      </c>
      <c r="G13" s="114" t="inlineStr">
        <is>
          <t>C m</t>
        </is>
      </c>
      <c r="H13" s="114" t="inlineStr">
        <is>
          <t>D v</t>
        </is>
      </c>
      <c r="I13" s="65" t="inlineStr">
        <is>
          <t>D v</t>
        </is>
      </c>
    </row>
    <row r="14">
      <c r="A14" s="34">
        <f>IFERROR(__xludf.DUMMYFUNCTION("""COMPUTED_VALUE"""),"ARTHUR ALMEIDA JATOBÁ")</f>
        <v/>
      </c>
      <c r="B14" s="34">
        <f>IFERROR(__xludf.DUMMYFUNCTION("""COMPUTED_VALUE"""),"Turma B2")</f>
        <v/>
      </c>
      <c r="C14" s="34">
        <f>IFERROR(__xludf.DUMMYFUNCTION("""COMPUTED_VALUE"""),"Matutino")</f>
        <v/>
      </c>
      <c r="D14" s="34" t="inlineStr">
        <is>
          <t>Veio</t>
        </is>
      </c>
      <c r="F14" s="134" t="n"/>
      <c r="G14" s="114" t="inlineStr">
        <is>
          <t>C v</t>
        </is>
      </c>
      <c r="H14" s="114" t="inlineStr">
        <is>
          <t>D m</t>
        </is>
      </c>
      <c r="I14" s="65" t="inlineStr">
        <is>
          <t>D m</t>
        </is>
      </c>
    </row>
    <row r="15">
      <c r="A15" s="34">
        <f>IFERROR(__xludf.DUMMYFUNCTION("""COMPUTED_VALUE"""),"ARTHUR FERREIRA NAPOLEÃO")</f>
        <v/>
      </c>
      <c r="B15" s="34">
        <f>IFERROR(__xludf.DUMMYFUNCTION("""COMPUTED_VALUE"""),"Turma D")</f>
        <v/>
      </c>
      <c r="C15" s="34">
        <f>IFERROR(__xludf.DUMMYFUNCTION("""COMPUTED_VALUE"""),"Matutino")</f>
        <v/>
      </c>
      <c r="D15" s="34" t="inlineStr">
        <is>
          <t>Veio</t>
        </is>
      </c>
      <c r="F15" s="134" t="n"/>
      <c r="G15" s="114" t="inlineStr">
        <is>
          <t>B2 v</t>
        </is>
      </c>
      <c r="H15" s="114" t="inlineStr">
        <is>
          <t>D v</t>
        </is>
      </c>
      <c r="I15" s="65" t="inlineStr">
        <is>
          <t>D v</t>
        </is>
      </c>
    </row>
    <row r="16">
      <c r="A16" s="34">
        <f>IFERROR(__xludf.DUMMYFUNCTION("""COMPUTED_VALUE"""),"ARTHUR LOPES RODRIGUES NEVES")</f>
        <v/>
      </c>
      <c r="B16" s="34">
        <f>IFERROR(__xludf.DUMMYFUNCTION("""COMPUTED_VALUE"""),"Turma B2")</f>
        <v/>
      </c>
      <c r="C16" s="34">
        <f>IFERROR(__xludf.DUMMYFUNCTION("""COMPUTED_VALUE"""),"Vespertino")</f>
        <v/>
      </c>
      <c r="D16" s="34" t="inlineStr">
        <is>
          <t>Veio</t>
        </is>
      </c>
      <c r="F16" s="134" t="n"/>
      <c r="G16" s="114" t="inlineStr">
        <is>
          <t>C m</t>
        </is>
      </c>
      <c r="H16" s="114" t="inlineStr">
        <is>
          <t>C v</t>
        </is>
      </c>
      <c r="I16" s="65" t="inlineStr">
        <is>
          <t>C v</t>
        </is>
      </c>
    </row>
    <row r="17">
      <c r="A17" s="34">
        <f>IFERROR(__xludf.DUMMYFUNCTION("""COMPUTED_VALUE"""),"ARTHUR SANTANA BARBOSA")</f>
        <v/>
      </c>
      <c r="B17" s="34">
        <f>IFERROR(__xludf.DUMMYFUNCTION("""COMPUTED_VALUE"""),"Turma A")</f>
        <v/>
      </c>
      <c r="C17" s="34">
        <f>IFERROR(__xludf.DUMMYFUNCTION("""COMPUTED_VALUE"""),"Vespertino")</f>
        <v/>
      </c>
      <c r="D17" s="34" t="inlineStr">
        <is>
          <t>Veio</t>
        </is>
      </c>
      <c r="F17" s="134" t="n"/>
      <c r="G17" s="114" t="inlineStr">
        <is>
          <t>B2 v</t>
        </is>
      </c>
      <c r="H17" s="114" t="inlineStr">
        <is>
          <t>D m</t>
        </is>
      </c>
      <c r="I17" s="65" t="inlineStr">
        <is>
          <t>D m</t>
        </is>
      </c>
    </row>
    <row r="18">
      <c r="A18" s="34">
        <f>IFERROR(__xludf.DUMMYFUNCTION("""COMPUTED_VALUE"""),"ASAPH GABRIEL SALES ANICETO")</f>
        <v/>
      </c>
      <c r="B18" s="34">
        <f>IFERROR(__xludf.DUMMYFUNCTION("""COMPUTED_VALUE"""),"Turma B2")</f>
        <v/>
      </c>
      <c r="C18" s="34">
        <f>IFERROR(__xludf.DUMMYFUNCTION("""COMPUTED_VALUE"""),"Matutino")</f>
        <v/>
      </c>
      <c r="D18" s="34" t="inlineStr">
        <is>
          <t>Veio</t>
        </is>
      </c>
      <c r="F18" s="134" t="n"/>
      <c r="G18" s="24" t="inlineStr">
        <is>
          <t>D v</t>
        </is>
      </c>
      <c r="H18" s="24" t="inlineStr">
        <is>
          <t>C v</t>
        </is>
      </c>
      <c r="I18" s="65" t="inlineStr">
        <is>
          <t>D v</t>
        </is>
      </c>
    </row>
    <row r="19">
      <c r="A19" s="34">
        <f>IFERROR(__xludf.DUMMYFUNCTION("""COMPUTED_VALUE"""),"Breno Henrique Germano Dos Santos")</f>
        <v/>
      </c>
      <c r="B19" s="34">
        <f>IFERROR(__xludf.DUMMYFUNCTION("""COMPUTED_VALUE"""),"Turma C")</f>
        <v/>
      </c>
      <c r="C19" s="34">
        <f>IFERROR(__xludf.DUMMYFUNCTION("""COMPUTED_VALUE"""),"Matutino")</f>
        <v/>
      </c>
      <c r="D19" s="34" t="inlineStr">
        <is>
          <t>Veio</t>
        </is>
      </c>
      <c r="F19" s="134" t="n"/>
      <c r="G19" s="24" t="inlineStr">
        <is>
          <t>B2 v</t>
        </is>
      </c>
      <c r="H19" s="24" t="inlineStr">
        <is>
          <t>C v</t>
        </is>
      </c>
      <c r="I19" s="65" t="inlineStr">
        <is>
          <t>Empate</t>
        </is>
      </c>
    </row>
    <row r="20">
      <c r="A20" s="34">
        <f>IFERROR(__xludf.DUMMYFUNCTION("""COMPUTED_VALUE"""),"CAIO RUAN GERÔNIMO OLIVEIRA")</f>
        <v/>
      </c>
      <c r="B20" s="34">
        <f>IFERROR(__xludf.DUMMYFUNCTION("""COMPUTED_VALUE"""),"Turma E")</f>
        <v/>
      </c>
      <c r="C20" s="34">
        <f>IFERROR(__xludf.DUMMYFUNCTION("""COMPUTED_VALUE"""),"Matutino")</f>
        <v/>
      </c>
      <c r="D20" s="34" t="inlineStr">
        <is>
          <t>Veio</t>
        </is>
      </c>
      <c r="F20" s="134" t="n"/>
      <c r="G20" s="24" t="inlineStr">
        <is>
          <t>D m</t>
        </is>
      </c>
      <c r="H20" s="24" t="inlineStr">
        <is>
          <t>C m</t>
        </is>
      </c>
      <c r="I20" s="65" t="inlineStr">
        <is>
          <t>D m</t>
        </is>
      </c>
    </row>
    <row r="21">
      <c r="A21" s="34">
        <f>IFERROR(__xludf.DUMMYFUNCTION("""COMPUTED_VALUE"""),"CAIO SOUZA PRÓCÓPIO DA SILVA")</f>
        <v/>
      </c>
      <c r="B21" s="34">
        <f>IFERROR(__xludf.DUMMYFUNCTION("""COMPUTED_VALUE"""),"Turma E")</f>
        <v/>
      </c>
      <c r="C21" s="34">
        <f>IFERROR(__xludf.DUMMYFUNCTION("""COMPUTED_VALUE"""),"Matutino")</f>
        <v/>
      </c>
      <c r="D21" s="34" t="inlineStr">
        <is>
          <t>Veio</t>
        </is>
      </c>
      <c r="F21" s="134" t="n"/>
      <c r="G21" s="24" t="inlineStr">
        <is>
          <t>B2 v</t>
        </is>
      </c>
      <c r="H21" s="24" t="inlineStr">
        <is>
          <t>C m</t>
        </is>
      </c>
      <c r="I21" s="65" t="inlineStr">
        <is>
          <t>Empate</t>
        </is>
      </c>
    </row>
    <row r="22">
      <c r="A22" s="34">
        <f>IFERROR(__xludf.DUMMYFUNCTION("""COMPUTED_VALUE"""),"CARLOS DANIEL BARROSO FERREIRA")</f>
        <v/>
      </c>
      <c r="B22" s="34">
        <f>IFERROR(__xludf.DUMMYFUNCTION("""COMPUTED_VALUE"""),"Turma C")</f>
        <v/>
      </c>
      <c r="C22" s="34">
        <f>IFERROR(__xludf.DUMMYFUNCTION("""COMPUTED_VALUE"""),"Vespertino")</f>
        <v/>
      </c>
      <c r="D22" s="34" t="inlineStr">
        <is>
          <t>Veio</t>
        </is>
      </c>
      <c r="F22" s="134" t="n"/>
      <c r="G22" s="24" t="inlineStr">
        <is>
          <t>D m</t>
        </is>
      </c>
      <c r="H22" s="24" t="inlineStr">
        <is>
          <t>D v</t>
        </is>
      </c>
      <c r="I22" s="65" t="inlineStr">
        <is>
          <t>Empate</t>
        </is>
      </c>
    </row>
    <row r="23">
      <c r="A23" s="34">
        <f>IFERROR(__xludf.DUMMYFUNCTION("""COMPUTED_VALUE"""),"Carlos Eduardo De Souza")</f>
        <v/>
      </c>
      <c r="B23" s="34">
        <f>IFERROR(__xludf.DUMMYFUNCTION("""COMPUTED_VALUE"""),"Turma D")</f>
        <v/>
      </c>
      <c r="C23" s="34">
        <f>IFERROR(__xludf.DUMMYFUNCTION("""COMPUTED_VALUE"""),"Vespertino")</f>
        <v/>
      </c>
      <c r="D23" s="34" t="inlineStr">
        <is>
          <t>Veio</t>
        </is>
      </c>
      <c r="F23" s="137" t="inlineStr">
        <is>
          <t>Júnior</t>
        </is>
      </c>
      <c r="G23" s="114" t="inlineStr">
        <is>
          <t>E m</t>
        </is>
      </c>
      <c r="H23" s="114" t="inlineStr">
        <is>
          <t>E v</t>
        </is>
      </c>
      <c r="I23" s="65" t="inlineStr">
        <is>
          <t>E m</t>
        </is>
      </c>
    </row>
    <row r="24">
      <c r="A24" s="34">
        <f>IFERROR(__xludf.DUMMYFUNCTION("""COMPUTED_VALUE"""),"CARLOS EDUARDO GENUINO DE ALENCAR")</f>
        <v/>
      </c>
      <c r="B24" s="34">
        <f>IFERROR(__xludf.DUMMYFUNCTION("""COMPUTED_VALUE"""),"Turma C")</f>
        <v/>
      </c>
      <c r="C24" s="34">
        <f>IFERROR(__xludf.DUMMYFUNCTION("""COMPUTED_VALUE"""),"Vespertino")</f>
        <v/>
      </c>
      <c r="D24" s="34" t="inlineStr">
        <is>
          <t>Veio</t>
        </is>
      </c>
      <c r="F24" s="134" t="n"/>
      <c r="G24" s="114" t="inlineStr">
        <is>
          <t>GR</t>
        </is>
      </c>
      <c r="H24" s="114" t="inlineStr">
        <is>
          <t>E m</t>
        </is>
      </c>
      <c r="I24" s="65" t="inlineStr">
        <is>
          <t>Empate</t>
        </is>
      </c>
      <c r="J24" s="24" t="n"/>
    </row>
    <row r="25">
      <c r="A25" s="34">
        <f>IFERROR(__xludf.DUMMYFUNCTION("""COMPUTED_VALUE"""),"CAUÃ SOUZA PROCÓPIO DA SILVA")</f>
        <v/>
      </c>
      <c r="B25" s="34">
        <f>IFERROR(__xludf.DUMMYFUNCTION("""COMPUTED_VALUE"""),"Turma A")</f>
        <v/>
      </c>
      <c r="C25" s="34">
        <f>IFERROR(__xludf.DUMMYFUNCTION("""COMPUTED_VALUE"""),"Vespertino")</f>
        <v/>
      </c>
      <c r="D25" s="34" t="inlineStr">
        <is>
          <t>Veio</t>
        </is>
      </c>
      <c r="F25" s="135" t="n"/>
      <c r="G25" s="114" t="inlineStr">
        <is>
          <t>E v</t>
        </is>
      </c>
      <c r="H25" s="114" t="inlineStr">
        <is>
          <t>GR</t>
        </is>
      </c>
      <c r="I25" s="65" t="inlineStr">
        <is>
          <t>E v</t>
        </is>
      </c>
      <c r="J25" s="24" t="n"/>
    </row>
    <row r="26">
      <c r="A26" s="34">
        <f>IFERROR(__xludf.DUMMYFUNCTION("""COMPUTED_VALUE"""),"CAUÃ VITORINO HOTTS DA SILVA")</f>
        <v/>
      </c>
      <c r="B26" s="34">
        <f>IFERROR(__xludf.DUMMYFUNCTION("""COMPUTED_VALUE"""),"Turma E")</f>
        <v/>
      </c>
      <c r="C26" s="34">
        <f>IFERROR(__xludf.DUMMYFUNCTION("""COMPUTED_VALUE"""),"Vespertino")</f>
        <v/>
      </c>
      <c r="D26" s="34" t="inlineStr">
        <is>
          <t>Veio</t>
        </is>
      </c>
      <c r="F26" s="59" t="n"/>
      <c r="I26" s="24" t="n"/>
    </row>
    <row r="27">
      <c r="A27" s="34">
        <f>IFERROR(__xludf.DUMMYFUNCTION("""COMPUTED_VALUE"""),"CLAUDIA GABRIELY CAMARGO MOREIRA")</f>
        <v/>
      </c>
      <c r="B27" s="34">
        <f>IFERROR(__xludf.DUMMYFUNCTION("""COMPUTED_VALUE"""),"Turma D")</f>
        <v/>
      </c>
      <c r="C27" s="34">
        <f>IFERROR(__xludf.DUMMYFUNCTION("""COMPUTED_VALUE"""),"Matutino")</f>
        <v/>
      </c>
      <c r="D27" s="34" t="inlineStr">
        <is>
          <t>Veio</t>
        </is>
      </c>
      <c r="F27" s="59" t="n"/>
      <c r="G27" s="24" t="n"/>
      <c r="H27" s="24" t="n"/>
      <c r="I27" s="24" t="n"/>
    </row>
    <row r="28">
      <c r="A28" s="34">
        <f>IFERROR(__xludf.DUMMYFUNCTION("""COMPUTED_VALUE"""),"Daffiny De Jesus Silva")</f>
        <v/>
      </c>
      <c r="B28" s="34">
        <f>IFERROR(__xludf.DUMMYFUNCTION("""COMPUTED_VALUE"""),"Turma A")</f>
        <v/>
      </c>
      <c r="C28" s="34">
        <f>IFERROR(__xludf.DUMMYFUNCTION("""COMPUTED_VALUE"""),"Matutino")</f>
        <v/>
      </c>
      <c r="D28" s="34" t="inlineStr">
        <is>
          <t>Veio</t>
        </is>
      </c>
      <c r="F28" s="59" t="n"/>
      <c r="G28" s="24" t="n"/>
      <c r="H28" s="24" t="n"/>
      <c r="I28" s="24" t="n"/>
    </row>
    <row r="29">
      <c r="A29" s="34">
        <f>IFERROR(__xludf.DUMMYFUNCTION("""COMPUTED_VALUE"""),"DANIEL VIEIRA MARTINS")</f>
        <v/>
      </c>
      <c r="B29" s="34">
        <f>IFERROR(__xludf.DUMMYFUNCTION("""COMPUTED_VALUE"""),"Turma B1")</f>
        <v/>
      </c>
      <c r="C29" s="34">
        <f>IFERROR(__xludf.DUMMYFUNCTION("""COMPUTED_VALUE"""),"Matutino")</f>
        <v/>
      </c>
      <c r="D29" s="34" t="inlineStr">
        <is>
          <t>Veio</t>
        </is>
      </c>
      <c r="F29" s="59" t="n"/>
      <c r="G29" s="24" t="n"/>
      <c r="H29" s="24" t="n"/>
      <c r="I29" s="24" t="n"/>
    </row>
    <row r="30">
      <c r="A30" s="34">
        <f>IFERROR(__xludf.DUMMYFUNCTION("""COMPUTED_VALUE"""),"Danielly Hilary Almeida Martins")</f>
        <v/>
      </c>
      <c r="B30" s="34">
        <f>IFERROR(__xludf.DUMMYFUNCTION("""COMPUTED_VALUE"""),"Turma D")</f>
        <v/>
      </c>
      <c r="C30" s="34">
        <f>IFERROR(__xludf.DUMMYFUNCTION("""COMPUTED_VALUE"""),"Vespertino")</f>
        <v/>
      </c>
      <c r="D30" s="34" t="inlineStr">
        <is>
          <t>Veio</t>
        </is>
      </c>
      <c r="F30" s="59" t="n"/>
      <c r="G30" s="24" t="n"/>
      <c r="H30" s="24" t="n"/>
      <c r="I30" s="24" t="n"/>
    </row>
    <row r="31">
      <c r="A31" s="34">
        <f>IFERROR(__xludf.DUMMYFUNCTION("""COMPUTED_VALUE"""),"Darlan Guilherme Sobreiro Romero Da Silva")</f>
        <v/>
      </c>
      <c r="B31" s="34">
        <f>IFERROR(__xludf.DUMMYFUNCTION("""COMPUTED_VALUE"""),"Turma D")</f>
        <v/>
      </c>
      <c r="C31" s="34">
        <f>IFERROR(__xludf.DUMMYFUNCTION("""COMPUTED_VALUE"""),"Vespertino")</f>
        <v/>
      </c>
      <c r="D31" s="34" t="inlineStr">
        <is>
          <t>Veio</t>
        </is>
      </c>
      <c r="F31" s="59" t="n"/>
      <c r="G31" s="24" t="n"/>
      <c r="H31" s="24" t="n"/>
      <c r="I31" s="24" t="n"/>
    </row>
    <row r="32">
      <c r="A32" s="34">
        <f>IFERROR(__xludf.DUMMYFUNCTION("""COMPUTED_VALUE"""),"DAVI LORENZO BARBOSA MOREIRA")</f>
        <v/>
      </c>
      <c r="B32" s="34">
        <f>IFERROR(__xludf.DUMMYFUNCTION("""COMPUTED_VALUE"""),"Turma C")</f>
        <v/>
      </c>
      <c r="C32" s="34">
        <f>IFERROR(__xludf.DUMMYFUNCTION("""COMPUTED_VALUE"""),"Vespertino")</f>
        <v/>
      </c>
      <c r="D32" s="34" t="inlineStr">
        <is>
          <t>Veio</t>
        </is>
      </c>
      <c r="F32" s="59" t="n"/>
      <c r="G32" s="24" t="n"/>
      <c r="H32" s="24" t="n"/>
      <c r="I32" s="24" t="n"/>
    </row>
    <row r="33">
      <c r="A33" s="34">
        <f>IFERROR(__xludf.DUMMYFUNCTION("""COMPUTED_VALUE"""),"DAVI LUCAS ALVES DE SOUZA")</f>
        <v/>
      </c>
      <c r="B33" s="34">
        <f>IFERROR(__xludf.DUMMYFUNCTION("""COMPUTED_VALUE"""),"Turma B1")</f>
        <v/>
      </c>
      <c r="C33" s="34">
        <f>IFERROR(__xludf.DUMMYFUNCTION("""COMPUTED_VALUE"""),"Matutino")</f>
        <v/>
      </c>
      <c r="D33" s="34" t="inlineStr">
        <is>
          <t>Veio</t>
        </is>
      </c>
      <c r="G33" s="24" t="n"/>
      <c r="H33" s="24" t="n"/>
      <c r="I33" s="24" t="n"/>
    </row>
    <row r="34">
      <c r="A34" s="34">
        <f>IFERROR(__xludf.DUMMYFUNCTION("""COMPUTED_VALUE"""),"DAVI LUCAS DE LIMA TRINDADE")</f>
        <v/>
      </c>
      <c r="B34" s="34">
        <f>IFERROR(__xludf.DUMMYFUNCTION("""COMPUTED_VALUE"""),"Turma C")</f>
        <v/>
      </c>
      <c r="C34" s="34">
        <f>IFERROR(__xludf.DUMMYFUNCTION("""COMPUTED_VALUE"""),"Vespertino")</f>
        <v/>
      </c>
      <c r="D34" s="34" t="inlineStr">
        <is>
          <t>Veio</t>
        </is>
      </c>
      <c r="G34" s="24" t="n"/>
      <c r="H34" s="24" t="n"/>
      <c r="I34" s="24" t="n"/>
    </row>
    <row r="35">
      <c r="A35" s="34">
        <f>IFERROR(__xludf.DUMMYFUNCTION("""COMPUTED_VALUE"""),"David William Pimenta Menezes")</f>
        <v/>
      </c>
      <c r="B35" s="34">
        <f>IFERROR(__xludf.DUMMYFUNCTION("""COMPUTED_VALUE"""),"Turma D")</f>
        <v/>
      </c>
      <c r="C35" s="34">
        <f>IFERROR(__xludf.DUMMYFUNCTION("""COMPUTED_VALUE"""),"Vespertino")</f>
        <v/>
      </c>
      <c r="D35" s="34" t="inlineStr">
        <is>
          <t>Veio</t>
        </is>
      </c>
      <c r="G35" s="24" t="n"/>
      <c r="H35" s="24" t="n"/>
      <c r="I35" s="24" t="n"/>
    </row>
    <row r="36">
      <c r="A36" s="34">
        <f>IFERROR(__xludf.DUMMYFUNCTION("""COMPUTED_VALUE"""),"DAVY CAMPOS BARROS")</f>
        <v/>
      </c>
      <c r="B36" s="34">
        <f>IFERROR(__xludf.DUMMYFUNCTION("""COMPUTED_VALUE"""),"Turma A")</f>
        <v/>
      </c>
      <c r="C36" s="34">
        <f>IFERROR(__xludf.DUMMYFUNCTION("""COMPUTED_VALUE"""),"Vespertino")</f>
        <v/>
      </c>
      <c r="D36" s="34" t="inlineStr">
        <is>
          <t>Veio</t>
        </is>
      </c>
      <c r="G36" s="24" t="n"/>
      <c r="H36" s="24" t="n"/>
      <c r="I36" s="24" t="n"/>
    </row>
    <row r="37">
      <c r="A37" s="34">
        <f>IFERROR(__xludf.DUMMYFUNCTION("""COMPUTED_VALUE"""),"DAVY THAYLOM OLIVEIRA DOS SANTOS")</f>
        <v/>
      </c>
      <c r="B37" s="34">
        <f>IFERROR(__xludf.DUMMYFUNCTION("""COMPUTED_VALUE"""),"Turma A")</f>
        <v/>
      </c>
      <c r="C37" s="34">
        <f>IFERROR(__xludf.DUMMYFUNCTION("""COMPUTED_VALUE"""),"Vespertino")</f>
        <v/>
      </c>
      <c r="D37" s="34" t="inlineStr">
        <is>
          <t>Veio</t>
        </is>
      </c>
      <c r="G37" s="24" t="n"/>
      <c r="H37" s="24" t="n"/>
      <c r="I37" s="24" t="n"/>
    </row>
    <row r="38">
      <c r="A38" s="34">
        <f>IFERROR(__xludf.DUMMYFUNCTION("""COMPUTED_VALUE"""),"DERIK PEREIRA VIANA")</f>
        <v/>
      </c>
      <c r="B38" s="34">
        <f>IFERROR(__xludf.DUMMYFUNCTION("""COMPUTED_VALUE"""),"Turma B2")</f>
        <v/>
      </c>
      <c r="C38" s="34">
        <f>IFERROR(__xludf.DUMMYFUNCTION("""COMPUTED_VALUE"""),"Vespertino")</f>
        <v/>
      </c>
      <c r="D38" s="34" t="inlineStr">
        <is>
          <t>Veio</t>
        </is>
      </c>
      <c r="G38" s="24" t="n"/>
      <c r="H38" s="24" t="n"/>
      <c r="I38" s="24" t="n"/>
    </row>
    <row r="39">
      <c r="A39" s="34">
        <f>IFERROR(__xludf.DUMMYFUNCTION("""COMPUTED_VALUE"""),"DIEGO MARQUES SOUZA DA SILVA")</f>
        <v/>
      </c>
      <c r="B39" s="34">
        <f>IFERROR(__xludf.DUMMYFUNCTION("""COMPUTED_VALUE"""),"Turma E")</f>
        <v/>
      </c>
      <c r="C39" s="34">
        <f>IFERROR(__xludf.DUMMYFUNCTION("""COMPUTED_VALUE"""),"Matutino")</f>
        <v/>
      </c>
      <c r="D39" s="34" t="inlineStr">
        <is>
          <t>Veio</t>
        </is>
      </c>
      <c r="G39" s="24" t="n"/>
      <c r="H39" s="24" t="n"/>
      <c r="I39" s="24" t="n"/>
    </row>
    <row r="40">
      <c r="A40" s="34">
        <f>IFERROR(__xludf.DUMMYFUNCTION("""COMPUTED_VALUE"""),"DIEGO RENAN OLIVEIRA DA SILVA")</f>
        <v/>
      </c>
      <c r="B40" s="34">
        <f>IFERROR(__xludf.DUMMYFUNCTION("""COMPUTED_VALUE"""),"Turma E")</f>
        <v/>
      </c>
      <c r="C40" s="34">
        <f>IFERROR(__xludf.DUMMYFUNCTION("""COMPUTED_VALUE"""),"Vespertino")</f>
        <v/>
      </c>
      <c r="D40" s="34" t="inlineStr">
        <is>
          <t>Veio</t>
        </is>
      </c>
      <c r="G40" s="24" t="n"/>
      <c r="H40" s="24" t="n"/>
      <c r="I40" s="24" t="n"/>
    </row>
    <row r="41">
      <c r="A41" s="34">
        <f>IFERROR(__xludf.DUMMYFUNCTION("""COMPUTED_VALUE"""),"ELIZEU MURILO JATOBÁ TRINDADE")</f>
        <v/>
      </c>
      <c r="B41" s="34">
        <f>IFERROR(__xludf.DUMMYFUNCTION("""COMPUTED_VALUE"""),"Turma B2")</f>
        <v/>
      </c>
      <c r="C41" s="34">
        <f>IFERROR(__xludf.DUMMYFUNCTION("""COMPUTED_VALUE"""),"Vespertino")</f>
        <v/>
      </c>
      <c r="D41" s="34" t="inlineStr">
        <is>
          <t>Veio</t>
        </is>
      </c>
      <c r="G41" s="24" t="n"/>
      <c r="H41" s="24" t="n"/>
      <c r="I41" s="24" t="n"/>
    </row>
    <row r="42">
      <c r="A42" s="34">
        <f>IFERROR(__xludf.DUMMYFUNCTION("""COMPUTED_VALUE"""),"EMANUEL BATISTA DA SILVA")</f>
        <v/>
      </c>
      <c r="B42" s="34">
        <f>IFERROR(__xludf.DUMMYFUNCTION("""COMPUTED_VALUE"""),"Turma E")</f>
        <v/>
      </c>
      <c r="C42" s="34">
        <f>IFERROR(__xludf.DUMMYFUNCTION("""COMPUTED_VALUE"""),"Vespertino")</f>
        <v/>
      </c>
      <c r="D42" s="34" t="inlineStr">
        <is>
          <t>Veio</t>
        </is>
      </c>
      <c r="G42" s="24" t="n"/>
      <c r="H42" s="24" t="n"/>
      <c r="I42" s="24" t="n"/>
    </row>
    <row r="43">
      <c r="A43" s="34">
        <f>IFERROR(__xludf.DUMMYFUNCTION("""COMPUTED_VALUE"""),"EMANUELLY DA SILVA SANTOS")</f>
        <v/>
      </c>
      <c r="B43" s="34">
        <f>IFERROR(__xludf.DUMMYFUNCTION("""COMPUTED_VALUE"""),"Turma B1")</f>
        <v/>
      </c>
      <c r="C43" s="34">
        <f>IFERROR(__xludf.DUMMYFUNCTION("""COMPUTED_VALUE"""),"Matutino")</f>
        <v/>
      </c>
      <c r="D43" s="34" t="inlineStr">
        <is>
          <t>Veio</t>
        </is>
      </c>
      <c r="G43" s="24" t="n"/>
      <c r="H43" s="24" t="n"/>
      <c r="I43" s="24" t="n"/>
    </row>
    <row r="44">
      <c r="A44" s="34">
        <f>IFERROR(__xludf.DUMMYFUNCTION("""COMPUTED_VALUE"""),"EMILLY VICTÓRIA DO NASCIMENTO BEZERRA")</f>
        <v/>
      </c>
      <c r="B44" s="34">
        <f>IFERROR(__xludf.DUMMYFUNCTION("""COMPUTED_VALUE"""),"Turma B2")</f>
        <v/>
      </c>
      <c r="C44" s="34">
        <f>IFERROR(__xludf.DUMMYFUNCTION("""COMPUTED_VALUE"""),"Vespertino")</f>
        <v/>
      </c>
      <c r="D44" s="34" t="inlineStr">
        <is>
          <t>Veio</t>
        </is>
      </c>
      <c r="G44" s="24" t="n"/>
      <c r="H44" s="24" t="n"/>
      <c r="I44" s="24" t="n"/>
    </row>
    <row r="45">
      <c r="A45" s="34">
        <f>IFERROR(__xludf.DUMMYFUNCTION("""COMPUTED_VALUE"""),"EMILY VITÓRIA DA SILVA SANTOS")</f>
        <v/>
      </c>
      <c r="B45" s="34">
        <f>IFERROR(__xludf.DUMMYFUNCTION("""COMPUTED_VALUE"""),"Turma GR")</f>
        <v/>
      </c>
      <c r="C45" s="34">
        <f>IFERROR(__xludf.DUMMYFUNCTION("""COMPUTED_VALUE"""),"Vespertino")</f>
        <v/>
      </c>
      <c r="D45" s="34" t="inlineStr">
        <is>
          <t>Veio</t>
        </is>
      </c>
      <c r="G45" s="24" t="n"/>
      <c r="H45" s="24" t="n"/>
      <c r="I45" s="24" t="n"/>
    </row>
    <row r="46">
      <c r="A46" s="34">
        <f>IFERROR(__xludf.DUMMYFUNCTION("""COMPUTED_VALUE"""),"ENZO GABRIEL ALVES RIBEIRO")</f>
        <v/>
      </c>
      <c r="B46" s="34">
        <f>IFERROR(__xludf.DUMMYFUNCTION("""COMPUTED_VALUE"""),"Turma B1")</f>
        <v/>
      </c>
      <c r="C46" s="34">
        <f>IFERROR(__xludf.DUMMYFUNCTION("""COMPUTED_VALUE"""),"Matutino")</f>
        <v/>
      </c>
      <c r="D46" s="34" t="inlineStr">
        <is>
          <t>Veio</t>
        </is>
      </c>
      <c r="G46" s="24" t="n"/>
      <c r="H46" s="24" t="n"/>
      <c r="I46" s="24" t="n"/>
    </row>
    <row r="47">
      <c r="A47" s="34">
        <f>IFERROR(__xludf.DUMMYFUNCTION("""COMPUTED_VALUE"""),"ENZO GABRIEL FERREIRA DOS SANTOS")</f>
        <v/>
      </c>
      <c r="B47" s="34">
        <f>IFERROR(__xludf.DUMMYFUNCTION("""COMPUTED_VALUE"""),"Turma B2")</f>
        <v/>
      </c>
      <c r="C47" s="34">
        <f>IFERROR(__xludf.DUMMYFUNCTION("""COMPUTED_VALUE"""),"Vespertino")</f>
        <v/>
      </c>
      <c r="D47" s="34" t="inlineStr">
        <is>
          <t>Veio</t>
        </is>
      </c>
      <c r="G47" s="24" t="n"/>
      <c r="H47" s="24" t="n"/>
      <c r="I47" s="24" t="n"/>
    </row>
    <row r="48">
      <c r="A48" s="34">
        <f>IFERROR(__xludf.DUMMYFUNCTION("""COMPUTED_VALUE"""),"ERIK KAUAN DE SOUSA SILVA")</f>
        <v/>
      </c>
      <c r="B48" s="34">
        <f>IFERROR(__xludf.DUMMYFUNCTION("""COMPUTED_VALUE"""),"Turma B1")</f>
        <v/>
      </c>
      <c r="C48" s="34">
        <f>IFERROR(__xludf.DUMMYFUNCTION("""COMPUTED_VALUE"""),"Matutino")</f>
        <v/>
      </c>
      <c r="D48" s="34" t="inlineStr">
        <is>
          <t>Veio</t>
        </is>
      </c>
      <c r="G48" s="24" t="n"/>
      <c r="H48" s="24" t="n"/>
      <c r="I48" s="24" t="n"/>
    </row>
    <row r="49">
      <c r="A49" s="34">
        <f>IFERROR(__xludf.DUMMYFUNCTION("""COMPUTED_VALUE"""),"EROS PINHEIRO")</f>
        <v/>
      </c>
      <c r="B49" s="34">
        <f>IFERROR(__xludf.DUMMYFUNCTION("""COMPUTED_VALUE"""),"Turma GR")</f>
        <v/>
      </c>
      <c r="C49" s="34">
        <f>IFERROR(__xludf.DUMMYFUNCTION("""COMPUTED_VALUE"""),"Vespertino")</f>
        <v/>
      </c>
      <c r="D49" s="34" t="inlineStr">
        <is>
          <t>Veio</t>
        </is>
      </c>
      <c r="G49" s="24" t="n"/>
      <c r="H49" s="24" t="n"/>
      <c r="I49" s="24" t="n"/>
    </row>
    <row r="50">
      <c r="A50" s="34">
        <f>IFERROR(__xludf.DUMMYFUNCTION("""COMPUTED_VALUE"""),"Estela Martins Lopes")</f>
        <v/>
      </c>
      <c r="B50" s="34">
        <f>IFERROR(__xludf.DUMMYFUNCTION("""COMPUTED_VALUE"""),"Turma A")</f>
        <v/>
      </c>
      <c r="C50" s="34">
        <f>IFERROR(__xludf.DUMMYFUNCTION("""COMPUTED_VALUE"""),"Matutino")</f>
        <v/>
      </c>
      <c r="D50" s="34" t="inlineStr">
        <is>
          <t>Veio</t>
        </is>
      </c>
      <c r="G50" s="24" t="n"/>
      <c r="H50" s="24" t="n"/>
      <c r="I50" s="24" t="n"/>
    </row>
    <row r="51">
      <c r="A51" s="34">
        <f>IFERROR(__xludf.DUMMYFUNCTION("""COMPUTED_VALUE"""),"ESTEPHANIE ISADORA SALES ROQUE")</f>
        <v/>
      </c>
      <c r="B51" s="34">
        <f>IFERROR(__xludf.DUMMYFUNCTION("""COMPUTED_VALUE"""),"Turma GR")</f>
        <v/>
      </c>
      <c r="C51" s="34">
        <f>IFERROR(__xludf.DUMMYFUNCTION("""COMPUTED_VALUE"""),"Vespertino")</f>
        <v/>
      </c>
      <c r="D51" s="34" t="inlineStr">
        <is>
          <t>Veio</t>
        </is>
      </c>
      <c r="G51" s="24" t="n"/>
      <c r="H51" s="24" t="n"/>
      <c r="I51" s="24" t="n"/>
    </row>
    <row r="52">
      <c r="A52" s="34">
        <f>IFERROR(__xludf.DUMMYFUNCTION("""COMPUTED_VALUE"""),"FELIPE LUAN DELGADO DOS SANTOS")</f>
        <v/>
      </c>
      <c r="B52" s="34">
        <f>IFERROR(__xludf.DUMMYFUNCTION("""COMPUTED_VALUE"""),"Turma C")</f>
        <v/>
      </c>
      <c r="C52" s="34">
        <f>IFERROR(__xludf.DUMMYFUNCTION("""COMPUTED_VALUE"""),"Vespertino")</f>
        <v/>
      </c>
      <c r="D52" s="34" t="inlineStr">
        <is>
          <t>Veio</t>
        </is>
      </c>
      <c r="G52" s="24" t="n"/>
      <c r="H52" s="24" t="n"/>
      <c r="I52" s="24" t="n"/>
    </row>
    <row r="53">
      <c r="A53" s="34">
        <f>IFERROR(__xludf.DUMMYFUNCTION("""COMPUTED_VALUE"""),"GABRIEL MARTINS DOS SANTOS")</f>
        <v/>
      </c>
      <c r="B53" s="34">
        <f>IFERROR(__xludf.DUMMYFUNCTION("""COMPUTED_VALUE"""),"Turma C")</f>
        <v/>
      </c>
      <c r="C53" s="34">
        <f>IFERROR(__xludf.DUMMYFUNCTION("""COMPUTED_VALUE"""),"Vespertino")</f>
        <v/>
      </c>
      <c r="D53" s="34" t="inlineStr">
        <is>
          <t>Veio</t>
        </is>
      </c>
      <c r="G53" s="24" t="n"/>
      <c r="H53" s="24" t="n"/>
      <c r="I53" s="24" t="n"/>
    </row>
    <row r="54">
      <c r="A54" s="34">
        <f>IFERROR(__xludf.DUMMYFUNCTION("""COMPUTED_VALUE"""),"GABRIEL SOUZA BRAZ")</f>
        <v/>
      </c>
      <c r="B54" s="34">
        <f>IFERROR(__xludf.DUMMYFUNCTION("""COMPUTED_VALUE"""),"Turma B1")</f>
        <v/>
      </c>
      <c r="C54" s="34">
        <f>IFERROR(__xludf.DUMMYFUNCTION("""COMPUTED_VALUE"""),"Matutino")</f>
        <v/>
      </c>
      <c r="D54" s="34" t="inlineStr">
        <is>
          <t>Veio</t>
        </is>
      </c>
      <c r="G54" s="24" t="n"/>
      <c r="H54" s="24" t="n"/>
      <c r="I54" s="24" t="n"/>
    </row>
    <row r="55">
      <c r="A55" s="34">
        <f>IFERROR(__xludf.DUMMYFUNCTION("""COMPUTED_VALUE"""),"GRAZIELLY VITÓRIA SOARES SANTOS")</f>
        <v/>
      </c>
      <c r="B55" s="34">
        <f>IFERROR(__xludf.DUMMYFUNCTION("""COMPUTED_VALUE"""),"Turma E")</f>
        <v/>
      </c>
      <c r="C55" s="34">
        <f>IFERROR(__xludf.DUMMYFUNCTION("""COMPUTED_VALUE"""),"Vespertino")</f>
        <v/>
      </c>
      <c r="D55" s="34" t="inlineStr">
        <is>
          <t>Veio</t>
        </is>
      </c>
      <c r="G55" s="24" t="n"/>
      <c r="H55" s="24" t="n"/>
      <c r="I55" s="24" t="n"/>
    </row>
    <row r="56">
      <c r="A56" s="34">
        <f>IFERROR(__xludf.DUMMYFUNCTION("""COMPUTED_VALUE"""),"GUILHERME DE ANDRADE ZENZI")</f>
        <v/>
      </c>
      <c r="B56" s="34">
        <f>IFERROR(__xludf.DUMMYFUNCTION("""COMPUTED_VALUE"""),"Turma E")</f>
        <v/>
      </c>
      <c r="C56" s="34">
        <f>IFERROR(__xludf.DUMMYFUNCTION("""COMPUTED_VALUE"""),"Vespertino")</f>
        <v/>
      </c>
      <c r="D56" s="34" t="inlineStr">
        <is>
          <t>Veio</t>
        </is>
      </c>
      <c r="G56" s="24" t="n"/>
      <c r="H56" s="24" t="n"/>
      <c r="I56" s="24" t="n"/>
    </row>
    <row r="57">
      <c r="A57" s="34">
        <f>IFERROR(__xludf.DUMMYFUNCTION("""COMPUTED_VALUE"""),"GULHERME SOARES")</f>
        <v/>
      </c>
      <c r="B57" s="34">
        <f>IFERROR(__xludf.DUMMYFUNCTION("""COMPUTED_VALUE"""),"Turma B2")</f>
        <v/>
      </c>
      <c r="C57" s="34">
        <f>IFERROR(__xludf.DUMMYFUNCTION("""COMPUTED_VALUE"""),"Vespertino")</f>
        <v/>
      </c>
      <c r="D57" s="34" t="inlineStr">
        <is>
          <t>Veio</t>
        </is>
      </c>
      <c r="G57" s="24" t="n"/>
      <c r="H57" s="24" t="n"/>
      <c r="I57" s="24" t="n"/>
    </row>
    <row r="58">
      <c r="A58" s="34">
        <f>IFERROR(__xludf.DUMMYFUNCTION("""COMPUTED_VALUE"""),"GUSTAVO ALEJANDRO SIQUEIRA DOS SANTOS")</f>
        <v/>
      </c>
      <c r="B58" s="34">
        <f>IFERROR(__xludf.DUMMYFUNCTION("""COMPUTED_VALUE"""),"Turma B2")</f>
        <v/>
      </c>
      <c r="C58" s="34">
        <f>IFERROR(__xludf.DUMMYFUNCTION("""COMPUTED_VALUE"""),"Matutino")</f>
        <v/>
      </c>
      <c r="D58" s="34" t="inlineStr">
        <is>
          <t>Veio</t>
        </is>
      </c>
      <c r="G58" s="24" t="n"/>
      <c r="H58" s="24" t="n"/>
      <c r="I58" s="24" t="n"/>
    </row>
    <row r="59">
      <c r="A59" s="34">
        <f>IFERROR(__xludf.DUMMYFUNCTION("""COMPUTED_VALUE"""),"GUSTAVO GALVÃO DE JESUS")</f>
        <v/>
      </c>
      <c r="B59" s="34">
        <f>IFERROR(__xludf.DUMMYFUNCTION("""COMPUTED_VALUE"""),"Turma D")</f>
        <v/>
      </c>
      <c r="C59" s="34">
        <f>IFERROR(__xludf.DUMMYFUNCTION("""COMPUTED_VALUE"""),"Matutino")</f>
        <v/>
      </c>
      <c r="D59" s="34" t="inlineStr">
        <is>
          <t>Veio</t>
        </is>
      </c>
      <c r="G59" s="24" t="n"/>
      <c r="H59" s="24" t="n"/>
      <c r="I59" s="24" t="n"/>
    </row>
    <row r="60">
      <c r="A60" s="34">
        <f>IFERROR(__xludf.DUMMYFUNCTION("""COMPUTED_VALUE"""),"Heitor Miguel Barbosa De Melo Ferreira")</f>
        <v/>
      </c>
      <c r="B60" s="34">
        <f>IFERROR(__xludf.DUMMYFUNCTION("""COMPUTED_VALUE"""),"Turma C")</f>
        <v/>
      </c>
      <c r="C60" s="34">
        <f>IFERROR(__xludf.DUMMYFUNCTION("""COMPUTED_VALUE"""),"Matutino")</f>
        <v/>
      </c>
      <c r="D60" s="34" t="inlineStr">
        <is>
          <t>Veio</t>
        </is>
      </c>
      <c r="G60" s="24" t="n"/>
      <c r="H60" s="24" t="n"/>
      <c r="I60" s="24" t="n"/>
    </row>
    <row r="61">
      <c r="A61" s="34">
        <f>IFERROR(__xludf.DUMMYFUNCTION("""COMPUTED_VALUE"""),"HELLOARA SANTOS DE LIMA")</f>
        <v/>
      </c>
      <c r="B61" s="34">
        <f>IFERROR(__xludf.DUMMYFUNCTION("""COMPUTED_VALUE"""),"Turma B2")</f>
        <v/>
      </c>
      <c r="C61" s="34">
        <f>IFERROR(__xludf.DUMMYFUNCTION("""COMPUTED_VALUE"""),"Matutino")</f>
        <v/>
      </c>
      <c r="D61" s="34" t="inlineStr">
        <is>
          <t>Veio</t>
        </is>
      </c>
      <c r="G61" s="24" t="n"/>
      <c r="H61" s="24" t="n"/>
      <c r="I61" s="24" t="n"/>
    </row>
    <row r="62">
      <c r="A62" s="34">
        <f>IFERROR(__xludf.DUMMYFUNCTION("""COMPUTED_VALUE"""),"Henrique Rocha Almeida")</f>
        <v/>
      </c>
      <c r="B62" s="34">
        <f>IFERROR(__xludf.DUMMYFUNCTION("""COMPUTED_VALUE"""),"Turma D")</f>
        <v/>
      </c>
      <c r="C62" s="34">
        <f>IFERROR(__xludf.DUMMYFUNCTION("""COMPUTED_VALUE"""),"Vespertino")</f>
        <v/>
      </c>
      <c r="D62" s="34" t="inlineStr">
        <is>
          <t>Veio</t>
        </is>
      </c>
      <c r="G62" s="24" t="n"/>
      <c r="H62" s="24" t="n"/>
      <c r="I62" s="24" t="n"/>
    </row>
    <row r="63">
      <c r="A63" s="34">
        <f>IFERROR(__xludf.DUMMYFUNCTION("""COMPUTED_VALUE"""),"Higor Santiago Castro Farfan")</f>
        <v/>
      </c>
      <c r="B63" s="34">
        <f>IFERROR(__xludf.DUMMYFUNCTION("""COMPUTED_VALUE"""),"Turma GR")</f>
        <v/>
      </c>
      <c r="C63" s="34">
        <f>IFERROR(__xludf.DUMMYFUNCTION("""COMPUTED_VALUE"""),"Vespertino")</f>
        <v/>
      </c>
      <c r="D63" s="34" t="inlineStr">
        <is>
          <t>Veio</t>
        </is>
      </c>
      <c r="G63" s="24" t="n"/>
      <c r="H63" s="24" t="n"/>
      <c r="I63" s="24" t="n"/>
    </row>
    <row r="64">
      <c r="A64" s="34">
        <f>IFERROR(__xludf.DUMMYFUNCTION("""COMPUTED_VALUE"""),"HIURY QUENUPE DE OLIVEIRA")</f>
        <v/>
      </c>
      <c r="B64" s="34">
        <f>IFERROR(__xludf.DUMMYFUNCTION("""COMPUTED_VALUE"""),"Turma E")</f>
        <v/>
      </c>
      <c r="C64" s="34">
        <f>IFERROR(__xludf.DUMMYFUNCTION("""COMPUTED_VALUE"""),"Matutino")</f>
        <v/>
      </c>
      <c r="D64" s="34" t="inlineStr">
        <is>
          <t>Veio</t>
        </is>
      </c>
      <c r="G64" s="24" t="n"/>
      <c r="H64" s="24" t="n"/>
      <c r="I64" s="24" t="n"/>
    </row>
    <row r="65">
      <c r="A65" s="34">
        <f>IFERROR(__xludf.DUMMYFUNCTION("""COMPUTED_VALUE"""),"IARA YASMIN FERREIRA IZEL")</f>
        <v/>
      </c>
      <c r="B65" s="34">
        <f>IFERROR(__xludf.DUMMYFUNCTION("""COMPUTED_VALUE"""),"Turma B1")</f>
        <v/>
      </c>
      <c r="C65" s="34">
        <f>IFERROR(__xludf.DUMMYFUNCTION("""COMPUTED_VALUE"""),"Vespertino")</f>
        <v/>
      </c>
      <c r="D65" s="34" t="inlineStr">
        <is>
          <t>Veio</t>
        </is>
      </c>
      <c r="G65" s="24" t="n"/>
      <c r="H65" s="24" t="n"/>
      <c r="I65" s="24" t="n"/>
    </row>
    <row r="66">
      <c r="A66" s="34">
        <f>IFERROR(__xludf.DUMMYFUNCTION("""COMPUTED_VALUE"""),"ISABELLA MARA RODRIGUES SILVA")</f>
        <v/>
      </c>
      <c r="B66" s="34">
        <f>IFERROR(__xludf.DUMMYFUNCTION("""COMPUTED_VALUE"""),"Turma C")</f>
        <v/>
      </c>
      <c r="C66" s="34">
        <f>IFERROR(__xludf.DUMMYFUNCTION("""COMPUTED_VALUE"""),"Vespertino")</f>
        <v/>
      </c>
      <c r="D66" s="34" t="inlineStr">
        <is>
          <t>Veio</t>
        </is>
      </c>
      <c r="G66" s="24" t="n"/>
      <c r="H66" s="24" t="n"/>
      <c r="I66" s="24" t="n"/>
    </row>
    <row r="67">
      <c r="A67" s="34">
        <f>IFERROR(__xludf.DUMMYFUNCTION("""COMPUTED_VALUE"""),"ISABELLY RODRIGUES DOS REIS")</f>
        <v/>
      </c>
      <c r="B67" s="34">
        <f>IFERROR(__xludf.DUMMYFUNCTION("""COMPUTED_VALUE"""),"Turma E")</f>
        <v/>
      </c>
      <c r="C67" s="34">
        <f>IFERROR(__xludf.DUMMYFUNCTION("""COMPUTED_VALUE"""),"Vespertino")</f>
        <v/>
      </c>
      <c r="D67" s="34" t="inlineStr">
        <is>
          <t>Veio</t>
        </is>
      </c>
      <c r="G67" s="24" t="n"/>
      <c r="H67" s="24" t="n"/>
      <c r="I67" s="24" t="n"/>
    </row>
    <row r="68">
      <c r="A68" s="34">
        <f>IFERROR(__xludf.DUMMYFUNCTION("""COMPUTED_VALUE"""),"IURY GUSTAVO GOMES BARBOSA")</f>
        <v/>
      </c>
      <c r="B68" s="34">
        <f>IFERROR(__xludf.DUMMYFUNCTION("""COMPUTED_VALUE"""),"Turma C")</f>
        <v/>
      </c>
      <c r="C68" s="34">
        <f>IFERROR(__xludf.DUMMYFUNCTION("""COMPUTED_VALUE"""),"Vespertino")</f>
        <v/>
      </c>
      <c r="D68" s="34" t="inlineStr">
        <is>
          <t>Veio</t>
        </is>
      </c>
      <c r="G68" s="24" t="n"/>
      <c r="H68" s="24" t="n"/>
      <c r="I68" s="24" t="n"/>
    </row>
    <row r="69">
      <c r="A69" s="34">
        <f>IFERROR(__xludf.DUMMYFUNCTION("""COMPUTED_VALUE"""),"Izaque Henrique Verdan Francisco")</f>
        <v/>
      </c>
      <c r="B69" s="34">
        <f>IFERROR(__xludf.DUMMYFUNCTION("""COMPUTED_VALUE"""),"Turma A")</f>
        <v/>
      </c>
      <c r="C69" s="34">
        <f>IFERROR(__xludf.DUMMYFUNCTION("""COMPUTED_VALUE"""),"Matutino")</f>
        <v/>
      </c>
      <c r="D69" s="34" t="inlineStr">
        <is>
          <t>Veio</t>
        </is>
      </c>
      <c r="G69" s="24" t="n"/>
      <c r="H69" s="24" t="n"/>
      <c r="I69" s="24" t="n"/>
    </row>
    <row r="70">
      <c r="A70" s="34">
        <f>IFERROR(__xludf.DUMMYFUNCTION("""COMPUTED_VALUE"""),"JHENIFFER YASMIN MENDES MORAES")</f>
        <v/>
      </c>
      <c r="B70" s="34">
        <f>IFERROR(__xludf.DUMMYFUNCTION("""COMPUTED_VALUE"""),"Turma A")</f>
        <v/>
      </c>
      <c r="C70" s="34">
        <f>IFERROR(__xludf.DUMMYFUNCTION("""COMPUTED_VALUE"""),"Vespertino")</f>
        <v/>
      </c>
      <c r="D70" s="34" t="inlineStr">
        <is>
          <t>Veio</t>
        </is>
      </c>
      <c r="G70" s="24" t="n"/>
      <c r="H70" s="24" t="n"/>
      <c r="I70" s="24" t="n"/>
    </row>
    <row r="71">
      <c r="A71" s="34">
        <f>IFERROR(__xludf.DUMMYFUNCTION("""COMPUTED_VALUE"""),"JHONNY VICTOR DE LIMA TRINDADE")</f>
        <v/>
      </c>
      <c r="B71" s="34">
        <f>IFERROR(__xludf.DUMMYFUNCTION("""COMPUTED_VALUE"""),"Turma E")</f>
        <v/>
      </c>
      <c r="C71" s="34">
        <f>IFERROR(__xludf.DUMMYFUNCTION("""COMPUTED_VALUE"""),"Vespertino")</f>
        <v/>
      </c>
      <c r="D71" s="34" t="inlineStr">
        <is>
          <t>Veio</t>
        </is>
      </c>
      <c r="G71" s="24" t="n"/>
      <c r="H71" s="24" t="n"/>
      <c r="I71" s="24" t="n"/>
    </row>
    <row r="72">
      <c r="A72" s="34">
        <f>IFERROR(__xludf.DUMMYFUNCTION("""COMPUTED_VALUE"""),"JOÃO GUILHERME FERREIRA DOS SANTOS")</f>
        <v/>
      </c>
      <c r="B72" s="34">
        <f>IFERROR(__xludf.DUMMYFUNCTION("""COMPUTED_VALUE"""),"Turma E")</f>
        <v/>
      </c>
      <c r="C72" s="34">
        <f>IFERROR(__xludf.DUMMYFUNCTION("""COMPUTED_VALUE"""),"Vespertino")</f>
        <v/>
      </c>
      <c r="D72" s="34" t="inlineStr">
        <is>
          <t>Veio</t>
        </is>
      </c>
      <c r="G72" s="24" t="n"/>
      <c r="H72" s="24" t="n"/>
      <c r="I72" s="24" t="n"/>
    </row>
    <row r="73">
      <c r="A73" s="34">
        <f>IFERROR(__xludf.DUMMYFUNCTION("""COMPUTED_VALUE"""),"João Miguel Medeiros De Oliveira")</f>
        <v/>
      </c>
      <c r="B73" s="34">
        <f>IFERROR(__xludf.DUMMYFUNCTION("""COMPUTED_VALUE"""),"Turma A")</f>
        <v/>
      </c>
      <c r="C73" s="34">
        <f>IFERROR(__xludf.DUMMYFUNCTION("""COMPUTED_VALUE"""),"Matutino")</f>
        <v/>
      </c>
      <c r="D73" s="34" t="inlineStr">
        <is>
          <t>Veio</t>
        </is>
      </c>
      <c r="G73" s="24" t="n"/>
      <c r="H73" s="24" t="n"/>
      <c r="I73" s="24" t="n"/>
    </row>
    <row r="74">
      <c r="A74" s="34">
        <f>IFERROR(__xludf.DUMMYFUNCTION("""COMPUTED_VALUE"""),"JOÃO PAULO LOPES PINHEIRO")</f>
        <v/>
      </c>
      <c r="B74" s="34">
        <f>IFERROR(__xludf.DUMMYFUNCTION("""COMPUTED_VALUE"""),"Turma B1")</f>
        <v/>
      </c>
      <c r="C74" s="34">
        <f>IFERROR(__xludf.DUMMYFUNCTION("""COMPUTED_VALUE"""),"Matutino")</f>
        <v/>
      </c>
      <c r="D74" s="34" t="inlineStr">
        <is>
          <t>Veio</t>
        </is>
      </c>
      <c r="G74" s="24" t="n"/>
      <c r="H74" s="24" t="n"/>
      <c r="I74" s="24" t="n"/>
    </row>
    <row r="75">
      <c r="A75" s="34">
        <f>IFERROR(__xludf.DUMMYFUNCTION("""COMPUTED_VALUE"""),"JOÃO PEDRO JESUS SOUZA")</f>
        <v/>
      </c>
      <c r="B75" s="34">
        <f>IFERROR(__xludf.DUMMYFUNCTION("""COMPUTED_VALUE"""),"Turma E")</f>
        <v/>
      </c>
      <c r="C75" s="34">
        <f>IFERROR(__xludf.DUMMYFUNCTION("""COMPUTED_VALUE"""),"Vespertino")</f>
        <v/>
      </c>
      <c r="D75" s="34" t="inlineStr">
        <is>
          <t>Veio</t>
        </is>
      </c>
      <c r="G75" s="24" t="n"/>
      <c r="H75" s="24" t="n"/>
      <c r="I75" s="24" t="n"/>
    </row>
    <row r="76">
      <c r="A76" s="34">
        <f>IFERROR(__xludf.DUMMYFUNCTION("""COMPUTED_VALUE"""),"JOÃO VICTOR CAETANO COELHO")</f>
        <v/>
      </c>
      <c r="B76" s="34">
        <f>IFERROR(__xludf.DUMMYFUNCTION("""COMPUTED_VALUE"""),"Turma E")</f>
        <v/>
      </c>
      <c r="C76" s="34">
        <f>IFERROR(__xludf.DUMMYFUNCTION("""COMPUTED_VALUE"""),"Matutino")</f>
        <v/>
      </c>
      <c r="D76" s="34" t="inlineStr">
        <is>
          <t>Veio</t>
        </is>
      </c>
      <c r="G76" s="24" t="n"/>
      <c r="H76" s="24" t="n"/>
      <c r="I76" s="24" t="n"/>
    </row>
    <row r="77">
      <c r="A77" s="34">
        <f>IFERROR(__xludf.DUMMYFUNCTION("""COMPUTED_VALUE"""),"Joaquim Miguel Silva Melo")</f>
        <v/>
      </c>
      <c r="B77" s="34">
        <f>IFERROR(__xludf.DUMMYFUNCTION("""COMPUTED_VALUE"""),"Turma C")</f>
        <v/>
      </c>
      <c r="C77" s="34">
        <f>IFERROR(__xludf.DUMMYFUNCTION("""COMPUTED_VALUE"""),"Matutino")</f>
        <v/>
      </c>
      <c r="D77" s="34" t="inlineStr">
        <is>
          <t>Veio</t>
        </is>
      </c>
      <c r="G77" s="24" t="n"/>
      <c r="H77" s="24" t="n"/>
      <c r="I77" s="24" t="n"/>
    </row>
    <row r="78">
      <c r="A78" s="34">
        <f>IFERROR(__xludf.DUMMYFUNCTION("""COMPUTED_VALUE"""),"JOSÉ ESTEVÃO FRANCO PROCÓPIO DA SILVA")</f>
        <v/>
      </c>
      <c r="B78" s="34">
        <f>IFERROR(__xludf.DUMMYFUNCTION("""COMPUTED_VALUE"""),"Turma B1")</f>
        <v/>
      </c>
      <c r="C78" s="34">
        <f>IFERROR(__xludf.DUMMYFUNCTION("""COMPUTED_VALUE"""),"Matutino")</f>
        <v/>
      </c>
      <c r="D78" s="34" t="inlineStr">
        <is>
          <t>Veio</t>
        </is>
      </c>
      <c r="G78" s="24" t="n"/>
      <c r="H78" s="24" t="n"/>
      <c r="I78" s="24" t="n"/>
    </row>
    <row r="79">
      <c r="A79" s="34">
        <f>IFERROR(__xludf.DUMMYFUNCTION("""COMPUTED_VALUE"""),"JOSÉ GABRIEL NEVES OLIVEIRA")</f>
        <v/>
      </c>
      <c r="B79" s="34">
        <f>IFERROR(__xludf.DUMMYFUNCTION("""COMPUTED_VALUE"""),"Turma B2")</f>
        <v/>
      </c>
      <c r="C79" s="34">
        <f>IFERROR(__xludf.DUMMYFUNCTION("""COMPUTED_VALUE"""),"Vespertino")</f>
        <v/>
      </c>
      <c r="D79" s="34" t="inlineStr">
        <is>
          <t>Veio</t>
        </is>
      </c>
      <c r="G79" s="24" t="n"/>
      <c r="H79" s="24" t="n"/>
      <c r="I79" s="24" t="n"/>
    </row>
    <row r="80">
      <c r="A80" s="34">
        <f>IFERROR(__xludf.DUMMYFUNCTION("""COMPUTED_VALUE"""),"Julia Emanuelly Lavratti Oliveira")</f>
        <v/>
      </c>
      <c r="B80" s="34">
        <f>IFERROR(__xludf.DUMMYFUNCTION("""COMPUTED_VALUE"""),"Turma A")</f>
        <v/>
      </c>
      <c r="C80" s="34">
        <f>IFERROR(__xludf.DUMMYFUNCTION("""COMPUTED_VALUE"""),"Matutino")</f>
        <v/>
      </c>
      <c r="D80" s="34" t="inlineStr">
        <is>
          <t>Veio</t>
        </is>
      </c>
      <c r="G80" s="24" t="n"/>
      <c r="H80" s="24" t="n"/>
      <c r="I80" s="24" t="n"/>
    </row>
    <row r="81">
      <c r="A81" s="34">
        <f>IFERROR(__xludf.DUMMYFUNCTION("""COMPUTED_VALUE"""),"JULIANO HENRIQUE GONÇALVES DA SILVA")</f>
        <v/>
      </c>
      <c r="B81" s="34">
        <f>IFERROR(__xludf.DUMMYFUNCTION("""COMPUTED_VALUE"""),"Turma B2")</f>
        <v/>
      </c>
      <c r="C81" s="34">
        <f>IFERROR(__xludf.DUMMYFUNCTION("""COMPUTED_VALUE"""),"Vespertino")</f>
        <v/>
      </c>
      <c r="D81" s="34" t="inlineStr">
        <is>
          <t>Veio</t>
        </is>
      </c>
      <c r="G81" s="24" t="n"/>
      <c r="H81" s="24" t="n"/>
      <c r="I81" s="24" t="n"/>
    </row>
    <row r="82">
      <c r="A82" s="34">
        <f>IFERROR(__xludf.DUMMYFUNCTION("""COMPUTED_VALUE"""),"Kamily Barbosa Lemes")</f>
        <v/>
      </c>
      <c r="B82" s="34">
        <f>IFERROR(__xludf.DUMMYFUNCTION("""COMPUTED_VALUE"""),"Turma C")</f>
        <v/>
      </c>
      <c r="C82" s="34">
        <f>IFERROR(__xludf.DUMMYFUNCTION("""COMPUTED_VALUE"""),"Matutino")</f>
        <v/>
      </c>
      <c r="D82" s="34" t="inlineStr">
        <is>
          <t>Veio</t>
        </is>
      </c>
      <c r="G82" s="24" t="n"/>
      <c r="H82" s="24" t="n"/>
      <c r="I82" s="24" t="n"/>
    </row>
    <row r="83">
      <c r="A83" s="34">
        <f>IFERROR(__xludf.DUMMYFUNCTION("""COMPUTED_VALUE"""),"KAUANE BARBOSA LEMES")</f>
        <v/>
      </c>
      <c r="B83" s="34">
        <f>IFERROR(__xludf.DUMMYFUNCTION("""COMPUTED_VALUE"""),"Turma E")</f>
        <v/>
      </c>
      <c r="C83" s="34">
        <f>IFERROR(__xludf.DUMMYFUNCTION("""COMPUTED_VALUE"""),"Vespertino")</f>
        <v/>
      </c>
      <c r="D83" s="34" t="inlineStr">
        <is>
          <t>Veio</t>
        </is>
      </c>
      <c r="G83" s="24" t="n"/>
      <c r="H83" s="24" t="n"/>
      <c r="I83" s="24" t="n"/>
    </row>
    <row r="84">
      <c r="A84" s="34">
        <f>IFERROR(__xludf.DUMMYFUNCTION("""COMPUTED_VALUE"""),"KETLEN LORRANE DO NASCIMENTO DA SILVA")</f>
        <v/>
      </c>
      <c r="B84" s="34">
        <f>IFERROR(__xludf.DUMMYFUNCTION("""COMPUTED_VALUE"""),"Turma E")</f>
        <v/>
      </c>
      <c r="C84" s="34">
        <f>IFERROR(__xludf.DUMMYFUNCTION("""COMPUTED_VALUE"""),"Matutino")</f>
        <v/>
      </c>
      <c r="D84" s="34" t="inlineStr">
        <is>
          <t>Veio</t>
        </is>
      </c>
      <c r="G84" s="24" t="n"/>
      <c r="H84" s="24" t="n"/>
      <c r="I84" s="24" t="n"/>
    </row>
    <row r="85">
      <c r="A85" s="34">
        <f>IFERROR(__xludf.DUMMYFUNCTION("""COMPUTED_VALUE"""),"LAURA SOPHIE DA SILVA NASCIMENTO")</f>
        <v/>
      </c>
      <c r="B85" s="34">
        <f>IFERROR(__xludf.DUMMYFUNCTION("""COMPUTED_VALUE"""),"Turma B2")</f>
        <v/>
      </c>
      <c r="C85" s="34">
        <f>IFERROR(__xludf.DUMMYFUNCTION("""COMPUTED_VALUE"""),"Vespertino")</f>
        <v/>
      </c>
      <c r="D85" s="34" t="inlineStr">
        <is>
          <t>Veio</t>
        </is>
      </c>
      <c r="G85" s="24" t="n"/>
      <c r="H85" s="24" t="n"/>
      <c r="I85" s="24" t="n"/>
    </row>
    <row r="86">
      <c r="A86" s="34">
        <f>IFERROR(__xludf.DUMMYFUNCTION("""COMPUTED_VALUE"""),"LOGAN ARAUJO ALCANTARA")</f>
        <v/>
      </c>
      <c r="B86" s="34">
        <f>IFERROR(__xludf.DUMMYFUNCTION("""COMPUTED_VALUE"""),"Turma D")</f>
        <v/>
      </c>
      <c r="C86" s="34">
        <f>IFERROR(__xludf.DUMMYFUNCTION("""COMPUTED_VALUE"""),"Matutino")</f>
        <v/>
      </c>
      <c r="D86" s="34" t="inlineStr">
        <is>
          <t>Veio</t>
        </is>
      </c>
      <c r="G86" s="24" t="n"/>
      <c r="H86" s="24" t="n"/>
      <c r="I86" s="24" t="n"/>
    </row>
    <row r="87">
      <c r="A87" s="34">
        <f>IFERROR(__xludf.DUMMYFUNCTION("""COMPUTED_VALUE"""),"Lorena De Paiva Leite")</f>
        <v/>
      </c>
      <c r="B87" s="34">
        <f>IFERROR(__xludf.DUMMYFUNCTION("""COMPUTED_VALUE"""),"Turma D")</f>
        <v/>
      </c>
      <c r="C87" s="34">
        <f>IFERROR(__xludf.DUMMYFUNCTION("""COMPUTED_VALUE"""),"Vespertino")</f>
        <v/>
      </c>
      <c r="D87" s="34" t="inlineStr">
        <is>
          <t>Veio</t>
        </is>
      </c>
      <c r="G87" s="24" t="n"/>
      <c r="H87" s="24" t="n"/>
      <c r="I87" s="24" t="n"/>
    </row>
    <row r="88">
      <c r="A88" s="34">
        <f>IFERROR(__xludf.DUMMYFUNCTION("""COMPUTED_VALUE"""),"LUANA DO NASCIMENTO FERNANDES")</f>
        <v/>
      </c>
      <c r="B88" s="34">
        <f>IFERROR(__xludf.DUMMYFUNCTION("""COMPUTED_VALUE"""),"Turma B2")</f>
        <v/>
      </c>
      <c r="C88" s="34">
        <f>IFERROR(__xludf.DUMMYFUNCTION("""COMPUTED_VALUE"""),"Vespertino")</f>
        <v/>
      </c>
      <c r="D88" s="34" t="inlineStr">
        <is>
          <t>Veio</t>
        </is>
      </c>
      <c r="G88" s="24" t="n"/>
      <c r="H88" s="24" t="n"/>
      <c r="I88" s="24" t="n"/>
    </row>
    <row r="89">
      <c r="A89" s="34">
        <f>IFERROR(__xludf.DUMMYFUNCTION("""COMPUTED_VALUE"""),"LUCAS GABRIEL NASCIMENTO DOS SANTOS")</f>
        <v/>
      </c>
      <c r="B89" s="34">
        <f>IFERROR(__xludf.DUMMYFUNCTION("""COMPUTED_VALUE"""),"Turma B2")</f>
        <v/>
      </c>
      <c r="C89" s="34">
        <f>IFERROR(__xludf.DUMMYFUNCTION("""COMPUTED_VALUE"""),"Vespertino")</f>
        <v/>
      </c>
      <c r="D89" s="34" t="inlineStr">
        <is>
          <t>Veio</t>
        </is>
      </c>
      <c r="G89" s="24" t="n"/>
      <c r="H89" s="24" t="n"/>
      <c r="I89" s="24" t="n"/>
    </row>
    <row r="90">
      <c r="A90" s="34">
        <f>IFERROR(__xludf.DUMMYFUNCTION("""COMPUTED_VALUE"""),"Luis Felipe Camargo Moreira")</f>
        <v/>
      </c>
      <c r="B90" s="34">
        <f>IFERROR(__xludf.DUMMYFUNCTION("""COMPUTED_VALUE"""),"Turma D")</f>
        <v/>
      </c>
      <c r="C90" s="34">
        <f>IFERROR(__xludf.DUMMYFUNCTION("""COMPUTED_VALUE"""),"Vespertino")</f>
        <v/>
      </c>
      <c r="D90" s="34" t="inlineStr">
        <is>
          <t>Veio</t>
        </is>
      </c>
      <c r="G90" s="24" t="n"/>
      <c r="H90" s="24" t="n"/>
      <c r="I90" s="24" t="n"/>
    </row>
    <row r="91">
      <c r="A91" s="34">
        <f>IFERROR(__xludf.DUMMYFUNCTION("""COMPUTED_VALUE"""),"LUIZ FELIPE POLICARPO DOS SANTOS")</f>
        <v/>
      </c>
      <c r="B91" s="34">
        <f>IFERROR(__xludf.DUMMYFUNCTION("""COMPUTED_VALUE"""),"Turma A")</f>
        <v/>
      </c>
      <c r="C91" s="34">
        <f>IFERROR(__xludf.DUMMYFUNCTION("""COMPUTED_VALUE"""),"Vespertino")</f>
        <v/>
      </c>
      <c r="D91" s="34" t="inlineStr">
        <is>
          <t>Veio</t>
        </is>
      </c>
      <c r="G91" s="24" t="n"/>
      <c r="H91" s="24" t="n"/>
      <c r="I91" s="24" t="n"/>
    </row>
    <row r="92">
      <c r="A92" s="34">
        <f>IFERROR(__xludf.DUMMYFUNCTION("""COMPUTED_VALUE"""),"Luiz Fernando Garcia De Souza")</f>
        <v/>
      </c>
      <c r="B92" s="34">
        <f>IFERROR(__xludf.DUMMYFUNCTION("""COMPUTED_VALUE"""),"Turma C")</f>
        <v/>
      </c>
      <c r="C92" s="34">
        <f>IFERROR(__xludf.DUMMYFUNCTION("""COMPUTED_VALUE"""),"Matutino")</f>
        <v/>
      </c>
      <c r="D92" s="34" t="inlineStr">
        <is>
          <t>Veio</t>
        </is>
      </c>
      <c r="G92" s="24" t="n"/>
      <c r="H92" s="24" t="n"/>
      <c r="I92" s="24" t="n"/>
    </row>
    <row r="93">
      <c r="A93" s="34">
        <f>IFERROR(__xludf.DUMMYFUNCTION("""COMPUTED_VALUE"""),"MARCOS ANTÔNIO TRINDADE DA SILVA")</f>
        <v/>
      </c>
      <c r="B93" s="34">
        <f>IFERROR(__xludf.DUMMYFUNCTION("""COMPUTED_VALUE"""),"Turma B1")</f>
        <v/>
      </c>
      <c r="C93" s="34">
        <f>IFERROR(__xludf.DUMMYFUNCTION("""COMPUTED_VALUE"""),"Vespertino")</f>
        <v/>
      </c>
      <c r="D93" s="34" t="inlineStr">
        <is>
          <t>Veio</t>
        </is>
      </c>
      <c r="G93" s="24" t="n"/>
      <c r="H93" s="24" t="n"/>
      <c r="I93" s="24" t="n"/>
    </row>
    <row r="94">
      <c r="A94" s="34">
        <f>IFERROR(__xludf.DUMMYFUNCTION("""COMPUTED_VALUE"""),"MARIA CLARA OLIVEIRA MENEZES MARTINS")</f>
        <v/>
      </c>
      <c r="B94" s="34">
        <f>IFERROR(__xludf.DUMMYFUNCTION("""COMPUTED_VALUE"""),"Turma GR")</f>
        <v/>
      </c>
      <c r="C94" s="34">
        <f>IFERROR(__xludf.DUMMYFUNCTION("""COMPUTED_VALUE"""),"Vespertino")</f>
        <v/>
      </c>
      <c r="D94" s="34" t="inlineStr">
        <is>
          <t>Veio</t>
        </is>
      </c>
      <c r="G94" s="24" t="n"/>
      <c r="H94" s="24" t="n"/>
      <c r="I94" s="24" t="n"/>
    </row>
    <row r="95">
      <c r="A95" s="34">
        <f>IFERROR(__xludf.DUMMYFUNCTION("""COMPUTED_VALUE"""),"MARIA EDUARDA SOBREIRO DA SILVA")</f>
        <v/>
      </c>
      <c r="B95" s="34">
        <f>IFERROR(__xludf.DUMMYFUNCTION("""COMPUTED_VALUE"""),"Turma B1")</f>
        <v/>
      </c>
      <c r="C95" s="34">
        <f>IFERROR(__xludf.DUMMYFUNCTION("""COMPUTED_VALUE"""),"Vespertino")</f>
        <v/>
      </c>
      <c r="D95" s="34" t="inlineStr">
        <is>
          <t>Veio</t>
        </is>
      </c>
      <c r="G95" s="24" t="n"/>
      <c r="H95" s="24" t="n"/>
      <c r="I95" s="24" t="n"/>
    </row>
    <row r="96">
      <c r="A96" s="34">
        <f>IFERROR(__xludf.DUMMYFUNCTION("""COMPUTED_VALUE"""),"MARIA EMANUELLY CAMARGO GONÇALVES")</f>
        <v/>
      </c>
      <c r="B96" s="34">
        <f>IFERROR(__xludf.DUMMYFUNCTION("""COMPUTED_VALUE"""),"Turma GR")</f>
        <v/>
      </c>
      <c r="C96" s="34">
        <f>IFERROR(__xludf.DUMMYFUNCTION("""COMPUTED_VALUE"""),"Vespertino")</f>
        <v/>
      </c>
      <c r="D96" s="34" t="inlineStr">
        <is>
          <t>Veio</t>
        </is>
      </c>
      <c r="G96" s="24" t="n"/>
      <c r="H96" s="24" t="n"/>
      <c r="I96" s="24" t="n"/>
    </row>
    <row r="97">
      <c r="A97" s="34">
        <f>IFERROR(__xludf.DUMMYFUNCTION("""COMPUTED_VALUE"""),"MARIA LUÍSA BARROS DA ROCHA")</f>
        <v/>
      </c>
      <c r="B97" s="34">
        <f>IFERROR(__xludf.DUMMYFUNCTION("""COMPUTED_VALUE"""),"Turma C")</f>
        <v/>
      </c>
      <c r="C97" s="34">
        <f>IFERROR(__xludf.DUMMYFUNCTION("""COMPUTED_VALUE"""),"Vespertino")</f>
        <v/>
      </c>
      <c r="D97" s="34" t="inlineStr">
        <is>
          <t>Veio</t>
        </is>
      </c>
      <c r="G97" s="24" t="n"/>
      <c r="H97" s="24" t="n"/>
      <c r="I97" s="24" t="n"/>
    </row>
    <row r="98">
      <c r="A98" s="34">
        <f>IFERROR(__xludf.DUMMYFUNCTION("""COMPUTED_VALUE"""),"MARIA LUIZA ANASTACIO GONÇALVES")</f>
        <v/>
      </c>
      <c r="B98" s="34">
        <f>IFERROR(__xludf.DUMMYFUNCTION("""COMPUTED_VALUE"""),"Turma C")</f>
        <v/>
      </c>
      <c r="C98" s="34">
        <f>IFERROR(__xludf.DUMMYFUNCTION("""COMPUTED_VALUE"""),"Vespertino")</f>
        <v/>
      </c>
      <c r="D98" s="34" t="inlineStr">
        <is>
          <t>Veio</t>
        </is>
      </c>
      <c r="G98" s="24" t="n"/>
      <c r="H98" s="24" t="n"/>
      <c r="I98" s="24" t="n"/>
    </row>
    <row r="99">
      <c r="A99" s="34">
        <f>IFERROR(__xludf.DUMMYFUNCTION("""COMPUTED_VALUE"""),"MARIA VITÓRIA OLIVEIRA MENEZES MARTINS")</f>
        <v/>
      </c>
      <c r="B99" s="34">
        <f>IFERROR(__xludf.DUMMYFUNCTION("""COMPUTED_VALUE"""),"Turma GR")</f>
        <v/>
      </c>
      <c r="C99" s="34">
        <f>IFERROR(__xludf.DUMMYFUNCTION("""COMPUTED_VALUE"""),"Vespertino")</f>
        <v/>
      </c>
      <c r="D99" s="34" t="inlineStr">
        <is>
          <t>Veio</t>
        </is>
      </c>
      <c r="G99" s="24" t="n"/>
      <c r="H99" s="24" t="n"/>
      <c r="I99" s="24" t="n"/>
    </row>
    <row r="100">
      <c r="A100" s="34">
        <f>IFERROR(__xludf.DUMMYFUNCTION("""COMPUTED_VALUE"""),"Mariah Sophia Sales Aniceto")</f>
        <v/>
      </c>
      <c r="B100" s="34">
        <f>IFERROR(__xludf.DUMMYFUNCTION("""COMPUTED_VALUE"""),"Turma D")</f>
        <v/>
      </c>
      <c r="C100" s="34">
        <f>IFERROR(__xludf.DUMMYFUNCTION("""COMPUTED_VALUE"""),"Vespertino")</f>
        <v/>
      </c>
      <c r="D100" s="34" t="inlineStr">
        <is>
          <t>Veio</t>
        </is>
      </c>
      <c r="G100" s="24" t="n"/>
      <c r="H100" s="24" t="n"/>
      <c r="I100" s="24" t="n"/>
    </row>
    <row r="101">
      <c r="A101" s="34">
        <f>IFERROR(__xludf.DUMMYFUNCTION("""COMPUTED_VALUE"""),"Marya Isabelly Alves Oliveira")</f>
        <v/>
      </c>
      <c r="B101" s="34">
        <f>IFERROR(__xludf.DUMMYFUNCTION("""COMPUTED_VALUE"""),"Turma D")</f>
        <v/>
      </c>
      <c r="C101" s="34">
        <f>IFERROR(__xludf.DUMMYFUNCTION("""COMPUTED_VALUE"""),"Vespertino")</f>
        <v/>
      </c>
      <c r="D101" s="34" t="inlineStr">
        <is>
          <t>Veio</t>
        </is>
      </c>
      <c r="G101" s="24" t="n"/>
      <c r="H101" s="24" t="n"/>
      <c r="I101" s="24" t="n"/>
    </row>
    <row r="102">
      <c r="A102" s="34">
        <f>IFERROR(__xludf.DUMMYFUNCTION("""COMPUTED_VALUE"""),"MATHEUS MENDES DA SILVA")</f>
        <v/>
      </c>
      <c r="B102" s="34">
        <f>IFERROR(__xludf.DUMMYFUNCTION("""COMPUTED_VALUE"""),"Turma E")</f>
        <v/>
      </c>
      <c r="C102" s="34">
        <f>IFERROR(__xludf.DUMMYFUNCTION("""COMPUTED_VALUE"""),"Vespertino")</f>
        <v/>
      </c>
      <c r="D102" s="34" t="inlineStr">
        <is>
          <t>Veio</t>
        </is>
      </c>
      <c r="G102" s="24" t="n"/>
      <c r="H102" s="24" t="n"/>
      <c r="I102" s="24" t="n"/>
    </row>
    <row r="103">
      <c r="A103" s="34">
        <f>IFERROR(__xludf.DUMMYFUNCTION("""COMPUTED_VALUE"""),"Matheus Portugal De Almeida")</f>
        <v/>
      </c>
      <c r="B103" s="34">
        <f>IFERROR(__xludf.DUMMYFUNCTION("""COMPUTED_VALUE"""),"Turma A")</f>
        <v/>
      </c>
      <c r="C103" s="34">
        <f>IFERROR(__xludf.DUMMYFUNCTION("""COMPUTED_VALUE"""),"Matutino")</f>
        <v/>
      </c>
      <c r="D103" s="34" t="inlineStr">
        <is>
          <t>Veio</t>
        </is>
      </c>
      <c r="G103" s="24" t="n"/>
      <c r="H103" s="24" t="n"/>
      <c r="I103" s="24" t="n"/>
    </row>
    <row r="104">
      <c r="A104" s="34">
        <f>IFERROR(__xludf.DUMMYFUNCTION("""COMPUTED_VALUE"""),"Maycon Antonio Santana Garcia")</f>
        <v/>
      </c>
      <c r="B104" s="34">
        <f>IFERROR(__xludf.DUMMYFUNCTION("""COMPUTED_VALUE"""),"Turma D")</f>
        <v/>
      </c>
      <c r="C104" s="34">
        <f>IFERROR(__xludf.DUMMYFUNCTION("""COMPUTED_VALUE"""),"Vespertino")</f>
        <v/>
      </c>
      <c r="D104" s="34" t="inlineStr">
        <is>
          <t>Veio</t>
        </is>
      </c>
      <c r="G104" s="24" t="n"/>
      <c r="H104" s="24" t="n"/>
      <c r="I104" s="24" t="n"/>
    </row>
    <row r="105">
      <c r="A105" s="34">
        <f>IFERROR(__xludf.DUMMYFUNCTION("""COMPUTED_VALUE"""),"MAYLON SANTANA GARCIA")</f>
        <v/>
      </c>
      <c r="B105" s="34">
        <f>IFERROR(__xludf.DUMMYFUNCTION("""COMPUTED_VALUE"""),"Turma B1")</f>
        <v/>
      </c>
      <c r="C105" s="34">
        <f>IFERROR(__xludf.DUMMYFUNCTION("""COMPUTED_VALUE"""),"Vespertino")</f>
        <v/>
      </c>
      <c r="D105" s="34" t="inlineStr">
        <is>
          <t>Veio</t>
        </is>
      </c>
      <c r="G105" s="24" t="n"/>
      <c r="H105" s="24" t="n"/>
      <c r="I105" s="24" t="n"/>
    </row>
    <row r="106">
      <c r="A106" s="34">
        <f>IFERROR(__xludf.DUMMYFUNCTION("""COMPUTED_VALUE"""),"MICAELY VITÓRIA PERONI DOS SANTOS")</f>
        <v/>
      </c>
      <c r="B106" s="34">
        <f>IFERROR(__xludf.DUMMYFUNCTION("""COMPUTED_VALUE"""),"Turma C")</f>
        <v/>
      </c>
      <c r="C106" s="34">
        <f>IFERROR(__xludf.DUMMYFUNCTION("""COMPUTED_VALUE"""),"Vespertino")</f>
        <v/>
      </c>
      <c r="D106" s="34" t="inlineStr">
        <is>
          <t>Veio</t>
        </is>
      </c>
      <c r="G106" s="24" t="n"/>
      <c r="H106" s="24" t="n"/>
      <c r="I106" s="24" t="n"/>
    </row>
    <row r="107">
      <c r="A107" s="34">
        <f>IFERROR(__xludf.DUMMYFUNCTION("""COMPUTED_VALUE"""),"MIGUEL AUGUSTO DE LIMA TRINDADE")</f>
        <v/>
      </c>
      <c r="B107" s="34">
        <f>IFERROR(__xludf.DUMMYFUNCTION("""COMPUTED_VALUE"""),"Turma B1")</f>
        <v/>
      </c>
      <c r="C107" s="34">
        <f>IFERROR(__xludf.DUMMYFUNCTION("""COMPUTED_VALUE"""),"Vespertino")</f>
        <v/>
      </c>
      <c r="D107" s="34" t="inlineStr">
        <is>
          <t>Veio</t>
        </is>
      </c>
      <c r="G107" s="24" t="n"/>
      <c r="H107" s="24" t="n"/>
      <c r="I107" s="24" t="n"/>
    </row>
    <row r="108">
      <c r="A108" s="34">
        <f>IFERROR(__xludf.DUMMYFUNCTION("""COMPUTED_VALUE"""),"MIGUEL NYKOLAS DUTRA ALMEIDA")</f>
        <v/>
      </c>
      <c r="B108" s="34">
        <f>IFERROR(__xludf.DUMMYFUNCTION("""COMPUTED_VALUE"""),"Turma B1")</f>
        <v/>
      </c>
      <c r="C108" s="34">
        <f>IFERROR(__xludf.DUMMYFUNCTION("""COMPUTED_VALUE"""),"Vespertino")</f>
        <v/>
      </c>
      <c r="D108" s="34" t="inlineStr">
        <is>
          <t>Veio</t>
        </is>
      </c>
      <c r="G108" s="24" t="n"/>
      <c r="H108" s="24" t="n"/>
      <c r="I108" s="24" t="n"/>
    </row>
    <row r="109">
      <c r="A109" s="34">
        <f>IFERROR(__xludf.DUMMYFUNCTION("""COMPUTED_VALUE"""),"Moises Oliveira Da Silva")</f>
        <v/>
      </c>
      <c r="B109" s="34">
        <f>IFERROR(__xludf.DUMMYFUNCTION("""COMPUTED_VALUE"""),"Turma A")</f>
        <v/>
      </c>
      <c r="C109" s="34">
        <f>IFERROR(__xludf.DUMMYFUNCTION("""COMPUTED_VALUE"""),"Matutino")</f>
        <v/>
      </c>
      <c r="D109" s="34" t="inlineStr">
        <is>
          <t>Veio</t>
        </is>
      </c>
      <c r="G109" s="24" t="n"/>
      <c r="H109" s="24" t="n"/>
      <c r="I109" s="24" t="n"/>
    </row>
    <row r="110">
      <c r="A110" s="34">
        <f>IFERROR(__xludf.DUMMYFUNCTION("""COMPUTED_VALUE"""),"Nicolas Araújo De Souza")</f>
        <v/>
      </c>
      <c r="B110" s="34">
        <f>IFERROR(__xludf.DUMMYFUNCTION("""COMPUTED_VALUE"""),"Turma D")</f>
        <v/>
      </c>
      <c r="C110" s="34">
        <f>IFERROR(__xludf.DUMMYFUNCTION("""COMPUTED_VALUE"""),"Vespertino")</f>
        <v/>
      </c>
      <c r="D110" s="34" t="inlineStr">
        <is>
          <t>Veio</t>
        </is>
      </c>
      <c r="G110" s="24" t="n"/>
      <c r="H110" s="24" t="n"/>
      <c r="I110" s="24" t="n"/>
    </row>
    <row r="111">
      <c r="A111" s="34">
        <f>IFERROR(__xludf.DUMMYFUNCTION("""COMPUTED_VALUE"""),"NICOLAS GABRIEL OLIVEIRA BASTIDA")</f>
        <v/>
      </c>
      <c r="B111" s="34">
        <f>IFERROR(__xludf.DUMMYFUNCTION("""COMPUTED_VALUE"""),"Turma E")</f>
        <v/>
      </c>
      <c r="C111" s="34">
        <f>IFERROR(__xludf.DUMMYFUNCTION("""COMPUTED_VALUE"""),"Vespertino")</f>
        <v/>
      </c>
      <c r="D111" s="34" t="inlineStr">
        <is>
          <t>Veio</t>
        </is>
      </c>
      <c r="G111" s="24" t="n"/>
      <c r="H111" s="24" t="n"/>
      <c r="I111" s="24" t="n"/>
    </row>
    <row r="112">
      <c r="A112" s="34">
        <f>IFERROR(__xludf.DUMMYFUNCTION("""COMPUTED_VALUE"""),"NICOLAS GABRIEL SILVA DE OLIVEIRA")</f>
        <v/>
      </c>
      <c r="B112" s="34">
        <f>IFERROR(__xludf.DUMMYFUNCTION("""COMPUTED_VALUE"""),"Turma D")</f>
        <v/>
      </c>
      <c r="C112" s="34">
        <f>IFERROR(__xludf.DUMMYFUNCTION("""COMPUTED_VALUE"""),"Matutino")</f>
        <v/>
      </c>
      <c r="D112" s="34" t="inlineStr">
        <is>
          <t>Veio</t>
        </is>
      </c>
      <c r="G112" s="24" t="n"/>
      <c r="H112" s="24" t="n"/>
      <c r="I112" s="24" t="n"/>
    </row>
    <row r="113">
      <c r="A113" s="34">
        <f>IFERROR(__xludf.DUMMYFUNCTION("""COMPUTED_VALUE"""),"NICOLAS GOMES WILSON")</f>
        <v/>
      </c>
      <c r="B113" s="34">
        <f>IFERROR(__xludf.DUMMYFUNCTION("""COMPUTED_VALUE"""),"Turma C")</f>
        <v/>
      </c>
      <c r="C113" s="34">
        <f>IFERROR(__xludf.DUMMYFUNCTION("""COMPUTED_VALUE"""),"Vespertino")</f>
        <v/>
      </c>
      <c r="D113" s="34" t="inlineStr">
        <is>
          <t>Veio</t>
        </is>
      </c>
      <c r="G113" s="24" t="n"/>
      <c r="H113" s="24" t="n"/>
      <c r="I113" s="24" t="n"/>
    </row>
    <row r="114">
      <c r="A114" s="34">
        <f>IFERROR(__xludf.DUMMYFUNCTION("""COMPUTED_VALUE"""),"Nicolas Gonçalves De Carvalho")</f>
        <v/>
      </c>
      <c r="B114" s="34">
        <f>IFERROR(__xludf.DUMMYFUNCTION("""COMPUTED_VALUE"""),"Turma D")</f>
        <v/>
      </c>
      <c r="C114" s="34">
        <f>IFERROR(__xludf.DUMMYFUNCTION("""COMPUTED_VALUE"""),"Vespertino")</f>
        <v/>
      </c>
      <c r="D114" s="34" t="inlineStr">
        <is>
          <t>Veio</t>
        </is>
      </c>
      <c r="G114" s="24" t="n"/>
      <c r="H114" s="24" t="n"/>
      <c r="I114" s="24" t="n"/>
    </row>
    <row r="115">
      <c r="A115" s="34">
        <f>IFERROR(__xludf.DUMMYFUNCTION("""COMPUTED_VALUE"""),"NICOLLY DE PAULO DUTRA")</f>
        <v/>
      </c>
      <c r="B115" s="34">
        <f>IFERROR(__xludf.DUMMYFUNCTION("""COMPUTED_VALUE"""),"Turma B1")</f>
        <v/>
      </c>
      <c r="C115" s="34">
        <f>IFERROR(__xludf.DUMMYFUNCTION("""COMPUTED_VALUE"""),"Vespertino")</f>
        <v/>
      </c>
      <c r="D115" s="34" t="inlineStr">
        <is>
          <t>Veio</t>
        </is>
      </c>
      <c r="G115" s="24" t="n"/>
      <c r="H115" s="24" t="n"/>
      <c r="I115" s="24" t="n"/>
    </row>
    <row r="116">
      <c r="A116" s="34">
        <f>IFERROR(__xludf.DUMMYFUNCTION("""COMPUTED_VALUE"""),"Noah Gomes Wilson")</f>
        <v/>
      </c>
      <c r="B116" s="34">
        <f>IFERROR(__xludf.DUMMYFUNCTION("""COMPUTED_VALUE"""),"Turma C")</f>
        <v/>
      </c>
      <c r="C116" s="34">
        <f>IFERROR(__xludf.DUMMYFUNCTION("""COMPUTED_VALUE"""),"Matutino")</f>
        <v/>
      </c>
      <c r="D116" s="34" t="inlineStr">
        <is>
          <t>Veio</t>
        </is>
      </c>
      <c r="G116" s="24" t="n"/>
      <c r="H116" s="24" t="n"/>
      <c r="I116" s="24" t="n"/>
    </row>
    <row r="117">
      <c r="A117" s="34">
        <f>IFERROR(__xludf.DUMMYFUNCTION("""COMPUTED_VALUE"""),"Paulo Victor Rosa Da Silva")</f>
        <v/>
      </c>
      <c r="B117" s="34">
        <f>IFERROR(__xludf.DUMMYFUNCTION("""COMPUTED_VALUE"""),"Turma C")</f>
        <v/>
      </c>
      <c r="C117" s="34">
        <f>IFERROR(__xludf.DUMMYFUNCTION("""COMPUTED_VALUE"""),"Matutino")</f>
        <v/>
      </c>
      <c r="D117" s="34" t="inlineStr">
        <is>
          <t>Veio</t>
        </is>
      </c>
      <c r="G117" s="24" t="n"/>
      <c r="H117" s="24" t="n"/>
      <c r="I117" s="24" t="n"/>
    </row>
    <row r="118">
      <c r="A118" s="34">
        <f>IFERROR(__xludf.DUMMYFUNCTION("""COMPUTED_VALUE"""),"PEDRO HENRIQUE MARQUES MIRANDA")</f>
        <v/>
      </c>
      <c r="B118" s="34">
        <f>IFERROR(__xludf.DUMMYFUNCTION("""COMPUTED_VALUE"""),"Turma B1")</f>
        <v/>
      </c>
      <c r="C118" s="34">
        <f>IFERROR(__xludf.DUMMYFUNCTION("""COMPUTED_VALUE"""),"Vespertino")</f>
        <v/>
      </c>
      <c r="D118" s="34" t="inlineStr">
        <is>
          <t>Veio</t>
        </is>
      </c>
      <c r="G118" s="24" t="n"/>
      <c r="H118" s="24" t="n"/>
      <c r="I118" s="24" t="n"/>
    </row>
    <row r="119">
      <c r="A119" s="34">
        <f>IFERROR(__xludf.DUMMYFUNCTION("""COMPUTED_VALUE"""),"PEDRO HENRIQUE VIANA VELOSO")</f>
        <v/>
      </c>
      <c r="B119" s="34">
        <f>IFERROR(__xludf.DUMMYFUNCTION("""COMPUTED_VALUE"""),"Turma B1")</f>
        <v/>
      </c>
      <c r="C119" s="34">
        <f>IFERROR(__xludf.DUMMYFUNCTION("""COMPUTED_VALUE"""),"Matutino")</f>
        <v/>
      </c>
      <c r="D119" s="34" t="inlineStr">
        <is>
          <t>Veio</t>
        </is>
      </c>
      <c r="G119" s="24" t="n"/>
      <c r="H119" s="24" t="n"/>
      <c r="I119" s="24" t="n"/>
    </row>
    <row r="120">
      <c r="A120" s="34">
        <f>IFERROR(__xludf.DUMMYFUNCTION("""COMPUTED_VALUE"""),"Pétricky Miguel Rodrigues Dos Reis")</f>
        <v/>
      </c>
      <c r="B120" s="34">
        <f>IFERROR(__xludf.DUMMYFUNCTION("""COMPUTED_VALUE"""),"Turma C")</f>
        <v/>
      </c>
      <c r="C120" s="34">
        <f>IFERROR(__xludf.DUMMYFUNCTION("""COMPUTED_VALUE"""),"Matutino")</f>
        <v/>
      </c>
      <c r="D120" s="34" t="inlineStr">
        <is>
          <t>Veio</t>
        </is>
      </c>
      <c r="G120" s="24" t="n"/>
      <c r="H120" s="24" t="n"/>
      <c r="I120" s="24" t="n"/>
    </row>
    <row r="121">
      <c r="A121" s="34">
        <f>IFERROR(__xludf.DUMMYFUNCTION("""COMPUTED_VALUE"""),"PIETRO FRANCISCO GALVÃO DE JESUS")</f>
        <v/>
      </c>
      <c r="B121" s="34">
        <f>IFERROR(__xludf.DUMMYFUNCTION("""COMPUTED_VALUE"""),"Turma D")</f>
        <v/>
      </c>
      <c r="C121" s="34">
        <f>IFERROR(__xludf.DUMMYFUNCTION("""COMPUTED_VALUE"""),"Matutino")</f>
        <v/>
      </c>
      <c r="D121" s="34" t="inlineStr">
        <is>
          <t>Veio</t>
        </is>
      </c>
      <c r="G121" s="24" t="n"/>
      <c r="H121" s="24" t="n"/>
      <c r="I121" s="24" t="n"/>
    </row>
    <row r="122">
      <c r="A122" s="34">
        <f>IFERROR(__xludf.DUMMYFUNCTION("""COMPUTED_VALUE"""),"PIETRO HENRIQUE OLIVEIRA JACOMINO")</f>
        <v/>
      </c>
      <c r="B122" s="34">
        <f>IFERROR(__xludf.DUMMYFUNCTION("""COMPUTED_VALUE"""),"Turma A")</f>
        <v/>
      </c>
      <c r="C122" s="34">
        <f>IFERROR(__xludf.DUMMYFUNCTION("""COMPUTED_VALUE"""),"Vespertino")</f>
        <v/>
      </c>
      <c r="D122" s="34" t="inlineStr">
        <is>
          <t>Veio</t>
        </is>
      </c>
      <c r="G122" s="24" t="n"/>
      <c r="H122" s="24" t="n"/>
      <c r="I122" s="24" t="n"/>
    </row>
    <row r="123">
      <c r="A123" s="34">
        <f>IFERROR(__xludf.DUMMYFUNCTION("""COMPUTED_VALUE"""),"RAFAEL MENDES DA SILVA")</f>
        <v/>
      </c>
      <c r="B123" s="34">
        <f>IFERROR(__xludf.DUMMYFUNCTION("""COMPUTED_VALUE"""),"Turma B1")</f>
        <v/>
      </c>
      <c r="C123" s="34">
        <f>IFERROR(__xludf.DUMMYFUNCTION("""COMPUTED_VALUE"""),"Vespertino")</f>
        <v/>
      </c>
      <c r="D123" s="34" t="inlineStr">
        <is>
          <t>Veio</t>
        </is>
      </c>
      <c r="G123" s="24" t="n"/>
      <c r="H123" s="24" t="n"/>
      <c r="I123" s="24" t="n"/>
    </row>
    <row r="124">
      <c r="A124" s="34">
        <f>IFERROR(__xludf.DUMMYFUNCTION("""COMPUTED_VALUE"""),"Rafael Rodrigues Ireno")</f>
        <v/>
      </c>
      <c r="B124" s="34">
        <f>IFERROR(__xludf.DUMMYFUNCTION("""COMPUTED_VALUE"""),"Turma C")</f>
        <v/>
      </c>
      <c r="C124" s="34">
        <f>IFERROR(__xludf.DUMMYFUNCTION("""COMPUTED_VALUE"""),"Matutino")</f>
        <v/>
      </c>
      <c r="D124" s="34" t="inlineStr">
        <is>
          <t>Veio</t>
        </is>
      </c>
      <c r="G124" s="24" t="n"/>
      <c r="H124" s="24" t="n"/>
      <c r="I124" s="24" t="n"/>
    </row>
    <row r="125">
      <c r="A125" s="34">
        <f>IFERROR(__xludf.DUMMYFUNCTION("""COMPUTED_VALUE"""),"Raquel Vieira Martins")</f>
        <v/>
      </c>
      <c r="B125" s="34">
        <f>IFERROR(__xludf.DUMMYFUNCTION("""COMPUTED_VALUE"""),"Turma A")</f>
        <v/>
      </c>
      <c r="C125" s="34">
        <f>IFERROR(__xludf.DUMMYFUNCTION("""COMPUTED_VALUE"""),"Matutino")</f>
        <v/>
      </c>
      <c r="D125" s="34" t="inlineStr">
        <is>
          <t>Veio</t>
        </is>
      </c>
      <c r="G125" s="24" t="n"/>
      <c r="H125" s="24" t="n"/>
      <c r="I125" s="24" t="n"/>
    </row>
    <row r="126">
      <c r="A126" s="34">
        <f>IFERROR(__xludf.DUMMYFUNCTION("""COMPUTED_VALUE"""),"Reynaldo Mariano De Souza")</f>
        <v/>
      </c>
      <c r="B126" s="34">
        <f>IFERROR(__xludf.DUMMYFUNCTION("""COMPUTED_VALUE"""),"Turma C")</f>
        <v/>
      </c>
      <c r="C126" s="34">
        <f>IFERROR(__xludf.DUMMYFUNCTION("""COMPUTED_VALUE"""),"Matutino")</f>
        <v/>
      </c>
      <c r="D126" s="34" t="inlineStr">
        <is>
          <t>Veio</t>
        </is>
      </c>
      <c r="G126" s="24" t="n"/>
      <c r="H126" s="24" t="n"/>
      <c r="I126" s="24" t="n"/>
    </row>
    <row r="127">
      <c r="A127" s="34">
        <f>IFERROR(__xludf.DUMMYFUNCTION("""COMPUTED_VALUE"""),"ROSALINA MARQUES PARAÍSO")</f>
        <v/>
      </c>
      <c r="B127" s="34">
        <f>IFERROR(__xludf.DUMMYFUNCTION("""COMPUTED_VALUE"""),"Turma B1")</f>
        <v/>
      </c>
      <c r="C127" s="34">
        <f>IFERROR(__xludf.DUMMYFUNCTION("""COMPUTED_VALUE"""),"Vespertino")</f>
        <v/>
      </c>
      <c r="D127" s="34" t="inlineStr">
        <is>
          <t>Veio</t>
        </is>
      </c>
      <c r="G127" s="24" t="n"/>
      <c r="H127" s="24" t="n"/>
      <c r="I127" s="24" t="n"/>
    </row>
    <row r="128">
      <c r="A128" s="34">
        <f>IFERROR(__xludf.DUMMYFUNCTION("""COMPUTED_VALUE"""),"Ruan Brayan Alcantara Monteiro")</f>
        <v/>
      </c>
      <c r="B128" s="34">
        <f>IFERROR(__xludf.DUMMYFUNCTION("""COMPUTED_VALUE"""),"Turma D")</f>
        <v/>
      </c>
      <c r="C128" s="34">
        <f>IFERROR(__xludf.DUMMYFUNCTION("""COMPUTED_VALUE"""),"Vespertino")</f>
        <v/>
      </c>
      <c r="D128" s="34" t="inlineStr">
        <is>
          <t>Veio</t>
        </is>
      </c>
      <c r="G128" s="24" t="n"/>
      <c r="H128" s="24" t="n"/>
      <c r="I128" s="24" t="n"/>
    </row>
    <row r="129">
      <c r="A129" s="34">
        <f>IFERROR(__xludf.DUMMYFUNCTION("""COMPUTED_VALUE"""),"RUAN RODRIGUES CAETANO LIMA")</f>
        <v/>
      </c>
      <c r="B129" s="34">
        <f>IFERROR(__xludf.DUMMYFUNCTION("""COMPUTED_VALUE"""),"Turma GR")</f>
        <v/>
      </c>
      <c r="C129" s="34">
        <f>IFERROR(__xludf.DUMMYFUNCTION("""COMPUTED_VALUE"""),"Vespertino")</f>
        <v/>
      </c>
      <c r="D129" s="34" t="inlineStr">
        <is>
          <t>Veio</t>
        </is>
      </c>
      <c r="G129" s="24" t="n"/>
      <c r="H129" s="24" t="n"/>
      <c r="I129" s="24" t="n"/>
    </row>
    <row r="130">
      <c r="A130" s="34">
        <f>IFERROR(__xludf.DUMMYFUNCTION("""COMPUTED_VALUE"""),"SAMUEL JUNIOR VERDAN FRANCISCO")</f>
        <v/>
      </c>
      <c r="B130" s="34">
        <f>IFERROR(__xludf.DUMMYFUNCTION("""COMPUTED_VALUE"""),"Turma D")</f>
        <v/>
      </c>
      <c r="C130" s="34">
        <f>IFERROR(__xludf.DUMMYFUNCTION("""COMPUTED_VALUE"""),"Matutino")</f>
        <v/>
      </c>
      <c r="D130" s="34" t="inlineStr">
        <is>
          <t>Veio</t>
        </is>
      </c>
      <c r="G130" s="24" t="n"/>
      <c r="H130" s="24" t="n"/>
      <c r="I130" s="24" t="n"/>
    </row>
    <row r="131">
      <c r="A131" s="34">
        <f>IFERROR(__xludf.DUMMYFUNCTION("""COMPUTED_VALUE"""),"Tatiana Alves Francisco")</f>
        <v/>
      </c>
      <c r="B131" s="34">
        <f>IFERROR(__xludf.DUMMYFUNCTION("""COMPUTED_VALUE"""),"Turma GR")</f>
        <v/>
      </c>
      <c r="C131" s="34">
        <f>IFERROR(__xludf.DUMMYFUNCTION("""COMPUTED_VALUE"""),"Vespertino")</f>
        <v/>
      </c>
      <c r="D131" s="34" t="inlineStr">
        <is>
          <t>Veio</t>
        </is>
      </c>
      <c r="G131" s="24" t="n"/>
      <c r="H131" s="24" t="n"/>
      <c r="I131" s="24" t="n"/>
    </row>
    <row r="132">
      <c r="A132" s="34">
        <f>IFERROR(__xludf.DUMMYFUNCTION("""COMPUTED_VALUE"""),"THAILA DA SILVA VITORIO")</f>
        <v/>
      </c>
      <c r="B132" s="34">
        <f>IFERROR(__xludf.DUMMYFUNCTION("""COMPUTED_VALUE"""),"Turma GR")</f>
        <v/>
      </c>
      <c r="C132" s="34">
        <f>IFERROR(__xludf.DUMMYFUNCTION("""COMPUTED_VALUE"""),"Vespertino")</f>
        <v/>
      </c>
      <c r="D132" s="34" t="inlineStr">
        <is>
          <t>Veio</t>
        </is>
      </c>
      <c r="G132" s="24" t="n"/>
      <c r="H132" s="24" t="n"/>
      <c r="I132" s="24" t="n"/>
    </row>
    <row r="133">
      <c r="A133" s="34">
        <f>IFERROR(__xludf.DUMMYFUNCTION("""COMPUTED_VALUE"""),"Thalles Ramon Da Pascoa Silva")</f>
        <v/>
      </c>
      <c r="B133" s="34">
        <f>IFERROR(__xludf.DUMMYFUNCTION("""COMPUTED_VALUE"""),"Turma D")</f>
        <v/>
      </c>
      <c r="C133" s="34">
        <f>IFERROR(__xludf.DUMMYFUNCTION("""COMPUTED_VALUE"""),"Vespertino")</f>
        <v/>
      </c>
      <c r="D133" s="34" t="inlineStr">
        <is>
          <t>Veio</t>
        </is>
      </c>
      <c r="G133" s="24" t="n"/>
      <c r="H133" s="24" t="n"/>
      <c r="I133" s="24" t="n"/>
    </row>
    <row r="134">
      <c r="A134" s="34">
        <f>IFERROR(__xludf.DUMMYFUNCTION("""COMPUTED_VALUE"""),"THIAGO PAULINO PEREIRA DE ARAÚJO")</f>
        <v/>
      </c>
      <c r="B134" s="34">
        <f>IFERROR(__xludf.DUMMYFUNCTION("""COMPUTED_VALUE"""),"Turma B1")</f>
        <v/>
      </c>
      <c r="C134" s="34">
        <f>IFERROR(__xludf.DUMMYFUNCTION("""COMPUTED_VALUE"""),"Vespertino")</f>
        <v/>
      </c>
      <c r="D134" s="34" t="inlineStr">
        <is>
          <t>Veio</t>
        </is>
      </c>
      <c r="G134" s="24" t="n"/>
      <c r="H134" s="24" t="n"/>
      <c r="I134" s="24" t="n"/>
    </row>
    <row r="135">
      <c r="A135" s="34">
        <f>IFERROR(__xludf.DUMMYFUNCTION("""COMPUTED_VALUE"""),"Uéltion Samuel Portugal De Almeida")</f>
        <v/>
      </c>
      <c r="B135" s="34">
        <f>IFERROR(__xludf.DUMMYFUNCTION("""COMPUTED_VALUE"""),"Turma C")</f>
        <v/>
      </c>
      <c r="C135" s="34">
        <f>IFERROR(__xludf.DUMMYFUNCTION("""COMPUTED_VALUE"""),"Matutino")</f>
        <v/>
      </c>
      <c r="D135" s="34" t="inlineStr">
        <is>
          <t>Veio</t>
        </is>
      </c>
      <c r="G135" s="24" t="n"/>
      <c r="H135" s="24" t="n"/>
      <c r="I135" s="24" t="n"/>
    </row>
    <row r="136">
      <c r="A136" s="34">
        <f>IFERROR(__xludf.DUMMYFUNCTION("""COMPUTED_VALUE"""),"Valdenira Silva Do Nascimento")</f>
        <v/>
      </c>
      <c r="B136" s="34">
        <f>IFERROR(__xludf.DUMMYFUNCTION("""COMPUTED_VALUE"""),"Turma D")</f>
        <v/>
      </c>
      <c r="C136" s="34">
        <f>IFERROR(__xludf.DUMMYFUNCTION("""COMPUTED_VALUE"""),"Vespertino")</f>
        <v/>
      </c>
      <c r="D136" s="34" t="inlineStr">
        <is>
          <t>Veio</t>
        </is>
      </c>
      <c r="G136" s="24" t="n"/>
      <c r="H136" s="24" t="n"/>
      <c r="I136" s="24" t="n"/>
    </row>
    <row r="137">
      <c r="A137" s="34">
        <f>IFERROR(__xludf.DUMMYFUNCTION("""COMPUTED_VALUE"""),"VALTER RODRIGUES LIMA NETO")</f>
        <v/>
      </c>
      <c r="B137" s="34">
        <f>IFERROR(__xludf.DUMMYFUNCTION("""COMPUTED_VALUE"""),"Turma A")</f>
        <v/>
      </c>
      <c r="C137" s="34">
        <f>IFERROR(__xludf.DUMMYFUNCTION("""COMPUTED_VALUE"""),"Vespertino")</f>
        <v/>
      </c>
      <c r="D137" s="34" t="inlineStr">
        <is>
          <t>Veio</t>
        </is>
      </c>
      <c r="G137" s="24" t="n"/>
      <c r="H137" s="24" t="n"/>
      <c r="I137" s="24" t="n"/>
    </row>
    <row r="138">
      <c r="A138" s="34">
        <f>IFERROR(__xludf.DUMMYFUNCTION("""COMPUTED_VALUE"""),"VICTOR EMANUEL ALMEIDA MARTINS")</f>
        <v/>
      </c>
      <c r="B138" s="34">
        <f>IFERROR(__xludf.DUMMYFUNCTION("""COMPUTED_VALUE"""),"Turma B1")</f>
        <v/>
      </c>
      <c r="C138" s="34">
        <f>IFERROR(__xludf.DUMMYFUNCTION("""COMPUTED_VALUE"""),"Vespertino")</f>
        <v/>
      </c>
      <c r="D138" s="34" t="inlineStr">
        <is>
          <t>Veio</t>
        </is>
      </c>
      <c r="G138" s="24" t="n"/>
      <c r="H138" s="24" t="n"/>
      <c r="I138" s="24" t="n"/>
    </row>
    <row r="139">
      <c r="A139" s="34">
        <f>IFERROR(__xludf.DUMMYFUNCTION("""COMPUTED_VALUE"""),"VITORIA BEZERRA MARTINS")</f>
        <v/>
      </c>
      <c r="B139" s="34">
        <f>IFERROR(__xludf.DUMMYFUNCTION("""COMPUTED_VALUE"""),"Turma E")</f>
        <v/>
      </c>
      <c r="C139" s="34">
        <f>IFERROR(__xludf.DUMMYFUNCTION("""COMPUTED_VALUE"""),"Vespertino")</f>
        <v/>
      </c>
      <c r="D139" s="34" t="inlineStr">
        <is>
          <t>Veio</t>
        </is>
      </c>
      <c r="G139" s="24" t="n"/>
      <c r="H139" s="24" t="n"/>
      <c r="I139" s="24" t="n"/>
    </row>
    <row r="140">
      <c r="A140" s="34">
        <f>IFERROR(__xludf.DUMMYFUNCTION("""COMPUTED_VALUE"""),"WEVERTON LEONARDO VIEIRA MARTINS")</f>
        <v/>
      </c>
      <c r="B140" s="34">
        <f>IFERROR(__xludf.DUMMYFUNCTION("""COMPUTED_VALUE"""),"Turma D")</f>
        <v/>
      </c>
      <c r="C140" s="34">
        <f>IFERROR(__xludf.DUMMYFUNCTION("""COMPUTED_VALUE"""),"Matutino")</f>
        <v/>
      </c>
      <c r="D140" s="34" t="inlineStr">
        <is>
          <t>Veio</t>
        </is>
      </c>
      <c r="G140" s="24" t="n"/>
      <c r="H140" s="24" t="n"/>
      <c r="I140" s="24" t="n"/>
    </row>
    <row r="141">
      <c r="A141" s="34">
        <f>IFERROR(__xludf.DUMMYFUNCTION("""COMPUTED_VALUE"""),"YASMYN THAUANY ALCANTARA MONTEIRO")</f>
        <v/>
      </c>
      <c r="B141" s="34">
        <f>IFERROR(__xludf.DUMMYFUNCTION("""COMPUTED_VALUE"""),"Turma D")</f>
        <v/>
      </c>
      <c r="C141" s="34">
        <f>IFERROR(__xludf.DUMMYFUNCTION("""COMPUTED_VALUE"""),"Matutino")</f>
        <v/>
      </c>
      <c r="D141" s="34" t="inlineStr">
        <is>
          <t>Veio</t>
        </is>
      </c>
      <c r="G141" s="24" t="n"/>
      <c r="H141" s="24" t="n"/>
      <c r="I141" s="24" t="n"/>
    </row>
    <row r="142">
      <c r="A142" s="34">
        <f>IFERROR(__xludf.DUMMYFUNCTION("""COMPUTED_VALUE"""),"GABRIEL SOUZA FERREIRA")</f>
        <v/>
      </c>
      <c r="B142" s="34">
        <f>IFERROR(__xludf.DUMMYFUNCTION("""COMPUTED_VALUE"""),"Turma GR")</f>
        <v/>
      </c>
      <c r="C142" s="34">
        <f>IFERROR(__xludf.DUMMYFUNCTION("""COMPUTED_VALUE"""),"Vespertino")</f>
        <v/>
      </c>
      <c r="D142" s="34" t="inlineStr">
        <is>
          <t>Veio</t>
        </is>
      </c>
      <c r="G142" s="24" t="n"/>
      <c r="H142" s="24" t="n"/>
      <c r="I142" s="24" t="n"/>
    </row>
    <row r="143">
      <c r="G143" s="24" t="n"/>
      <c r="H143" s="24" t="n"/>
      <c r="I143" s="24" t="n"/>
    </row>
    <row r="144">
      <c r="G144" s="24" t="n"/>
      <c r="H144" s="24" t="n"/>
      <c r="I144" s="24" t="n"/>
    </row>
    <row r="145">
      <c r="G145" s="24" t="n"/>
      <c r="H145" s="24" t="n"/>
      <c r="I145" s="24" t="n"/>
    </row>
    <row r="146">
      <c r="G146" s="24" t="n"/>
      <c r="H146" s="24" t="n"/>
      <c r="I146" s="24" t="n"/>
    </row>
    <row r="147">
      <c r="G147" s="24" t="n"/>
      <c r="H147" s="24" t="n"/>
      <c r="I147" s="24" t="n"/>
    </row>
    <row r="148">
      <c r="G148" s="24" t="n"/>
      <c r="H148" s="24" t="n"/>
      <c r="I148" s="24" t="n"/>
    </row>
    <row r="149">
      <c r="G149" s="24" t="n"/>
      <c r="H149" s="24" t="n"/>
      <c r="I149" s="24" t="n"/>
    </row>
    <row r="150">
      <c r="G150" s="24" t="n"/>
      <c r="H150" s="24" t="n"/>
      <c r="I150" s="24" t="n"/>
    </row>
    <row r="151">
      <c r="G151" s="24" t="n"/>
      <c r="H151" s="24" t="n"/>
      <c r="I151" s="24" t="n"/>
    </row>
    <row r="152">
      <c r="G152" s="24" t="n"/>
      <c r="H152" s="24" t="n"/>
      <c r="I152" s="24" t="n"/>
    </row>
    <row r="153">
      <c r="G153" s="24" t="n"/>
      <c r="H153" s="24" t="n"/>
      <c r="I153" s="24" t="n"/>
    </row>
    <row r="154">
      <c r="G154" s="24" t="n"/>
      <c r="H154" s="24" t="n"/>
      <c r="I154" s="24" t="n"/>
    </row>
    <row r="155">
      <c r="G155" s="24" t="n"/>
      <c r="H155" s="24" t="n"/>
      <c r="I155" s="24" t="n"/>
    </row>
    <row r="156">
      <c r="G156" s="24" t="n"/>
      <c r="H156" s="24" t="n"/>
      <c r="I156" s="24" t="n"/>
    </row>
    <row r="157">
      <c r="G157" s="24" t="n"/>
      <c r="H157" s="24" t="n"/>
      <c r="I157" s="24" t="n"/>
    </row>
    <row r="158">
      <c r="G158" s="24" t="n"/>
      <c r="H158" s="24" t="n"/>
      <c r="I158" s="24" t="n"/>
    </row>
    <row r="159">
      <c r="G159" s="24" t="n"/>
      <c r="H159" s="24" t="n"/>
      <c r="I159" s="24" t="n"/>
    </row>
    <row r="160">
      <c r="G160" s="24" t="n"/>
      <c r="H160" s="24" t="n"/>
      <c r="I160" s="24" t="n"/>
    </row>
    <row r="161">
      <c r="G161" s="24" t="n"/>
      <c r="H161" s="24" t="n"/>
      <c r="I161" s="24" t="n"/>
    </row>
    <row r="162">
      <c r="G162" s="24" t="n"/>
      <c r="H162" s="24" t="n"/>
      <c r="I162" s="24" t="n"/>
    </row>
    <row r="163">
      <c r="G163" s="24" t="n"/>
      <c r="H163" s="24" t="n"/>
      <c r="I163" s="24" t="n"/>
    </row>
    <row r="164">
      <c r="G164" s="24" t="n"/>
      <c r="H164" s="24" t="n"/>
      <c r="I164" s="24" t="n"/>
    </row>
    <row r="165">
      <c r="G165" s="24" t="n"/>
      <c r="H165" s="24" t="n"/>
      <c r="I165" s="24" t="n"/>
    </row>
    <row r="166">
      <c r="G166" s="24" t="n"/>
      <c r="H166" s="24" t="n"/>
      <c r="I166" s="24" t="n"/>
    </row>
    <row r="167">
      <c r="G167" s="24" t="n"/>
      <c r="H167" s="24" t="n"/>
      <c r="I167" s="24" t="n"/>
    </row>
    <row r="168">
      <c r="G168" s="24" t="n"/>
      <c r="H168" s="24" t="n"/>
      <c r="I168" s="24" t="n"/>
    </row>
    <row r="169">
      <c r="G169" s="24" t="n"/>
      <c r="H169" s="24" t="n"/>
      <c r="I169" s="24" t="n"/>
    </row>
    <row r="170">
      <c r="G170" s="24" t="n"/>
      <c r="H170" s="24" t="n"/>
      <c r="I170" s="24" t="n"/>
    </row>
    <row r="171">
      <c r="G171" s="24" t="n"/>
      <c r="H171" s="24" t="n"/>
      <c r="I171" s="24" t="n"/>
    </row>
    <row r="172">
      <c r="G172" s="24" t="n"/>
      <c r="H172" s="24" t="n"/>
      <c r="I172" s="24" t="n"/>
    </row>
    <row r="173">
      <c r="G173" s="24" t="n"/>
      <c r="H173" s="24" t="n"/>
      <c r="I173" s="24" t="n"/>
    </row>
    <row r="174">
      <c r="G174" s="24" t="n"/>
      <c r="H174" s="24" t="n"/>
      <c r="I174" s="24" t="n"/>
    </row>
    <row r="175">
      <c r="G175" s="24" t="n"/>
      <c r="H175" s="24" t="n"/>
      <c r="I175" s="24" t="n"/>
    </row>
    <row r="176">
      <c r="G176" s="24" t="n"/>
      <c r="H176" s="24" t="n"/>
      <c r="I176" s="24" t="n"/>
    </row>
    <row r="177">
      <c r="G177" s="24" t="n"/>
      <c r="H177" s="24" t="n"/>
      <c r="I177" s="24" t="n"/>
    </row>
    <row r="178">
      <c r="G178" s="24" t="n"/>
      <c r="H178" s="24" t="n"/>
      <c r="I178" s="24" t="n"/>
    </row>
    <row r="179">
      <c r="G179" s="24" t="n"/>
      <c r="H179" s="24" t="n"/>
      <c r="I179" s="24" t="n"/>
    </row>
    <row r="180">
      <c r="G180" s="24" t="n"/>
      <c r="H180" s="24" t="n"/>
      <c r="I180" s="24" t="n"/>
    </row>
    <row r="181">
      <c r="G181" s="24" t="n"/>
      <c r="H181" s="24" t="n"/>
      <c r="I181" s="24" t="n"/>
    </row>
    <row r="182">
      <c r="G182" s="24" t="n"/>
      <c r="H182" s="24" t="n"/>
      <c r="I182" s="24" t="n"/>
    </row>
    <row r="183">
      <c r="G183" s="24" t="n"/>
      <c r="H183" s="24" t="n"/>
      <c r="I183" s="24" t="n"/>
    </row>
    <row r="184">
      <c r="G184" s="24" t="n"/>
      <c r="H184" s="24" t="n"/>
      <c r="I184" s="24" t="n"/>
    </row>
    <row r="185">
      <c r="G185" s="24" t="n"/>
      <c r="H185" s="24" t="n"/>
      <c r="I185" s="24" t="n"/>
    </row>
    <row r="186">
      <c r="G186" s="24" t="n"/>
      <c r="H186" s="24" t="n"/>
      <c r="I186" s="24" t="n"/>
    </row>
    <row r="187">
      <c r="G187" s="24" t="n"/>
      <c r="H187" s="24" t="n"/>
      <c r="I187" s="24" t="n"/>
    </row>
    <row r="188">
      <c r="G188" s="24" t="n"/>
      <c r="H188" s="24" t="n"/>
      <c r="I188" s="24" t="n"/>
    </row>
    <row r="189">
      <c r="G189" s="24" t="n"/>
      <c r="H189" s="24" t="n"/>
      <c r="I189" s="24" t="n"/>
    </row>
    <row r="190">
      <c r="G190" s="24" t="n"/>
      <c r="H190" s="24" t="n"/>
      <c r="I190" s="24" t="n"/>
    </row>
    <row r="191">
      <c r="G191" s="24" t="n"/>
      <c r="H191" s="24" t="n"/>
      <c r="I191" s="24" t="n"/>
    </row>
    <row r="192">
      <c r="G192" s="24" t="n"/>
      <c r="H192" s="24" t="n"/>
      <c r="I192" s="24" t="n"/>
    </row>
    <row r="193">
      <c r="G193" s="24" t="n"/>
      <c r="H193" s="24" t="n"/>
      <c r="I193" s="24" t="n"/>
    </row>
    <row r="194">
      <c r="G194" s="24" t="n"/>
      <c r="H194" s="24" t="n"/>
      <c r="I194" s="24" t="n"/>
    </row>
    <row r="195">
      <c r="G195" s="24" t="n"/>
      <c r="H195" s="24" t="n"/>
      <c r="I195" s="24" t="n"/>
    </row>
    <row r="196">
      <c r="G196" s="24" t="n"/>
      <c r="H196" s="24" t="n"/>
      <c r="I196" s="24" t="n"/>
    </row>
    <row r="197">
      <c r="G197" s="24" t="n"/>
      <c r="H197" s="24" t="n"/>
      <c r="I197" s="24" t="n"/>
    </row>
    <row r="198">
      <c r="G198" s="24" t="n"/>
      <c r="H198" s="24" t="n"/>
      <c r="I198" s="24" t="n"/>
    </row>
    <row r="199">
      <c r="G199" s="24" t="n"/>
      <c r="H199" s="24" t="n"/>
      <c r="I199" s="24" t="n"/>
    </row>
    <row r="200">
      <c r="G200" s="24" t="n"/>
      <c r="H200" s="24" t="n"/>
      <c r="I200" s="24" t="n"/>
    </row>
    <row r="201">
      <c r="G201" s="24" t="n"/>
      <c r="H201" s="24" t="n"/>
      <c r="I201" s="24" t="n"/>
    </row>
    <row r="202">
      <c r="G202" s="24" t="n"/>
      <c r="H202" s="24" t="n"/>
      <c r="I202" s="24" t="n"/>
    </row>
    <row r="203">
      <c r="G203" s="24" t="n"/>
      <c r="H203" s="24" t="n"/>
      <c r="I203" s="24" t="n"/>
    </row>
    <row r="204">
      <c r="G204" s="24" t="n"/>
      <c r="H204" s="24" t="n"/>
      <c r="I204" s="24" t="n"/>
    </row>
    <row r="205">
      <c r="G205" s="24" t="n"/>
      <c r="H205" s="24" t="n"/>
      <c r="I205" s="24" t="n"/>
    </row>
    <row r="206">
      <c r="G206" s="24" t="n"/>
      <c r="H206" s="24" t="n"/>
      <c r="I206" s="24" t="n"/>
    </row>
    <row r="207">
      <c r="G207" s="24" t="n"/>
      <c r="H207" s="24" t="n"/>
      <c r="I207" s="24" t="n"/>
    </row>
    <row r="208">
      <c r="G208" s="24" t="n"/>
      <c r="H208" s="24" t="n"/>
      <c r="I208" s="24" t="n"/>
    </row>
    <row r="209">
      <c r="G209" s="24" t="n"/>
      <c r="H209" s="24" t="n"/>
      <c r="I209" s="24" t="n"/>
    </row>
    <row r="210">
      <c r="G210" s="24" t="n"/>
      <c r="H210" s="24" t="n"/>
      <c r="I210" s="24" t="n"/>
    </row>
    <row r="211">
      <c r="G211" s="24" t="n"/>
      <c r="H211" s="24" t="n"/>
      <c r="I211" s="24" t="n"/>
    </row>
    <row r="212">
      <c r="G212" s="24" t="n"/>
      <c r="H212" s="24" t="n"/>
      <c r="I212" s="24" t="n"/>
    </row>
    <row r="213">
      <c r="G213" s="24" t="n"/>
      <c r="H213" s="24" t="n"/>
      <c r="I213" s="24" t="n"/>
    </row>
    <row r="214">
      <c r="G214" s="24" t="n"/>
      <c r="H214" s="24" t="n"/>
      <c r="I214" s="24" t="n"/>
    </row>
    <row r="215">
      <c r="G215" s="24" t="n"/>
      <c r="H215" s="24" t="n"/>
      <c r="I215" s="24" t="n"/>
    </row>
    <row r="216">
      <c r="G216" s="24" t="n"/>
      <c r="H216" s="24" t="n"/>
      <c r="I216" s="24" t="n"/>
    </row>
    <row r="217">
      <c r="G217" s="24" t="n"/>
      <c r="H217" s="24" t="n"/>
      <c r="I217" s="24" t="n"/>
    </row>
    <row r="218">
      <c r="G218" s="24" t="n"/>
      <c r="H218" s="24" t="n"/>
      <c r="I218" s="24" t="n"/>
    </row>
    <row r="219">
      <c r="G219" s="24" t="n"/>
      <c r="H219" s="24" t="n"/>
      <c r="I219" s="24" t="n"/>
    </row>
    <row r="220">
      <c r="G220" s="24" t="n"/>
      <c r="H220" s="24" t="n"/>
      <c r="I220" s="24" t="n"/>
    </row>
    <row r="221">
      <c r="G221" s="24" t="n"/>
      <c r="H221" s="24" t="n"/>
      <c r="I221" s="24" t="n"/>
    </row>
    <row r="222">
      <c r="G222" s="24" t="n"/>
      <c r="H222" s="24" t="n"/>
      <c r="I222" s="24" t="n"/>
    </row>
    <row r="223">
      <c r="G223" s="24" t="n"/>
      <c r="H223" s="24" t="n"/>
      <c r="I223" s="24" t="n"/>
    </row>
    <row r="224">
      <c r="G224" s="24" t="n"/>
      <c r="H224" s="24" t="n"/>
      <c r="I224" s="24" t="n"/>
    </row>
    <row r="225">
      <c r="G225" s="24" t="n"/>
      <c r="H225" s="24" t="n"/>
      <c r="I225" s="24" t="n"/>
    </row>
    <row r="226">
      <c r="G226" s="24" t="n"/>
      <c r="H226" s="24" t="n"/>
      <c r="I226" s="24" t="n"/>
    </row>
    <row r="227">
      <c r="G227" s="24" t="n"/>
      <c r="H227" s="24" t="n"/>
      <c r="I227" s="24" t="n"/>
    </row>
    <row r="228">
      <c r="G228" s="24" t="n"/>
      <c r="H228" s="24" t="n"/>
      <c r="I228" s="24" t="n"/>
    </row>
    <row r="229">
      <c r="G229" s="24" t="n"/>
      <c r="H229" s="24" t="n"/>
      <c r="I229" s="24" t="n"/>
    </row>
    <row r="230">
      <c r="G230" s="24" t="n"/>
      <c r="H230" s="24" t="n"/>
      <c r="I230" s="24" t="n"/>
    </row>
    <row r="231">
      <c r="G231" s="24" t="n"/>
      <c r="H231" s="24" t="n"/>
      <c r="I231" s="24" t="n"/>
    </row>
    <row r="232">
      <c r="G232" s="24" t="n"/>
      <c r="H232" s="24" t="n"/>
      <c r="I232" s="24" t="n"/>
    </row>
    <row r="233">
      <c r="G233" s="24" t="n"/>
      <c r="H233" s="24" t="n"/>
      <c r="I233" s="24" t="n"/>
    </row>
    <row r="234">
      <c r="G234" s="24" t="n"/>
      <c r="H234" s="24" t="n"/>
      <c r="I234" s="24" t="n"/>
    </row>
    <row r="235">
      <c r="G235" s="24" t="n"/>
      <c r="H235" s="24" t="n"/>
      <c r="I235" s="24" t="n"/>
    </row>
    <row r="236">
      <c r="G236" s="24" t="n"/>
      <c r="H236" s="24" t="n"/>
      <c r="I236" s="24" t="n"/>
    </row>
    <row r="237">
      <c r="G237" s="24" t="n"/>
      <c r="H237" s="24" t="n"/>
      <c r="I237" s="24" t="n"/>
    </row>
    <row r="238">
      <c r="G238" s="24" t="n"/>
      <c r="H238" s="24" t="n"/>
      <c r="I238" s="24" t="n"/>
    </row>
    <row r="239">
      <c r="G239" s="24" t="n"/>
      <c r="H239" s="24" t="n"/>
      <c r="I239" s="24" t="n"/>
    </row>
    <row r="240">
      <c r="G240" s="24" t="n"/>
      <c r="H240" s="24" t="n"/>
      <c r="I240" s="24" t="n"/>
    </row>
    <row r="241">
      <c r="G241" s="24" t="n"/>
      <c r="H241" s="24" t="n"/>
      <c r="I241" s="24" t="n"/>
    </row>
    <row r="242">
      <c r="G242" s="24" t="n"/>
      <c r="H242" s="24" t="n"/>
      <c r="I242" s="24" t="n"/>
    </row>
    <row r="243">
      <c r="G243" s="24" t="n"/>
      <c r="H243" s="24" t="n"/>
      <c r="I243" s="24" t="n"/>
    </row>
    <row r="244">
      <c r="G244" s="24" t="n"/>
      <c r="H244" s="24" t="n"/>
      <c r="I244" s="24" t="n"/>
    </row>
    <row r="245">
      <c r="G245" s="24" t="n"/>
      <c r="H245" s="24" t="n"/>
      <c r="I245" s="24" t="n"/>
    </row>
    <row r="246">
      <c r="G246" s="24" t="n"/>
      <c r="H246" s="24" t="n"/>
      <c r="I246" s="24" t="n"/>
    </row>
    <row r="247">
      <c r="G247" s="24" t="n"/>
      <c r="H247" s="24" t="n"/>
      <c r="I247" s="24" t="n"/>
    </row>
    <row r="248">
      <c r="G248" s="24" t="n"/>
      <c r="H248" s="24" t="n"/>
      <c r="I248" s="24" t="n"/>
    </row>
    <row r="249">
      <c r="G249" s="24" t="n"/>
      <c r="H249" s="24" t="n"/>
      <c r="I249" s="24" t="n"/>
    </row>
    <row r="250">
      <c r="G250" s="24" t="n"/>
      <c r="H250" s="24" t="n"/>
      <c r="I250" s="24" t="n"/>
    </row>
    <row r="251">
      <c r="G251" s="24" t="n"/>
      <c r="H251" s="24" t="n"/>
      <c r="I251" s="24" t="n"/>
    </row>
    <row r="252">
      <c r="G252" s="24" t="n"/>
      <c r="H252" s="24" t="n"/>
      <c r="I252" s="24" t="n"/>
    </row>
    <row r="253">
      <c r="G253" s="24" t="n"/>
      <c r="H253" s="24" t="n"/>
      <c r="I253" s="24" t="n"/>
    </row>
    <row r="254">
      <c r="G254" s="24" t="n"/>
      <c r="H254" s="24" t="n"/>
      <c r="I254" s="24" t="n"/>
    </row>
    <row r="255">
      <c r="G255" s="24" t="n"/>
      <c r="H255" s="24" t="n"/>
      <c r="I255" s="24" t="n"/>
    </row>
    <row r="256">
      <c r="G256" s="24" t="n"/>
      <c r="H256" s="24" t="n"/>
      <c r="I256" s="24" t="n"/>
    </row>
    <row r="257">
      <c r="G257" s="24" t="n"/>
      <c r="H257" s="24" t="n"/>
      <c r="I257" s="24" t="n"/>
    </row>
    <row r="258">
      <c r="G258" s="24" t="n"/>
      <c r="H258" s="24" t="n"/>
      <c r="I258" s="24" t="n"/>
    </row>
    <row r="259">
      <c r="G259" s="24" t="n"/>
      <c r="H259" s="24" t="n"/>
      <c r="I259" s="24" t="n"/>
    </row>
    <row r="260">
      <c r="G260" s="24" t="n"/>
      <c r="H260" s="24" t="n"/>
      <c r="I260" s="24" t="n"/>
    </row>
    <row r="261">
      <c r="G261" s="24" t="n"/>
      <c r="H261" s="24" t="n"/>
      <c r="I261" s="24" t="n"/>
    </row>
    <row r="262">
      <c r="G262" s="24" t="n"/>
      <c r="H262" s="24" t="n"/>
      <c r="I262" s="24" t="n"/>
    </row>
    <row r="263">
      <c r="G263" s="24" t="n"/>
      <c r="H263" s="24" t="n"/>
      <c r="I263" s="24" t="n"/>
    </row>
    <row r="264">
      <c r="G264" s="24" t="n"/>
      <c r="H264" s="24" t="n"/>
      <c r="I264" s="24" t="n"/>
    </row>
    <row r="265">
      <c r="G265" s="24" t="n"/>
      <c r="H265" s="24" t="n"/>
      <c r="I265" s="24" t="n"/>
    </row>
    <row r="266">
      <c r="G266" s="24" t="n"/>
      <c r="H266" s="24" t="n"/>
      <c r="I266" s="24" t="n"/>
    </row>
    <row r="267">
      <c r="G267" s="24" t="n"/>
      <c r="H267" s="24" t="n"/>
      <c r="I267" s="24" t="n"/>
    </row>
    <row r="268">
      <c r="G268" s="24" t="n"/>
      <c r="H268" s="24" t="n"/>
      <c r="I268" s="24" t="n"/>
    </row>
    <row r="269">
      <c r="G269" s="24" t="n"/>
      <c r="H269" s="24" t="n"/>
      <c r="I269" s="24" t="n"/>
    </row>
    <row r="270">
      <c r="G270" s="24" t="n"/>
      <c r="H270" s="24" t="n"/>
      <c r="I270" s="24" t="n"/>
    </row>
    <row r="271">
      <c r="G271" s="24" t="n"/>
      <c r="H271" s="24" t="n"/>
      <c r="I271" s="24" t="n"/>
    </row>
    <row r="272">
      <c r="G272" s="24" t="n"/>
      <c r="H272" s="24" t="n"/>
      <c r="I272" s="24" t="n"/>
    </row>
    <row r="273">
      <c r="G273" s="24" t="n"/>
      <c r="H273" s="24" t="n"/>
      <c r="I273" s="24" t="n"/>
    </row>
    <row r="274">
      <c r="G274" s="24" t="n"/>
      <c r="H274" s="24" t="n"/>
      <c r="I274" s="24" t="n"/>
    </row>
    <row r="275">
      <c r="G275" s="24" t="n"/>
      <c r="H275" s="24" t="n"/>
      <c r="I275" s="24" t="n"/>
    </row>
    <row r="276">
      <c r="G276" s="24" t="n"/>
      <c r="H276" s="24" t="n"/>
      <c r="I276" s="24" t="n"/>
    </row>
    <row r="277">
      <c r="G277" s="24" t="n"/>
      <c r="H277" s="24" t="n"/>
      <c r="I277" s="24" t="n"/>
    </row>
    <row r="278">
      <c r="G278" s="24" t="n"/>
      <c r="H278" s="24" t="n"/>
      <c r="I278" s="24" t="n"/>
    </row>
    <row r="279">
      <c r="G279" s="24" t="n"/>
      <c r="H279" s="24" t="n"/>
      <c r="I279" s="24" t="n"/>
    </row>
    <row r="280">
      <c r="G280" s="24" t="n"/>
      <c r="H280" s="24" t="n"/>
      <c r="I280" s="24" t="n"/>
    </row>
    <row r="281">
      <c r="G281" s="24" t="n"/>
      <c r="H281" s="24" t="n"/>
      <c r="I281" s="24" t="n"/>
    </row>
    <row r="282">
      <c r="G282" s="24" t="n"/>
      <c r="H282" s="24" t="n"/>
      <c r="I282" s="24" t="n"/>
    </row>
    <row r="283">
      <c r="G283" s="24" t="n"/>
      <c r="H283" s="24" t="n"/>
      <c r="I283" s="24" t="n"/>
    </row>
    <row r="284">
      <c r="G284" s="24" t="n"/>
      <c r="H284" s="24" t="n"/>
      <c r="I284" s="24" t="n"/>
    </row>
    <row r="285">
      <c r="G285" s="24" t="n"/>
      <c r="H285" s="24" t="n"/>
      <c r="I285" s="24" t="n"/>
    </row>
    <row r="286">
      <c r="G286" s="24" t="n"/>
      <c r="H286" s="24" t="n"/>
      <c r="I286" s="24" t="n"/>
    </row>
    <row r="287">
      <c r="G287" s="24" t="n"/>
      <c r="H287" s="24" t="n"/>
      <c r="I287" s="24" t="n"/>
    </row>
    <row r="288">
      <c r="G288" s="24" t="n"/>
      <c r="H288" s="24" t="n"/>
      <c r="I288" s="24" t="n"/>
    </row>
    <row r="289">
      <c r="G289" s="24" t="n"/>
      <c r="H289" s="24" t="n"/>
      <c r="I289" s="24" t="n"/>
    </row>
    <row r="290">
      <c r="G290" s="24" t="n"/>
      <c r="H290" s="24" t="n"/>
      <c r="I290" s="24" t="n"/>
    </row>
    <row r="291">
      <c r="G291" s="24" t="n"/>
      <c r="H291" s="24" t="n"/>
      <c r="I291" s="24" t="n"/>
    </row>
    <row r="292">
      <c r="G292" s="24" t="n"/>
      <c r="H292" s="24" t="n"/>
      <c r="I292" s="24" t="n"/>
    </row>
    <row r="293">
      <c r="G293" s="24" t="n"/>
      <c r="H293" s="24" t="n"/>
      <c r="I293" s="24" t="n"/>
    </row>
    <row r="294">
      <c r="G294" s="24" t="n"/>
      <c r="H294" s="24" t="n"/>
      <c r="I294" s="24" t="n"/>
    </row>
    <row r="295">
      <c r="G295" s="24" t="n"/>
      <c r="H295" s="24" t="n"/>
      <c r="I295" s="24" t="n"/>
    </row>
    <row r="296">
      <c r="G296" s="24" t="n"/>
      <c r="H296" s="24" t="n"/>
      <c r="I296" s="24" t="n"/>
    </row>
    <row r="297">
      <c r="G297" s="24" t="n"/>
      <c r="H297" s="24" t="n"/>
      <c r="I297" s="24" t="n"/>
    </row>
    <row r="298">
      <c r="G298" s="24" t="n"/>
      <c r="H298" s="24" t="n"/>
      <c r="I298" s="24" t="n"/>
    </row>
    <row r="299">
      <c r="G299" s="24" t="n"/>
      <c r="H299" s="24" t="n"/>
      <c r="I299" s="24" t="n"/>
    </row>
    <row r="300">
      <c r="G300" s="24" t="n"/>
      <c r="H300" s="24" t="n"/>
      <c r="I300" s="24" t="n"/>
    </row>
    <row r="301">
      <c r="G301" s="24" t="n"/>
      <c r="H301" s="24" t="n"/>
      <c r="I301" s="24" t="n"/>
    </row>
    <row r="302">
      <c r="G302" s="24" t="n"/>
      <c r="H302" s="24" t="n"/>
      <c r="I302" s="24" t="n"/>
    </row>
    <row r="303">
      <c r="G303" s="24" t="n"/>
      <c r="H303" s="24" t="n"/>
      <c r="I303" s="24" t="n"/>
    </row>
    <row r="304">
      <c r="G304" s="24" t="n"/>
      <c r="H304" s="24" t="n"/>
      <c r="I304" s="24" t="n"/>
    </row>
    <row r="305">
      <c r="G305" s="24" t="n"/>
      <c r="H305" s="24" t="n"/>
      <c r="I305" s="24" t="n"/>
    </row>
    <row r="306">
      <c r="G306" s="24" t="n"/>
      <c r="H306" s="24" t="n"/>
      <c r="I306" s="24" t="n"/>
    </row>
    <row r="307">
      <c r="G307" s="24" t="n"/>
      <c r="H307" s="24" t="n"/>
      <c r="I307" s="24" t="n"/>
    </row>
    <row r="308">
      <c r="G308" s="24" t="n"/>
      <c r="H308" s="24" t="n"/>
      <c r="I308" s="24" t="n"/>
    </row>
    <row r="309">
      <c r="G309" s="24" t="n"/>
      <c r="H309" s="24" t="n"/>
      <c r="I309" s="24" t="n"/>
    </row>
    <row r="310">
      <c r="G310" s="24" t="n"/>
      <c r="H310" s="24" t="n"/>
      <c r="I310" s="24" t="n"/>
    </row>
    <row r="311">
      <c r="G311" s="24" t="n"/>
      <c r="H311" s="24" t="n"/>
      <c r="I311" s="24" t="n"/>
    </row>
    <row r="312">
      <c r="G312" s="24" t="n"/>
      <c r="H312" s="24" t="n"/>
      <c r="I312" s="24" t="n"/>
    </row>
    <row r="313">
      <c r="G313" s="24" t="n"/>
      <c r="H313" s="24" t="n"/>
      <c r="I313" s="24" t="n"/>
    </row>
    <row r="314">
      <c r="G314" s="24" t="n"/>
      <c r="H314" s="24" t="n"/>
      <c r="I314" s="24" t="n"/>
    </row>
    <row r="315">
      <c r="G315" s="24" t="n"/>
      <c r="H315" s="24" t="n"/>
      <c r="I315" s="24" t="n"/>
    </row>
    <row r="316">
      <c r="G316" s="24" t="n"/>
      <c r="H316" s="24" t="n"/>
      <c r="I316" s="24" t="n"/>
    </row>
    <row r="317">
      <c r="G317" s="24" t="n"/>
      <c r="H317" s="24" t="n"/>
      <c r="I317" s="24" t="n"/>
    </row>
    <row r="318">
      <c r="G318" s="24" t="n"/>
      <c r="H318" s="24" t="n"/>
      <c r="I318" s="24" t="n"/>
    </row>
    <row r="319">
      <c r="G319" s="24" t="n"/>
      <c r="H319" s="24" t="n"/>
      <c r="I319" s="24" t="n"/>
    </row>
    <row r="320">
      <c r="G320" s="24" t="n"/>
      <c r="H320" s="24" t="n"/>
      <c r="I320" s="24" t="n"/>
    </row>
    <row r="321">
      <c r="G321" s="24" t="n"/>
      <c r="H321" s="24" t="n"/>
      <c r="I321" s="24" t="n"/>
    </row>
    <row r="322">
      <c r="G322" s="24" t="n"/>
      <c r="H322" s="24" t="n"/>
      <c r="I322" s="24" t="n"/>
    </row>
    <row r="323">
      <c r="G323" s="24" t="n"/>
      <c r="H323" s="24" t="n"/>
      <c r="I323" s="24" t="n"/>
    </row>
    <row r="324">
      <c r="G324" s="24" t="n"/>
      <c r="H324" s="24" t="n"/>
      <c r="I324" s="24" t="n"/>
    </row>
    <row r="325">
      <c r="G325" s="24" t="n"/>
      <c r="H325" s="24" t="n"/>
      <c r="I325" s="24" t="n"/>
    </row>
    <row r="326">
      <c r="G326" s="24" t="n"/>
      <c r="H326" s="24" t="n"/>
      <c r="I326" s="24" t="n"/>
    </row>
    <row r="327">
      <c r="G327" s="24" t="n"/>
      <c r="H327" s="24" t="n"/>
      <c r="I327" s="24" t="n"/>
    </row>
    <row r="328">
      <c r="G328" s="24" t="n"/>
      <c r="H328" s="24" t="n"/>
      <c r="I328" s="24" t="n"/>
    </row>
    <row r="329">
      <c r="G329" s="24" t="n"/>
      <c r="H329" s="24" t="n"/>
      <c r="I329" s="24" t="n"/>
    </row>
    <row r="330">
      <c r="G330" s="24" t="n"/>
      <c r="H330" s="24" t="n"/>
      <c r="I330" s="24" t="n"/>
    </row>
    <row r="331">
      <c r="G331" s="24" t="n"/>
      <c r="H331" s="24" t="n"/>
      <c r="I331" s="24" t="n"/>
    </row>
    <row r="332">
      <c r="G332" s="24" t="n"/>
      <c r="H332" s="24" t="n"/>
      <c r="I332" s="24" t="n"/>
    </row>
    <row r="333">
      <c r="G333" s="24" t="n"/>
      <c r="H333" s="24" t="n"/>
      <c r="I333" s="24" t="n"/>
    </row>
    <row r="334">
      <c r="G334" s="24" t="n"/>
      <c r="H334" s="24" t="n"/>
      <c r="I334" s="24" t="n"/>
    </row>
    <row r="335">
      <c r="G335" s="24" t="n"/>
      <c r="H335" s="24" t="n"/>
      <c r="I335" s="24" t="n"/>
    </row>
    <row r="336">
      <c r="G336" s="24" t="n"/>
      <c r="H336" s="24" t="n"/>
      <c r="I336" s="24" t="n"/>
    </row>
    <row r="337">
      <c r="G337" s="24" t="n"/>
      <c r="H337" s="24" t="n"/>
      <c r="I337" s="24" t="n"/>
    </row>
    <row r="338">
      <c r="G338" s="24" t="n"/>
      <c r="H338" s="24" t="n"/>
      <c r="I338" s="24" t="n"/>
    </row>
    <row r="339">
      <c r="G339" s="24" t="n"/>
      <c r="H339" s="24" t="n"/>
      <c r="I339" s="24" t="n"/>
    </row>
    <row r="340">
      <c r="G340" s="24" t="n"/>
      <c r="H340" s="24" t="n"/>
      <c r="I340" s="24" t="n"/>
    </row>
    <row r="341">
      <c r="G341" s="24" t="n"/>
      <c r="H341" s="24" t="n"/>
      <c r="I341" s="24" t="n"/>
    </row>
    <row r="342">
      <c r="G342" s="24" t="n"/>
      <c r="H342" s="24" t="n"/>
      <c r="I342" s="24" t="n"/>
    </row>
    <row r="343">
      <c r="G343" s="24" t="n"/>
      <c r="H343" s="24" t="n"/>
      <c r="I343" s="24" t="n"/>
    </row>
    <row r="344">
      <c r="G344" s="24" t="n"/>
      <c r="H344" s="24" t="n"/>
      <c r="I344" s="24" t="n"/>
    </row>
    <row r="345">
      <c r="G345" s="24" t="n"/>
      <c r="H345" s="24" t="n"/>
      <c r="I345" s="24" t="n"/>
    </row>
    <row r="346">
      <c r="G346" s="24" t="n"/>
      <c r="H346" s="24" t="n"/>
      <c r="I346" s="24" t="n"/>
    </row>
    <row r="347">
      <c r="G347" s="24" t="n"/>
      <c r="H347" s="24" t="n"/>
      <c r="I347" s="24" t="n"/>
    </row>
    <row r="348">
      <c r="G348" s="24" t="n"/>
      <c r="H348" s="24" t="n"/>
      <c r="I348" s="24" t="n"/>
    </row>
    <row r="349">
      <c r="G349" s="24" t="n"/>
      <c r="H349" s="24" t="n"/>
      <c r="I349" s="24" t="n"/>
    </row>
    <row r="350">
      <c r="G350" s="24" t="n"/>
      <c r="H350" s="24" t="n"/>
      <c r="I350" s="24" t="n"/>
    </row>
    <row r="351">
      <c r="G351" s="24" t="n"/>
      <c r="H351" s="24" t="n"/>
      <c r="I351" s="24" t="n"/>
    </row>
    <row r="352">
      <c r="G352" s="24" t="n"/>
      <c r="H352" s="24" t="n"/>
      <c r="I352" s="24" t="n"/>
    </row>
    <row r="353">
      <c r="G353" s="24" t="n"/>
      <c r="H353" s="24" t="n"/>
      <c r="I353" s="24" t="n"/>
    </row>
    <row r="354">
      <c r="G354" s="24" t="n"/>
      <c r="H354" s="24" t="n"/>
      <c r="I354" s="24" t="n"/>
    </row>
    <row r="355">
      <c r="G355" s="24" t="n"/>
      <c r="H355" s="24" t="n"/>
      <c r="I355" s="24" t="n"/>
    </row>
    <row r="356">
      <c r="G356" s="24" t="n"/>
      <c r="H356" s="24" t="n"/>
      <c r="I356" s="24" t="n"/>
    </row>
    <row r="357">
      <c r="G357" s="24" t="n"/>
      <c r="H357" s="24" t="n"/>
      <c r="I357" s="24" t="n"/>
    </row>
    <row r="358">
      <c r="G358" s="24" t="n"/>
      <c r="H358" s="24" t="n"/>
      <c r="I358" s="24" t="n"/>
    </row>
    <row r="359">
      <c r="G359" s="24" t="n"/>
      <c r="H359" s="24" t="n"/>
      <c r="I359" s="24" t="n"/>
    </row>
    <row r="360">
      <c r="G360" s="24" t="n"/>
      <c r="H360" s="24" t="n"/>
      <c r="I360" s="24" t="n"/>
    </row>
    <row r="361">
      <c r="G361" s="24" t="n"/>
      <c r="H361" s="24" t="n"/>
      <c r="I361" s="24" t="n"/>
    </row>
    <row r="362">
      <c r="G362" s="24" t="n"/>
      <c r="H362" s="24" t="n"/>
      <c r="I362" s="24" t="n"/>
    </row>
    <row r="363">
      <c r="G363" s="24" t="n"/>
      <c r="H363" s="24" t="n"/>
      <c r="I363" s="24" t="n"/>
    </row>
    <row r="364">
      <c r="G364" s="24" t="n"/>
      <c r="H364" s="24" t="n"/>
      <c r="I364" s="24" t="n"/>
    </row>
    <row r="365">
      <c r="G365" s="24" t="n"/>
      <c r="H365" s="24" t="n"/>
      <c r="I365" s="24" t="n"/>
    </row>
    <row r="366">
      <c r="G366" s="24" t="n"/>
      <c r="H366" s="24" t="n"/>
      <c r="I366" s="24" t="n"/>
    </row>
    <row r="367">
      <c r="G367" s="24" t="n"/>
      <c r="H367" s="24" t="n"/>
      <c r="I367" s="24" t="n"/>
    </row>
    <row r="368">
      <c r="G368" s="24" t="n"/>
      <c r="H368" s="24" t="n"/>
      <c r="I368" s="24" t="n"/>
    </row>
    <row r="369">
      <c r="G369" s="24" t="n"/>
      <c r="H369" s="24" t="n"/>
      <c r="I369" s="24" t="n"/>
    </row>
    <row r="370">
      <c r="G370" s="24" t="n"/>
      <c r="H370" s="24" t="n"/>
      <c r="I370" s="24" t="n"/>
    </row>
    <row r="371">
      <c r="G371" s="24" t="n"/>
      <c r="H371" s="24" t="n"/>
      <c r="I371" s="24" t="n"/>
    </row>
    <row r="372">
      <c r="G372" s="24" t="n"/>
      <c r="H372" s="24" t="n"/>
      <c r="I372" s="24" t="n"/>
    </row>
    <row r="373">
      <c r="G373" s="24" t="n"/>
      <c r="H373" s="24" t="n"/>
      <c r="I373" s="24" t="n"/>
    </row>
    <row r="374">
      <c r="G374" s="24" t="n"/>
      <c r="H374" s="24" t="n"/>
      <c r="I374" s="24" t="n"/>
    </row>
    <row r="375">
      <c r="G375" s="24" t="n"/>
      <c r="H375" s="24" t="n"/>
      <c r="I375" s="24" t="n"/>
    </row>
    <row r="376">
      <c r="G376" s="24" t="n"/>
      <c r="H376" s="24" t="n"/>
      <c r="I376" s="24" t="n"/>
    </row>
    <row r="377">
      <c r="G377" s="24" t="n"/>
      <c r="H377" s="24" t="n"/>
      <c r="I377" s="24" t="n"/>
    </row>
    <row r="378">
      <c r="G378" s="24" t="n"/>
      <c r="H378" s="24" t="n"/>
      <c r="I378" s="24" t="n"/>
    </row>
    <row r="379">
      <c r="G379" s="24" t="n"/>
      <c r="H379" s="24" t="n"/>
      <c r="I379" s="24" t="n"/>
    </row>
    <row r="380">
      <c r="G380" s="24" t="n"/>
      <c r="H380" s="24" t="n"/>
      <c r="I380" s="24" t="n"/>
    </row>
    <row r="381">
      <c r="G381" s="24" t="n"/>
      <c r="H381" s="24" t="n"/>
      <c r="I381" s="24" t="n"/>
    </row>
    <row r="382">
      <c r="G382" s="24" t="n"/>
      <c r="H382" s="24" t="n"/>
      <c r="I382" s="24" t="n"/>
    </row>
    <row r="383">
      <c r="G383" s="24" t="n"/>
      <c r="H383" s="24" t="n"/>
      <c r="I383" s="24" t="n"/>
    </row>
    <row r="384">
      <c r="G384" s="24" t="n"/>
      <c r="H384" s="24" t="n"/>
      <c r="I384" s="24" t="n"/>
    </row>
    <row r="385">
      <c r="G385" s="24" t="n"/>
      <c r="H385" s="24" t="n"/>
      <c r="I385" s="24" t="n"/>
    </row>
    <row r="386">
      <c r="G386" s="24" t="n"/>
      <c r="H386" s="24" t="n"/>
      <c r="I386" s="24" t="n"/>
    </row>
    <row r="387">
      <c r="G387" s="24" t="n"/>
      <c r="H387" s="24" t="n"/>
      <c r="I387" s="24" t="n"/>
    </row>
    <row r="388">
      <c r="G388" s="24" t="n"/>
      <c r="H388" s="24" t="n"/>
      <c r="I388" s="24" t="n"/>
    </row>
    <row r="389">
      <c r="G389" s="24" t="n"/>
      <c r="H389" s="24" t="n"/>
      <c r="I389" s="24" t="n"/>
    </row>
    <row r="390">
      <c r="G390" s="24" t="n"/>
      <c r="H390" s="24" t="n"/>
      <c r="I390" s="24" t="n"/>
    </row>
    <row r="391">
      <c r="G391" s="24" t="n"/>
      <c r="H391" s="24" t="n"/>
      <c r="I391" s="24" t="n"/>
    </row>
    <row r="392">
      <c r="G392" s="24" t="n"/>
      <c r="H392" s="24" t="n"/>
      <c r="I392" s="24" t="n"/>
    </row>
    <row r="393">
      <c r="G393" s="24" t="n"/>
      <c r="H393" s="24" t="n"/>
      <c r="I393" s="24" t="n"/>
    </row>
    <row r="394">
      <c r="G394" s="24" t="n"/>
      <c r="H394" s="24" t="n"/>
      <c r="I394" s="24" t="n"/>
    </row>
    <row r="395">
      <c r="G395" s="24" t="n"/>
      <c r="H395" s="24" t="n"/>
      <c r="I395" s="24" t="n"/>
    </row>
    <row r="396">
      <c r="G396" s="24" t="n"/>
      <c r="H396" s="24" t="n"/>
      <c r="I396" s="24" t="n"/>
    </row>
    <row r="397">
      <c r="G397" s="24" t="n"/>
      <c r="H397" s="24" t="n"/>
      <c r="I397" s="24" t="n"/>
    </row>
    <row r="398">
      <c r="G398" s="24" t="n"/>
      <c r="H398" s="24" t="n"/>
      <c r="I398" s="24" t="n"/>
    </row>
    <row r="399">
      <c r="G399" s="24" t="n"/>
      <c r="H399" s="24" t="n"/>
      <c r="I399" s="24" t="n"/>
    </row>
    <row r="400">
      <c r="G400" s="24" t="n"/>
      <c r="H400" s="24" t="n"/>
      <c r="I400" s="24" t="n"/>
    </row>
    <row r="401">
      <c r="G401" s="24" t="n"/>
      <c r="H401" s="24" t="n"/>
      <c r="I401" s="24" t="n"/>
    </row>
    <row r="402">
      <c r="G402" s="24" t="n"/>
      <c r="H402" s="24" t="n"/>
      <c r="I402" s="24" t="n"/>
    </row>
    <row r="403">
      <c r="G403" s="24" t="n"/>
      <c r="H403" s="24" t="n"/>
      <c r="I403" s="24" t="n"/>
    </row>
    <row r="404">
      <c r="G404" s="24" t="n"/>
      <c r="H404" s="24" t="n"/>
      <c r="I404" s="24" t="n"/>
    </row>
    <row r="405">
      <c r="G405" s="24" t="n"/>
      <c r="H405" s="24" t="n"/>
      <c r="I405" s="24" t="n"/>
    </row>
    <row r="406">
      <c r="G406" s="24" t="n"/>
      <c r="H406" s="24" t="n"/>
      <c r="I406" s="24" t="n"/>
    </row>
    <row r="407">
      <c r="G407" s="24" t="n"/>
      <c r="H407" s="24" t="n"/>
      <c r="I407" s="24" t="n"/>
    </row>
    <row r="408">
      <c r="G408" s="24" t="n"/>
      <c r="H408" s="24" t="n"/>
      <c r="I408" s="24" t="n"/>
    </row>
    <row r="409">
      <c r="G409" s="24" t="n"/>
      <c r="H409" s="24" t="n"/>
      <c r="I409" s="24" t="n"/>
    </row>
    <row r="410">
      <c r="G410" s="24" t="n"/>
      <c r="H410" s="24" t="n"/>
      <c r="I410" s="24" t="n"/>
    </row>
    <row r="411">
      <c r="G411" s="24" t="n"/>
      <c r="H411" s="24" t="n"/>
      <c r="I411" s="24" t="n"/>
    </row>
    <row r="412">
      <c r="G412" s="24" t="n"/>
      <c r="H412" s="24" t="n"/>
      <c r="I412" s="24" t="n"/>
    </row>
    <row r="413">
      <c r="G413" s="24" t="n"/>
      <c r="H413" s="24" t="n"/>
      <c r="I413" s="24" t="n"/>
    </row>
    <row r="414">
      <c r="G414" s="24" t="n"/>
      <c r="H414" s="24" t="n"/>
      <c r="I414" s="24" t="n"/>
    </row>
    <row r="415">
      <c r="G415" s="24" t="n"/>
      <c r="H415" s="24" t="n"/>
      <c r="I415" s="24" t="n"/>
    </row>
    <row r="416">
      <c r="G416" s="24" t="n"/>
      <c r="H416" s="24" t="n"/>
      <c r="I416" s="24" t="n"/>
    </row>
    <row r="417">
      <c r="G417" s="24" t="n"/>
      <c r="H417" s="24" t="n"/>
      <c r="I417" s="24" t="n"/>
    </row>
    <row r="418">
      <c r="G418" s="24" t="n"/>
      <c r="H418" s="24" t="n"/>
      <c r="I418" s="24" t="n"/>
    </row>
    <row r="419">
      <c r="G419" s="24" t="n"/>
      <c r="H419" s="24" t="n"/>
      <c r="I419" s="24" t="n"/>
    </row>
    <row r="420">
      <c r="G420" s="24" t="n"/>
      <c r="H420" s="24" t="n"/>
      <c r="I420" s="24" t="n"/>
    </row>
    <row r="421">
      <c r="G421" s="24" t="n"/>
      <c r="H421" s="24" t="n"/>
      <c r="I421" s="24" t="n"/>
    </row>
    <row r="422">
      <c r="G422" s="24" t="n"/>
      <c r="H422" s="24" t="n"/>
      <c r="I422" s="24" t="n"/>
    </row>
    <row r="423">
      <c r="G423" s="24" t="n"/>
      <c r="H423" s="24" t="n"/>
      <c r="I423" s="24" t="n"/>
    </row>
    <row r="424">
      <c r="G424" s="24" t="n"/>
      <c r="H424" s="24" t="n"/>
      <c r="I424" s="24" t="n"/>
    </row>
    <row r="425">
      <c r="G425" s="24" t="n"/>
      <c r="H425" s="24" t="n"/>
      <c r="I425" s="24" t="n"/>
    </row>
    <row r="426">
      <c r="G426" s="24" t="n"/>
      <c r="H426" s="24" t="n"/>
      <c r="I426" s="24" t="n"/>
    </row>
    <row r="427">
      <c r="G427" s="24" t="n"/>
      <c r="H427" s="24" t="n"/>
      <c r="I427" s="24" t="n"/>
    </row>
    <row r="428">
      <c r="G428" s="24" t="n"/>
      <c r="H428" s="24" t="n"/>
      <c r="I428" s="24" t="n"/>
    </row>
    <row r="429">
      <c r="G429" s="24" t="n"/>
      <c r="H429" s="24" t="n"/>
      <c r="I429" s="24" t="n"/>
    </row>
    <row r="430">
      <c r="G430" s="24" t="n"/>
      <c r="H430" s="24" t="n"/>
      <c r="I430" s="24" t="n"/>
    </row>
    <row r="431">
      <c r="G431" s="24" t="n"/>
      <c r="H431" s="24" t="n"/>
      <c r="I431" s="24" t="n"/>
    </row>
    <row r="432">
      <c r="G432" s="24" t="n"/>
      <c r="H432" s="24" t="n"/>
      <c r="I432" s="24" t="n"/>
    </row>
    <row r="433">
      <c r="G433" s="24" t="n"/>
      <c r="H433" s="24" t="n"/>
      <c r="I433" s="24" t="n"/>
    </row>
    <row r="434">
      <c r="G434" s="24" t="n"/>
      <c r="H434" s="24" t="n"/>
      <c r="I434" s="24" t="n"/>
    </row>
    <row r="435">
      <c r="G435" s="24" t="n"/>
      <c r="H435" s="24" t="n"/>
      <c r="I435" s="24" t="n"/>
    </row>
    <row r="436">
      <c r="G436" s="24" t="n"/>
      <c r="H436" s="24" t="n"/>
      <c r="I436" s="24" t="n"/>
    </row>
    <row r="437">
      <c r="G437" s="24" t="n"/>
      <c r="H437" s="24" t="n"/>
      <c r="I437" s="24" t="n"/>
    </row>
    <row r="438">
      <c r="G438" s="24" t="n"/>
      <c r="H438" s="24" t="n"/>
      <c r="I438" s="24" t="n"/>
    </row>
    <row r="439">
      <c r="G439" s="24" t="n"/>
      <c r="H439" s="24" t="n"/>
      <c r="I439" s="24" t="n"/>
    </row>
    <row r="440">
      <c r="G440" s="24" t="n"/>
      <c r="H440" s="24" t="n"/>
      <c r="I440" s="24" t="n"/>
    </row>
    <row r="441">
      <c r="G441" s="24" t="n"/>
      <c r="H441" s="24" t="n"/>
      <c r="I441" s="24" t="n"/>
    </row>
    <row r="442">
      <c r="G442" s="24" t="n"/>
      <c r="H442" s="24" t="n"/>
      <c r="I442" s="24" t="n"/>
    </row>
    <row r="443">
      <c r="G443" s="24" t="n"/>
      <c r="H443" s="24" t="n"/>
      <c r="I443" s="24" t="n"/>
    </row>
    <row r="444">
      <c r="G444" s="24" t="n"/>
      <c r="H444" s="24" t="n"/>
      <c r="I444" s="24" t="n"/>
    </row>
    <row r="445">
      <c r="G445" s="24" t="n"/>
      <c r="H445" s="24" t="n"/>
      <c r="I445" s="24" t="n"/>
    </row>
    <row r="446">
      <c r="G446" s="24" t="n"/>
      <c r="H446" s="24" t="n"/>
      <c r="I446" s="24" t="n"/>
    </row>
    <row r="447">
      <c r="G447" s="24" t="n"/>
      <c r="H447" s="24" t="n"/>
      <c r="I447" s="24" t="n"/>
    </row>
    <row r="448">
      <c r="G448" s="24" t="n"/>
      <c r="H448" s="24" t="n"/>
      <c r="I448" s="24" t="n"/>
    </row>
    <row r="449">
      <c r="G449" s="24" t="n"/>
      <c r="H449" s="24" t="n"/>
      <c r="I449" s="24" t="n"/>
    </row>
    <row r="450">
      <c r="G450" s="24" t="n"/>
      <c r="H450" s="24" t="n"/>
      <c r="I450" s="24" t="n"/>
    </row>
    <row r="451">
      <c r="G451" s="24" t="n"/>
      <c r="H451" s="24" t="n"/>
      <c r="I451" s="24" t="n"/>
    </row>
    <row r="452">
      <c r="G452" s="24" t="n"/>
      <c r="H452" s="24" t="n"/>
      <c r="I452" s="24" t="n"/>
    </row>
    <row r="453">
      <c r="G453" s="24" t="n"/>
      <c r="H453" s="24" t="n"/>
      <c r="I453" s="24" t="n"/>
    </row>
    <row r="454">
      <c r="G454" s="24" t="n"/>
      <c r="H454" s="24" t="n"/>
      <c r="I454" s="24" t="n"/>
    </row>
    <row r="455">
      <c r="G455" s="24" t="n"/>
      <c r="H455" s="24" t="n"/>
      <c r="I455" s="24" t="n"/>
    </row>
    <row r="456">
      <c r="G456" s="24" t="n"/>
      <c r="H456" s="24" t="n"/>
      <c r="I456" s="24" t="n"/>
    </row>
    <row r="457">
      <c r="G457" s="24" t="n"/>
      <c r="H457" s="24" t="n"/>
      <c r="I457" s="24" t="n"/>
    </row>
    <row r="458">
      <c r="G458" s="24" t="n"/>
      <c r="H458" s="24" t="n"/>
      <c r="I458" s="24" t="n"/>
    </row>
    <row r="459">
      <c r="G459" s="24" t="n"/>
      <c r="H459" s="24" t="n"/>
      <c r="I459" s="24" t="n"/>
    </row>
    <row r="460">
      <c r="G460" s="24" t="n"/>
      <c r="H460" s="24" t="n"/>
      <c r="I460" s="24" t="n"/>
    </row>
    <row r="461">
      <c r="G461" s="24" t="n"/>
      <c r="H461" s="24" t="n"/>
      <c r="I461" s="24" t="n"/>
    </row>
    <row r="462">
      <c r="G462" s="24" t="n"/>
      <c r="H462" s="24" t="n"/>
      <c r="I462" s="24" t="n"/>
    </row>
    <row r="463">
      <c r="G463" s="24" t="n"/>
      <c r="H463" s="24" t="n"/>
      <c r="I463" s="24" t="n"/>
    </row>
    <row r="464">
      <c r="G464" s="24" t="n"/>
      <c r="H464" s="24" t="n"/>
      <c r="I464" s="24" t="n"/>
    </row>
    <row r="465">
      <c r="G465" s="24" t="n"/>
      <c r="H465" s="24" t="n"/>
      <c r="I465" s="24" t="n"/>
    </row>
    <row r="466">
      <c r="G466" s="24" t="n"/>
      <c r="H466" s="24" t="n"/>
      <c r="I466" s="24" t="n"/>
    </row>
    <row r="467">
      <c r="G467" s="24" t="n"/>
      <c r="H467" s="24" t="n"/>
      <c r="I467" s="24" t="n"/>
    </row>
    <row r="468">
      <c r="G468" s="24" t="n"/>
      <c r="H468" s="24" t="n"/>
      <c r="I468" s="24" t="n"/>
    </row>
    <row r="469">
      <c r="G469" s="24" t="n"/>
      <c r="H469" s="24" t="n"/>
      <c r="I469" s="24" t="n"/>
    </row>
    <row r="470">
      <c r="G470" s="24" t="n"/>
      <c r="H470" s="24" t="n"/>
      <c r="I470" s="24" t="n"/>
    </row>
    <row r="471">
      <c r="G471" s="24" t="n"/>
      <c r="H471" s="24" t="n"/>
      <c r="I471" s="24" t="n"/>
    </row>
    <row r="472">
      <c r="G472" s="24" t="n"/>
      <c r="H472" s="24" t="n"/>
      <c r="I472" s="24" t="n"/>
    </row>
    <row r="473">
      <c r="G473" s="24" t="n"/>
      <c r="H473" s="24" t="n"/>
      <c r="I473" s="24" t="n"/>
    </row>
    <row r="474">
      <c r="G474" s="24" t="n"/>
      <c r="H474" s="24" t="n"/>
      <c r="I474" s="24" t="n"/>
    </row>
    <row r="475">
      <c r="G475" s="24" t="n"/>
      <c r="H475" s="24" t="n"/>
      <c r="I475" s="24" t="n"/>
    </row>
    <row r="476">
      <c r="G476" s="24" t="n"/>
      <c r="H476" s="24" t="n"/>
      <c r="I476" s="24" t="n"/>
    </row>
    <row r="477">
      <c r="G477" s="24" t="n"/>
      <c r="H477" s="24" t="n"/>
      <c r="I477" s="24" t="n"/>
    </row>
    <row r="478">
      <c r="G478" s="24" t="n"/>
      <c r="H478" s="24" t="n"/>
      <c r="I478" s="24" t="n"/>
    </row>
    <row r="479">
      <c r="G479" s="24" t="n"/>
      <c r="H479" s="24" t="n"/>
      <c r="I479" s="24" t="n"/>
    </row>
    <row r="480">
      <c r="G480" s="24" t="n"/>
      <c r="H480" s="24" t="n"/>
      <c r="I480" s="24" t="n"/>
    </row>
    <row r="481">
      <c r="G481" s="24" t="n"/>
      <c r="H481" s="24" t="n"/>
      <c r="I481" s="24" t="n"/>
    </row>
    <row r="482">
      <c r="G482" s="24" t="n"/>
      <c r="H482" s="24" t="n"/>
      <c r="I482" s="24" t="n"/>
    </row>
    <row r="483">
      <c r="G483" s="24" t="n"/>
      <c r="H483" s="24" t="n"/>
      <c r="I483" s="24" t="n"/>
    </row>
    <row r="484">
      <c r="G484" s="24" t="n"/>
      <c r="H484" s="24" t="n"/>
      <c r="I484" s="24" t="n"/>
    </row>
    <row r="485">
      <c r="G485" s="24" t="n"/>
      <c r="H485" s="24" t="n"/>
      <c r="I485" s="24" t="n"/>
    </row>
    <row r="486">
      <c r="G486" s="24" t="n"/>
      <c r="H486" s="24" t="n"/>
      <c r="I486" s="24" t="n"/>
    </row>
    <row r="487">
      <c r="G487" s="24" t="n"/>
      <c r="H487" s="24" t="n"/>
      <c r="I487" s="24" t="n"/>
    </row>
    <row r="488">
      <c r="G488" s="24" t="n"/>
      <c r="H488" s="24" t="n"/>
      <c r="I488" s="24" t="n"/>
    </row>
    <row r="489">
      <c r="G489" s="24" t="n"/>
      <c r="H489" s="24" t="n"/>
      <c r="I489" s="24" t="n"/>
    </row>
    <row r="490">
      <c r="G490" s="24" t="n"/>
      <c r="H490" s="24" t="n"/>
      <c r="I490" s="24" t="n"/>
    </row>
    <row r="491">
      <c r="G491" s="24" t="n"/>
      <c r="H491" s="24" t="n"/>
      <c r="I491" s="24" t="n"/>
    </row>
    <row r="492">
      <c r="G492" s="24" t="n"/>
      <c r="H492" s="24" t="n"/>
      <c r="I492" s="24" t="n"/>
    </row>
    <row r="493">
      <c r="G493" s="24" t="n"/>
      <c r="H493" s="24" t="n"/>
      <c r="I493" s="24" t="n"/>
    </row>
    <row r="494">
      <c r="G494" s="24" t="n"/>
      <c r="H494" s="24" t="n"/>
      <c r="I494" s="24" t="n"/>
    </row>
    <row r="495">
      <c r="G495" s="24" t="n"/>
      <c r="H495" s="24" t="n"/>
      <c r="I495" s="24" t="n"/>
    </row>
    <row r="496">
      <c r="G496" s="24" t="n"/>
      <c r="H496" s="24" t="n"/>
      <c r="I496" s="24" t="n"/>
    </row>
    <row r="497">
      <c r="G497" s="24" t="n"/>
      <c r="H497" s="24" t="n"/>
      <c r="I497" s="24" t="n"/>
    </row>
    <row r="498">
      <c r="G498" s="24" t="n"/>
      <c r="H498" s="24" t="n"/>
      <c r="I498" s="24" t="n"/>
    </row>
    <row r="499">
      <c r="G499" s="24" t="n"/>
      <c r="H499" s="24" t="n"/>
      <c r="I499" s="24" t="n"/>
    </row>
    <row r="500">
      <c r="G500" s="24" t="n"/>
      <c r="H500" s="24" t="n"/>
      <c r="I500" s="24" t="n"/>
    </row>
    <row r="501">
      <c r="G501" s="24" t="n"/>
      <c r="H501" s="24" t="n"/>
      <c r="I501" s="24" t="n"/>
    </row>
    <row r="502">
      <c r="G502" s="24" t="n"/>
      <c r="H502" s="24" t="n"/>
      <c r="I502" s="24" t="n"/>
    </row>
    <row r="503">
      <c r="G503" s="24" t="n"/>
      <c r="H503" s="24" t="n"/>
      <c r="I503" s="24" t="n"/>
    </row>
    <row r="504">
      <c r="G504" s="24" t="n"/>
      <c r="H504" s="24" t="n"/>
      <c r="I504" s="24" t="n"/>
    </row>
    <row r="505">
      <c r="G505" s="24" t="n"/>
      <c r="H505" s="24" t="n"/>
      <c r="I505" s="24" t="n"/>
    </row>
    <row r="506">
      <c r="G506" s="24" t="n"/>
      <c r="H506" s="24" t="n"/>
      <c r="I506" s="24" t="n"/>
    </row>
    <row r="507">
      <c r="G507" s="24" t="n"/>
      <c r="H507" s="24" t="n"/>
      <c r="I507" s="24" t="n"/>
    </row>
    <row r="508">
      <c r="G508" s="24" t="n"/>
      <c r="H508" s="24" t="n"/>
      <c r="I508" s="24" t="n"/>
    </row>
    <row r="509">
      <c r="G509" s="24" t="n"/>
      <c r="H509" s="24" t="n"/>
      <c r="I509" s="24" t="n"/>
    </row>
    <row r="510">
      <c r="G510" s="24" t="n"/>
      <c r="H510" s="24" t="n"/>
      <c r="I510" s="24" t="n"/>
    </row>
    <row r="511">
      <c r="G511" s="24" t="n"/>
      <c r="H511" s="24" t="n"/>
      <c r="I511" s="24" t="n"/>
    </row>
    <row r="512">
      <c r="G512" s="24" t="n"/>
      <c r="H512" s="24" t="n"/>
      <c r="I512" s="24" t="n"/>
    </row>
    <row r="513">
      <c r="G513" s="24" t="n"/>
      <c r="H513" s="24" t="n"/>
      <c r="I513" s="24" t="n"/>
    </row>
    <row r="514">
      <c r="G514" s="24" t="n"/>
      <c r="H514" s="24" t="n"/>
      <c r="I514" s="24" t="n"/>
    </row>
    <row r="515">
      <c r="G515" s="24" t="n"/>
      <c r="H515" s="24" t="n"/>
      <c r="I515" s="24" t="n"/>
    </row>
    <row r="516">
      <c r="G516" s="24" t="n"/>
      <c r="H516" s="24" t="n"/>
      <c r="I516" s="24" t="n"/>
    </row>
    <row r="517">
      <c r="G517" s="24" t="n"/>
      <c r="H517" s="24" t="n"/>
      <c r="I517" s="24" t="n"/>
    </row>
    <row r="518">
      <c r="G518" s="24" t="n"/>
      <c r="H518" s="24" t="n"/>
      <c r="I518" s="24" t="n"/>
    </row>
    <row r="519">
      <c r="G519" s="24" t="n"/>
      <c r="H519" s="24" t="n"/>
      <c r="I519" s="24" t="n"/>
    </row>
    <row r="520">
      <c r="G520" s="24" t="n"/>
      <c r="H520" s="24" t="n"/>
      <c r="I520" s="24" t="n"/>
    </row>
    <row r="521">
      <c r="G521" s="24" t="n"/>
      <c r="H521" s="24" t="n"/>
      <c r="I521" s="24" t="n"/>
    </row>
    <row r="522">
      <c r="G522" s="24" t="n"/>
      <c r="H522" s="24" t="n"/>
      <c r="I522" s="24" t="n"/>
    </row>
    <row r="523">
      <c r="G523" s="24" t="n"/>
      <c r="H523" s="24" t="n"/>
      <c r="I523" s="24" t="n"/>
    </row>
    <row r="524">
      <c r="G524" s="24" t="n"/>
      <c r="H524" s="24" t="n"/>
      <c r="I524" s="24" t="n"/>
    </row>
    <row r="525">
      <c r="G525" s="24" t="n"/>
      <c r="H525" s="24" t="n"/>
      <c r="I525" s="24" t="n"/>
    </row>
    <row r="526">
      <c r="G526" s="24" t="n"/>
      <c r="H526" s="24" t="n"/>
      <c r="I526" s="24" t="n"/>
    </row>
    <row r="527">
      <c r="G527" s="24" t="n"/>
      <c r="H527" s="24" t="n"/>
      <c r="I527" s="24" t="n"/>
    </row>
    <row r="528">
      <c r="G528" s="24" t="n"/>
      <c r="H528" s="24" t="n"/>
      <c r="I528" s="24" t="n"/>
    </row>
    <row r="529">
      <c r="G529" s="24" t="n"/>
      <c r="H529" s="24" t="n"/>
      <c r="I529" s="24" t="n"/>
    </row>
    <row r="530">
      <c r="G530" s="24" t="n"/>
      <c r="H530" s="24" t="n"/>
      <c r="I530" s="24" t="n"/>
    </row>
    <row r="531">
      <c r="G531" s="24" t="n"/>
      <c r="H531" s="24" t="n"/>
      <c r="I531" s="24" t="n"/>
    </row>
    <row r="532">
      <c r="G532" s="24" t="n"/>
      <c r="H532" s="24" t="n"/>
      <c r="I532" s="24" t="n"/>
    </row>
    <row r="533">
      <c r="G533" s="24" t="n"/>
      <c r="H533" s="24" t="n"/>
      <c r="I533" s="24" t="n"/>
    </row>
    <row r="534">
      <c r="G534" s="24" t="n"/>
      <c r="H534" s="24" t="n"/>
      <c r="I534" s="24" t="n"/>
    </row>
    <row r="535">
      <c r="G535" s="24" t="n"/>
      <c r="H535" s="24" t="n"/>
      <c r="I535" s="24" t="n"/>
    </row>
    <row r="536">
      <c r="G536" s="24" t="n"/>
      <c r="H536" s="24" t="n"/>
      <c r="I536" s="24" t="n"/>
    </row>
    <row r="537">
      <c r="G537" s="24" t="n"/>
      <c r="H537" s="24" t="n"/>
      <c r="I537" s="24" t="n"/>
    </row>
    <row r="538">
      <c r="G538" s="24" t="n"/>
      <c r="H538" s="24" t="n"/>
      <c r="I538" s="24" t="n"/>
    </row>
    <row r="539">
      <c r="G539" s="24" t="n"/>
      <c r="H539" s="24" t="n"/>
      <c r="I539" s="24" t="n"/>
    </row>
    <row r="540">
      <c r="G540" s="24" t="n"/>
      <c r="H540" s="24" t="n"/>
      <c r="I540" s="24" t="n"/>
    </row>
    <row r="541">
      <c r="G541" s="24" t="n"/>
      <c r="H541" s="24" t="n"/>
      <c r="I541" s="24" t="n"/>
    </row>
    <row r="542">
      <c r="G542" s="24" t="n"/>
      <c r="H542" s="24" t="n"/>
      <c r="I542" s="24" t="n"/>
    </row>
    <row r="543">
      <c r="G543" s="24" t="n"/>
      <c r="H543" s="24" t="n"/>
      <c r="I543" s="24" t="n"/>
    </row>
    <row r="544">
      <c r="G544" s="24" t="n"/>
      <c r="H544" s="24" t="n"/>
      <c r="I544" s="24" t="n"/>
    </row>
    <row r="545">
      <c r="G545" s="24" t="n"/>
      <c r="H545" s="24" t="n"/>
      <c r="I545" s="24" t="n"/>
    </row>
    <row r="546">
      <c r="G546" s="24" t="n"/>
      <c r="H546" s="24" t="n"/>
      <c r="I546" s="24" t="n"/>
    </row>
    <row r="547">
      <c r="G547" s="24" t="n"/>
      <c r="H547" s="24" t="n"/>
      <c r="I547" s="24" t="n"/>
    </row>
    <row r="548">
      <c r="G548" s="24" t="n"/>
      <c r="H548" s="24" t="n"/>
      <c r="I548" s="24" t="n"/>
    </row>
    <row r="549">
      <c r="G549" s="24" t="n"/>
      <c r="H549" s="24" t="n"/>
      <c r="I549" s="24" t="n"/>
    </row>
    <row r="550">
      <c r="G550" s="24" t="n"/>
      <c r="H550" s="24" t="n"/>
      <c r="I550" s="24" t="n"/>
    </row>
    <row r="551">
      <c r="G551" s="24" t="n"/>
      <c r="H551" s="24" t="n"/>
      <c r="I551" s="24" t="n"/>
    </row>
    <row r="552">
      <c r="G552" s="24" t="n"/>
      <c r="H552" s="24" t="n"/>
      <c r="I552" s="24" t="n"/>
    </row>
    <row r="553">
      <c r="G553" s="24" t="n"/>
      <c r="H553" s="24" t="n"/>
      <c r="I553" s="24" t="n"/>
    </row>
    <row r="554">
      <c r="G554" s="24" t="n"/>
      <c r="H554" s="24" t="n"/>
      <c r="I554" s="24" t="n"/>
    </row>
    <row r="555">
      <c r="G555" s="24" t="n"/>
      <c r="H555" s="24" t="n"/>
      <c r="I555" s="24" t="n"/>
    </row>
    <row r="556">
      <c r="G556" s="24" t="n"/>
      <c r="H556" s="24" t="n"/>
      <c r="I556" s="24" t="n"/>
    </row>
    <row r="557">
      <c r="G557" s="24" t="n"/>
      <c r="H557" s="24" t="n"/>
      <c r="I557" s="24" t="n"/>
    </row>
    <row r="558">
      <c r="G558" s="24" t="n"/>
      <c r="H558" s="24" t="n"/>
      <c r="I558" s="24" t="n"/>
    </row>
    <row r="559">
      <c r="G559" s="24" t="n"/>
      <c r="H559" s="24" t="n"/>
      <c r="I559" s="24" t="n"/>
    </row>
    <row r="560">
      <c r="G560" s="24" t="n"/>
      <c r="H560" s="24" t="n"/>
      <c r="I560" s="24" t="n"/>
    </row>
    <row r="561">
      <c r="G561" s="24" t="n"/>
      <c r="H561" s="24" t="n"/>
      <c r="I561" s="24" t="n"/>
    </row>
    <row r="562">
      <c r="G562" s="24" t="n"/>
      <c r="H562" s="24" t="n"/>
      <c r="I562" s="24" t="n"/>
    </row>
    <row r="563">
      <c r="G563" s="24" t="n"/>
      <c r="H563" s="24" t="n"/>
      <c r="I563" s="24" t="n"/>
    </row>
    <row r="564">
      <c r="G564" s="24" t="n"/>
      <c r="H564" s="24" t="n"/>
      <c r="I564" s="24" t="n"/>
    </row>
    <row r="565">
      <c r="G565" s="24" t="n"/>
      <c r="H565" s="24" t="n"/>
      <c r="I565" s="24" t="n"/>
    </row>
    <row r="566">
      <c r="G566" s="24" t="n"/>
      <c r="H566" s="24" t="n"/>
      <c r="I566" s="24" t="n"/>
    </row>
    <row r="567">
      <c r="G567" s="24" t="n"/>
      <c r="H567" s="24" t="n"/>
      <c r="I567" s="24" t="n"/>
    </row>
    <row r="568">
      <c r="G568" s="24" t="n"/>
      <c r="H568" s="24" t="n"/>
      <c r="I568" s="24" t="n"/>
    </row>
    <row r="569">
      <c r="G569" s="24" t="n"/>
      <c r="H569" s="24" t="n"/>
      <c r="I569" s="24" t="n"/>
    </row>
    <row r="570">
      <c r="G570" s="24" t="n"/>
      <c r="H570" s="24" t="n"/>
      <c r="I570" s="24" t="n"/>
    </row>
    <row r="571">
      <c r="G571" s="24" t="n"/>
      <c r="H571" s="24" t="n"/>
      <c r="I571" s="24" t="n"/>
    </row>
    <row r="572">
      <c r="G572" s="24" t="n"/>
      <c r="H572" s="24" t="n"/>
      <c r="I572" s="24" t="n"/>
    </row>
    <row r="573">
      <c r="G573" s="24" t="n"/>
      <c r="H573" s="24" t="n"/>
      <c r="I573" s="24" t="n"/>
    </row>
    <row r="574">
      <c r="G574" s="24" t="n"/>
      <c r="H574" s="24" t="n"/>
      <c r="I574" s="24" t="n"/>
    </row>
    <row r="575">
      <c r="G575" s="24" t="n"/>
      <c r="H575" s="24" t="n"/>
      <c r="I575" s="24" t="n"/>
    </row>
    <row r="576">
      <c r="G576" s="24" t="n"/>
      <c r="H576" s="24" t="n"/>
      <c r="I576" s="24" t="n"/>
    </row>
    <row r="577">
      <c r="G577" s="24" t="n"/>
      <c r="H577" s="24" t="n"/>
      <c r="I577" s="24" t="n"/>
    </row>
    <row r="578">
      <c r="G578" s="24" t="n"/>
      <c r="H578" s="24" t="n"/>
      <c r="I578" s="24" t="n"/>
    </row>
    <row r="579">
      <c r="G579" s="24" t="n"/>
      <c r="H579" s="24" t="n"/>
      <c r="I579" s="24" t="n"/>
    </row>
    <row r="580">
      <c r="G580" s="24" t="n"/>
      <c r="H580" s="24" t="n"/>
      <c r="I580" s="24" t="n"/>
    </row>
    <row r="581">
      <c r="G581" s="24" t="n"/>
      <c r="H581" s="24" t="n"/>
      <c r="I581" s="24" t="n"/>
    </row>
    <row r="582">
      <c r="G582" s="24" t="n"/>
      <c r="H582" s="24" t="n"/>
      <c r="I582" s="24" t="n"/>
    </row>
    <row r="583">
      <c r="G583" s="24" t="n"/>
      <c r="H583" s="24" t="n"/>
      <c r="I583" s="24" t="n"/>
    </row>
    <row r="584">
      <c r="G584" s="24" t="n"/>
      <c r="H584" s="24" t="n"/>
      <c r="I584" s="24" t="n"/>
    </row>
    <row r="585">
      <c r="G585" s="24" t="n"/>
      <c r="H585" s="24" t="n"/>
      <c r="I585" s="24" t="n"/>
    </row>
    <row r="586">
      <c r="G586" s="24" t="n"/>
      <c r="H586" s="24" t="n"/>
      <c r="I586" s="24" t="n"/>
    </row>
    <row r="587">
      <c r="G587" s="24" t="n"/>
      <c r="H587" s="24" t="n"/>
      <c r="I587" s="24" t="n"/>
    </row>
    <row r="588">
      <c r="G588" s="24" t="n"/>
      <c r="H588" s="24" t="n"/>
      <c r="I588" s="24" t="n"/>
    </row>
    <row r="589">
      <c r="G589" s="24" t="n"/>
      <c r="H589" s="24" t="n"/>
      <c r="I589" s="24" t="n"/>
    </row>
    <row r="590">
      <c r="G590" s="24" t="n"/>
      <c r="H590" s="24" t="n"/>
      <c r="I590" s="24" t="n"/>
    </row>
    <row r="591">
      <c r="G591" s="24" t="n"/>
      <c r="H591" s="24" t="n"/>
      <c r="I591" s="24" t="n"/>
    </row>
    <row r="592">
      <c r="G592" s="24" t="n"/>
      <c r="H592" s="24" t="n"/>
      <c r="I592" s="24" t="n"/>
    </row>
    <row r="593">
      <c r="G593" s="24" t="n"/>
      <c r="H593" s="24" t="n"/>
      <c r="I593" s="24" t="n"/>
    </row>
    <row r="594">
      <c r="G594" s="24" t="n"/>
      <c r="H594" s="24" t="n"/>
      <c r="I594" s="24" t="n"/>
    </row>
    <row r="595">
      <c r="G595" s="24" t="n"/>
      <c r="H595" s="24" t="n"/>
      <c r="I595" s="24" t="n"/>
    </row>
    <row r="596">
      <c r="G596" s="24" t="n"/>
      <c r="H596" s="24" t="n"/>
      <c r="I596" s="24" t="n"/>
    </row>
    <row r="597">
      <c r="G597" s="24" t="n"/>
      <c r="H597" s="24" t="n"/>
      <c r="I597" s="24" t="n"/>
    </row>
    <row r="598">
      <c r="G598" s="24" t="n"/>
      <c r="H598" s="24" t="n"/>
      <c r="I598" s="24" t="n"/>
    </row>
    <row r="599">
      <c r="G599" s="24" t="n"/>
      <c r="H599" s="24" t="n"/>
      <c r="I599" s="24" t="n"/>
    </row>
    <row r="600">
      <c r="G600" s="24" t="n"/>
      <c r="H600" s="24" t="n"/>
      <c r="I600" s="24" t="n"/>
    </row>
    <row r="601">
      <c r="G601" s="24" t="n"/>
      <c r="H601" s="24" t="n"/>
      <c r="I601" s="24" t="n"/>
    </row>
    <row r="602">
      <c r="G602" s="24" t="n"/>
      <c r="H602" s="24" t="n"/>
      <c r="I602" s="24" t="n"/>
    </row>
    <row r="603">
      <c r="G603" s="24" t="n"/>
      <c r="H603" s="24" t="n"/>
      <c r="I603" s="24" t="n"/>
    </row>
    <row r="604">
      <c r="G604" s="24" t="n"/>
      <c r="H604" s="24" t="n"/>
      <c r="I604" s="24" t="n"/>
    </row>
    <row r="605">
      <c r="G605" s="24" t="n"/>
      <c r="H605" s="24" t="n"/>
      <c r="I605" s="24" t="n"/>
    </row>
    <row r="606">
      <c r="G606" s="24" t="n"/>
      <c r="H606" s="24" t="n"/>
      <c r="I606" s="24" t="n"/>
    </row>
    <row r="607">
      <c r="G607" s="24" t="n"/>
      <c r="H607" s="24" t="n"/>
      <c r="I607" s="24" t="n"/>
    </row>
    <row r="608">
      <c r="G608" s="24" t="n"/>
      <c r="H608" s="24" t="n"/>
      <c r="I608" s="24" t="n"/>
    </row>
    <row r="609">
      <c r="G609" s="24" t="n"/>
      <c r="H609" s="24" t="n"/>
      <c r="I609" s="24" t="n"/>
    </row>
    <row r="610">
      <c r="G610" s="24" t="n"/>
      <c r="H610" s="24" t="n"/>
      <c r="I610" s="24" t="n"/>
    </row>
    <row r="611">
      <c r="G611" s="24" t="n"/>
      <c r="H611" s="24" t="n"/>
      <c r="I611" s="24" t="n"/>
    </row>
    <row r="612">
      <c r="G612" s="24" t="n"/>
      <c r="H612" s="24" t="n"/>
      <c r="I612" s="24" t="n"/>
    </row>
    <row r="613">
      <c r="G613" s="24" t="n"/>
      <c r="H613" s="24" t="n"/>
      <c r="I613" s="24" t="n"/>
    </row>
    <row r="614">
      <c r="G614" s="24" t="n"/>
      <c r="H614" s="24" t="n"/>
      <c r="I614" s="24" t="n"/>
    </row>
    <row r="615">
      <c r="G615" s="24" t="n"/>
      <c r="H615" s="24" t="n"/>
      <c r="I615" s="24" t="n"/>
    </row>
    <row r="616">
      <c r="G616" s="24" t="n"/>
      <c r="H616" s="24" t="n"/>
      <c r="I616" s="24" t="n"/>
    </row>
    <row r="617">
      <c r="G617" s="24" t="n"/>
      <c r="H617" s="24" t="n"/>
      <c r="I617" s="24" t="n"/>
    </row>
    <row r="618">
      <c r="G618" s="24" t="n"/>
      <c r="H618" s="24" t="n"/>
      <c r="I618" s="24" t="n"/>
    </row>
    <row r="619">
      <c r="G619" s="24" t="n"/>
      <c r="H619" s="24" t="n"/>
      <c r="I619" s="24" t="n"/>
    </row>
    <row r="620">
      <c r="G620" s="24" t="n"/>
      <c r="H620" s="24" t="n"/>
      <c r="I620" s="24" t="n"/>
    </row>
    <row r="621">
      <c r="G621" s="24" t="n"/>
      <c r="H621" s="24" t="n"/>
      <c r="I621" s="24" t="n"/>
    </row>
    <row r="622">
      <c r="G622" s="24" t="n"/>
      <c r="H622" s="24" t="n"/>
      <c r="I622" s="24" t="n"/>
    </row>
    <row r="623">
      <c r="G623" s="24" t="n"/>
      <c r="H623" s="24" t="n"/>
      <c r="I623" s="24" t="n"/>
    </row>
    <row r="624">
      <c r="G624" s="24" t="n"/>
      <c r="H624" s="24" t="n"/>
      <c r="I624" s="24" t="n"/>
    </row>
    <row r="625">
      <c r="G625" s="24" t="n"/>
      <c r="H625" s="24" t="n"/>
      <c r="I625" s="24" t="n"/>
    </row>
    <row r="626">
      <c r="G626" s="24" t="n"/>
      <c r="H626" s="24" t="n"/>
      <c r="I626" s="24" t="n"/>
    </row>
    <row r="627">
      <c r="G627" s="24" t="n"/>
      <c r="H627" s="24" t="n"/>
      <c r="I627" s="24" t="n"/>
    </row>
    <row r="628">
      <c r="G628" s="24" t="n"/>
      <c r="H628" s="24" t="n"/>
      <c r="I628" s="24" t="n"/>
    </row>
    <row r="629">
      <c r="G629" s="24" t="n"/>
      <c r="H629" s="24" t="n"/>
      <c r="I629" s="24" t="n"/>
    </row>
    <row r="630">
      <c r="G630" s="24" t="n"/>
      <c r="H630" s="24" t="n"/>
      <c r="I630" s="24" t="n"/>
    </row>
    <row r="631">
      <c r="G631" s="24" t="n"/>
      <c r="H631" s="24" t="n"/>
      <c r="I631" s="24" t="n"/>
    </row>
    <row r="632">
      <c r="G632" s="24" t="n"/>
      <c r="H632" s="24" t="n"/>
      <c r="I632" s="24" t="n"/>
    </row>
    <row r="633">
      <c r="G633" s="24" t="n"/>
      <c r="H633" s="24" t="n"/>
      <c r="I633" s="24" t="n"/>
    </row>
    <row r="634">
      <c r="G634" s="24" t="n"/>
      <c r="H634" s="24" t="n"/>
      <c r="I634" s="24" t="n"/>
    </row>
    <row r="635">
      <c r="G635" s="24" t="n"/>
      <c r="H635" s="24" t="n"/>
      <c r="I635" s="24" t="n"/>
    </row>
    <row r="636">
      <c r="G636" s="24" t="n"/>
      <c r="H636" s="24" t="n"/>
      <c r="I636" s="24" t="n"/>
    </row>
    <row r="637">
      <c r="G637" s="24" t="n"/>
      <c r="H637" s="24" t="n"/>
      <c r="I637" s="24" t="n"/>
    </row>
    <row r="638">
      <c r="G638" s="24" t="n"/>
      <c r="H638" s="24" t="n"/>
      <c r="I638" s="24" t="n"/>
    </row>
    <row r="639">
      <c r="G639" s="24" t="n"/>
      <c r="H639" s="24" t="n"/>
      <c r="I639" s="24" t="n"/>
    </row>
    <row r="640">
      <c r="G640" s="24" t="n"/>
      <c r="H640" s="24" t="n"/>
      <c r="I640" s="24" t="n"/>
    </row>
    <row r="641">
      <c r="G641" s="24" t="n"/>
      <c r="H641" s="24" t="n"/>
      <c r="I641" s="24" t="n"/>
    </row>
    <row r="642">
      <c r="G642" s="24" t="n"/>
      <c r="H642" s="24" t="n"/>
      <c r="I642" s="24" t="n"/>
    </row>
    <row r="643">
      <c r="G643" s="24" t="n"/>
      <c r="H643" s="24" t="n"/>
      <c r="I643" s="24" t="n"/>
    </row>
    <row r="644">
      <c r="G644" s="24" t="n"/>
      <c r="H644" s="24" t="n"/>
      <c r="I644" s="24" t="n"/>
    </row>
    <row r="645">
      <c r="G645" s="24" t="n"/>
      <c r="H645" s="24" t="n"/>
      <c r="I645" s="24" t="n"/>
    </row>
    <row r="646">
      <c r="G646" s="24" t="n"/>
      <c r="H646" s="24" t="n"/>
      <c r="I646" s="24" t="n"/>
    </row>
    <row r="647">
      <c r="G647" s="24" t="n"/>
      <c r="H647" s="24" t="n"/>
      <c r="I647" s="24" t="n"/>
    </row>
    <row r="648">
      <c r="G648" s="24" t="n"/>
      <c r="H648" s="24" t="n"/>
      <c r="I648" s="24" t="n"/>
    </row>
    <row r="649">
      <c r="G649" s="24" t="n"/>
      <c r="H649" s="24" t="n"/>
      <c r="I649" s="24" t="n"/>
    </row>
    <row r="650">
      <c r="G650" s="24" t="n"/>
      <c r="H650" s="24" t="n"/>
      <c r="I650" s="24" t="n"/>
    </row>
    <row r="651">
      <c r="G651" s="24" t="n"/>
      <c r="H651" s="24" t="n"/>
      <c r="I651" s="24" t="n"/>
    </row>
    <row r="652">
      <c r="G652" s="24" t="n"/>
      <c r="H652" s="24" t="n"/>
      <c r="I652" s="24" t="n"/>
    </row>
    <row r="653">
      <c r="G653" s="24" t="n"/>
      <c r="H653" s="24" t="n"/>
      <c r="I653" s="24" t="n"/>
    </row>
    <row r="654">
      <c r="G654" s="24" t="n"/>
      <c r="H654" s="24" t="n"/>
      <c r="I654" s="24" t="n"/>
    </row>
    <row r="655">
      <c r="G655" s="24" t="n"/>
      <c r="H655" s="24" t="n"/>
      <c r="I655" s="24" t="n"/>
    </row>
    <row r="656">
      <c r="G656" s="24" t="n"/>
      <c r="H656" s="24" t="n"/>
      <c r="I656" s="24" t="n"/>
    </row>
    <row r="657">
      <c r="G657" s="24" t="n"/>
      <c r="H657" s="24" t="n"/>
      <c r="I657" s="24" t="n"/>
    </row>
    <row r="658">
      <c r="G658" s="24" t="n"/>
      <c r="H658" s="24" t="n"/>
      <c r="I658" s="24" t="n"/>
    </row>
    <row r="659">
      <c r="G659" s="24" t="n"/>
      <c r="H659" s="24" t="n"/>
      <c r="I659" s="24" t="n"/>
    </row>
    <row r="660">
      <c r="G660" s="24" t="n"/>
      <c r="H660" s="24" t="n"/>
      <c r="I660" s="24" t="n"/>
    </row>
    <row r="661">
      <c r="G661" s="24" t="n"/>
      <c r="H661" s="24" t="n"/>
      <c r="I661" s="24" t="n"/>
    </row>
    <row r="662">
      <c r="G662" s="24" t="n"/>
      <c r="H662" s="24" t="n"/>
      <c r="I662" s="24" t="n"/>
    </row>
    <row r="663">
      <c r="G663" s="24" t="n"/>
      <c r="H663" s="24" t="n"/>
      <c r="I663" s="24" t="n"/>
    </row>
    <row r="664">
      <c r="G664" s="24" t="n"/>
      <c r="H664" s="24" t="n"/>
      <c r="I664" s="24" t="n"/>
    </row>
    <row r="665">
      <c r="G665" s="24" t="n"/>
      <c r="H665" s="24" t="n"/>
      <c r="I665" s="24" t="n"/>
    </row>
    <row r="666">
      <c r="G666" s="24" t="n"/>
      <c r="H666" s="24" t="n"/>
      <c r="I666" s="24" t="n"/>
    </row>
    <row r="667">
      <c r="G667" s="24" t="n"/>
      <c r="H667" s="24" t="n"/>
      <c r="I667" s="24" t="n"/>
    </row>
    <row r="668">
      <c r="G668" s="24" t="n"/>
      <c r="H668" s="24" t="n"/>
      <c r="I668" s="24" t="n"/>
    </row>
    <row r="669">
      <c r="G669" s="24" t="n"/>
      <c r="H669" s="24" t="n"/>
      <c r="I669" s="24" t="n"/>
    </row>
    <row r="670">
      <c r="G670" s="24" t="n"/>
      <c r="H670" s="24" t="n"/>
      <c r="I670" s="24" t="n"/>
    </row>
    <row r="671">
      <c r="G671" s="24" t="n"/>
      <c r="H671" s="24" t="n"/>
      <c r="I671" s="24" t="n"/>
    </row>
    <row r="672">
      <c r="G672" s="24" t="n"/>
      <c r="H672" s="24" t="n"/>
      <c r="I672" s="24" t="n"/>
    </row>
    <row r="673">
      <c r="G673" s="24" t="n"/>
      <c r="H673" s="24" t="n"/>
      <c r="I673" s="24" t="n"/>
    </row>
    <row r="674">
      <c r="G674" s="24" t="n"/>
      <c r="H674" s="24" t="n"/>
      <c r="I674" s="24" t="n"/>
    </row>
    <row r="675">
      <c r="G675" s="24" t="n"/>
      <c r="H675" s="24" t="n"/>
      <c r="I675" s="24" t="n"/>
    </row>
    <row r="676">
      <c r="G676" s="24" t="n"/>
      <c r="H676" s="24" t="n"/>
      <c r="I676" s="24" t="n"/>
    </row>
    <row r="677">
      <c r="G677" s="24" t="n"/>
      <c r="H677" s="24" t="n"/>
      <c r="I677" s="24" t="n"/>
    </row>
    <row r="678">
      <c r="G678" s="24" t="n"/>
      <c r="H678" s="24" t="n"/>
      <c r="I678" s="24" t="n"/>
    </row>
    <row r="679">
      <c r="G679" s="24" t="n"/>
      <c r="H679" s="24" t="n"/>
      <c r="I679" s="24" t="n"/>
    </row>
    <row r="680">
      <c r="G680" s="24" t="n"/>
      <c r="H680" s="24" t="n"/>
      <c r="I680" s="24" t="n"/>
    </row>
    <row r="681">
      <c r="G681" s="24" t="n"/>
      <c r="H681" s="24" t="n"/>
      <c r="I681" s="24" t="n"/>
    </row>
    <row r="682">
      <c r="G682" s="24" t="n"/>
      <c r="H682" s="24" t="n"/>
      <c r="I682" s="24" t="n"/>
    </row>
    <row r="683">
      <c r="G683" s="24" t="n"/>
      <c r="H683" s="24" t="n"/>
      <c r="I683" s="24" t="n"/>
    </row>
    <row r="684">
      <c r="G684" s="24" t="n"/>
      <c r="H684" s="24" t="n"/>
      <c r="I684" s="24" t="n"/>
    </row>
    <row r="685">
      <c r="G685" s="24" t="n"/>
      <c r="H685" s="24" t="n"/>
      <c r="I685" s="24" t="n"/>
    </row>
    <row r="686">
      <c r="G686" s="24" t="n"/>
      <c r="H686" s="24" t="n"/>
      <c r="I686" s="24" t="n"/>
    </row>
    <row r="687">
      <c r="G687" s="24" t="n"/>
      <c r="H687" s="24" t="n"/>
      <c r="I687" s="24" t="n"/>
    </row>
    <row r="688">
      <c r="G688" s="24" t="n"/>
      <c r="H688" s="24" t="n"/>
      <c r="I688" s="24" t="n"/>
    </row>
    <row r="689">
      <c r="G689" s="24" t="n"/>
      <c r="H689" s="24" t="n"/>
      <c r="I689" s="24" t="n"/>
    </row>
    <row r="690">
      <c r="G690" s="24" t="n"/>
      <c r="H690" s="24" t="n"/>
      <c r="I690" s="24" t="n"/>
    </row>
    <row r="691">
      <c r="G691" s="24" t="n"/>
      <c r="H691" s="24" t="n"/>
      <c r="I691" s="24" t="n"/>
    </row>
    <row r="692">
      <c r="G692" s="24" t="n"/>
      <c r="H692" s="24" t="n"/>
      <c r="I692" s="24" t="n"/>
    </row>
    <row r="693">
      <c r="G693" s="24" t="n"/>
      <c r="H693" s="24" t="n"/>
      <c r="I693" s="24" t="n"/>
    </row>
    <row r="694">
      <c r="G694" s="24" t="n"/>
      <c r="H694" s="24" t="n"/>
      <c r="I694" s="24" t="n"/>
    </row>
    <row r="695">
      <c r="G695" s="24" t="n"/>
      <c r="H695" s="24" t="n"/>
      <c r="I695" s="24" t="n"/>
    </row>
    <row r="696">
      <c r="G696" s="24" t="n"/>
      <c r="H696" s="24" t="n"/>
      <c r="I696" s="24" t="n"/>
    </row>
    <row r="697">
      <c r="G697" s="24" t="n"/>
      <c r="H697" s="24" t="n"/>
      <c r="I697" s="24" t="n"/>
    </row>
    <row r="698">
      <c r="G698" s="24" t="n"/>
      <c r="H698" s="24" t="n"/>
      <c r="I698" s="24" t="n"/>
    </row>
    <row r="699">
      <c r="G699" s="24" t="n"/>
      <c r="H699" s="24" t="n"/>
      <c r="I699" s="24" t="n"/>
    </row>
    <row r="700">
      <c r="G700" s="24" t="n"/>
      <c r="H700" s="24" t="n"/>
      <c r="I700" s="24" t="n"/>
    </row>
    <row r="701">
      <c r="G701" s="24" t="n"/>
      <c r="H701" s="24" t="n"/>
      <c r="I701" s="24" t="n"/>
    </row>
    <row r="702">
      <c r="G702" s="24" t="n"/>
      <c r="H702" s="24" t="n"/>
      <c r="I702" s="24" t="n"/>
    </row>
    <row r="703">
      <c r="G703" s="24" t="n"/>
      <c r="H703" s="24" t="n"/>
      <c r="I703" s="24" t="n"/>
    </row>
    <row r="704">
      <c r="G704" s="24" t="n"/>
      <c r="H704" s="24" t="n"/>
      <c r="I704" s="24" t="n"/>
    </row>
    <row r="705">
      <c r="G705" s="24" t="n"/>
      <c r="H705" s="24" t="n"/>
      <c r="I705" s="24" t="n"/>
    </row>
    <row r="706">
      <c r="G706" s="24" t="n"/>
      <c r="H706" s="24" t="n"/>
      <c r="I706" s="24" t="n"/>
    </row>
    <row r="707">
      <c r="G707" s="24" t="n"/>
      <c r="H707" s="24" t="n"/>
      <c r="I707" s="24" t="n"/>
    </row>
    <row r="708">
      <c r="G708" s="24" t="n"/>
      <c r="H708" s="24" t="n"/>
      <c r="I708" s="24" t="n"/>
    </row>
    <row r="709">
      <c r="G709" s="24" t="n"/>
      <c r="H709" s="24" t="n"/>
      <c r="I709" s="24" t="n"/>
    </row>
    <row r="710">
      <c r="G710" s="24" t="n"/>
      <c r="H710" s="24" t="n"/>
      <c r="I710" s="24" t="n"/>
    </row>
    <row r="711">
      <c r="G711" s="24" t="n"/>
      <c r="H711" s="24" t="n"/>
      <c r="I711" s="24" t="n"/>
    </row>
    <row r="712">
      <c r="G712" s="24" t="n"/>
      <c r="H712" s="24" t="n"/>
      <c r="I712" s="24" t="n"/>
    </row>
    <row r="713">
      <c r="G713" s="24" t="n"/>
      <c r="H713" s="24" t="n"/>
      <c r="I713" s="24" t="n"/>
    </row>
    <row r="714">
      <c r="G714" s="24" t="n"/>
      <c r="H714" s="24" t="n"/>
      <c r="I714" s="24" t="n"/>
    </row>
    <row r="715">
      <c r="G715" s="24" t="n"/>
      <c r="H715" s="24" t="n"/>
      <c r="I715" s="24" t="n"/>
    </row>
    <row r="716">
      <c r="G716" s="24" t="n"/>
      <c r="H716" s="24" t="n"/>
      <c r="I716" s="24" t="n"/>
    </row>
    <row r="717">
      <c r="G717" s="24" t="n"/>
      <c r="H717" s="24" t="n"/>
      <c r="I717" s="24" t="n"/>
    </row>
    <row r="718">
      <c r="G718" s="24" t="n"/>
      <c r="H718" s="24" t="n"/>
      <c r="I718" s="24" t="n"/>
    </row>
    <row r="719">
      <c r="G719" s="24" t="n"/>
      <c r="H719" s="24" t="n"/>
      <c r="I719" s="24" t="n"/>
    </row>
    <row r="720">
      <c r="G720" s="24" t="n"/>
      <c r="H720" s="24" t="n"/>
      <c r="I720" s="24" t="n"/>
    </row>
    <row r="721">
      <c r="G721" s="24" t="n"/>
      <c r="H721" s="24" t="n"/>
      <c r="I721" s="24" t="n"/>
    </row>
    <row r="722">
      <c r="G722" s="24" t="n"/>
      <c r="H722" s="24" t="n"/>
      <c r="I722" s="24" t="n"/>
    </row>
    <row r="723">
      <c r="G723" s="24" t="n"/>
      <c r="H723" s="24" t="n"/>
      <c r="I723" s="24" t="n"/>
    </row>
    <row r="724">
      <c r="G724" s="24" t="n"/>
      <c r="H724" s="24" t="n"/>
      <c r="I724" s="24" t="n"/>
    </row>
    <row r="725">
      <c r="G725" s="24" t="n"/>
      <c r="H725" s="24" t="n"/>
      <c r="I725" s="24" t="n"/>
    </row>
    <row r="726">
      <c r="G726" s="24" t="n"/>
      <c r="H726" s="24" t="n"/>
      <c r="I726" s="24" t="n"/>
    </row>
    <row r="727">
      <c r="G727" s="24" t="n"/>
      <c r="H727" s="24" t="n"/>
      <c r="I727" s="24" t="n"/>
    </row>
    <row r="728">
      <c r="G728" s="24" t="n"/>
      <c r="H728" s="24" t="n"/>
      <c r="I728" s="24" t="n"/>
    </row>
    <row r="729">
      <c r="G729" s="24" t="n"/>
      <c r="H729" s="24" t="n"/>
      <c r="I729" s="24" t="n"/>
    </row>
    <row r="730">
      <c r="G730" s="24" t="n"/>
      <c r="H730" s="24" t="n"/>
      <c r="I730" s="24" t="n"/>
    </row>
    <row r="731">
      <c r="G731" s="24" t="n"/>
      <c r="H731" s="24" t="n"/>
      <c r="I731" s="24" t="n"/>
    </row>
    <row r="732">
      <c r="G732" s="24" t="n"/>
      <c r="H732" s="24" t="n"/>
      <c r="I732" s="24" t="n"/>
    </row>
    <row r="733">
      <c r="G733" s="24" t="n"/>
      <c r="H733" s="24" t="n"/>
      <c r="I733" s="24" t="n"/>
    </row>
    <row r="734">
      <c r="G734" s="24" t="n"/>
      <c r="H734" s="24" t="n"/>
      <c r="I734" s="24" t="n"/>
    </row>
    <row r="735">
      <c r="G735" s="24" t="n"/>
      <c r="H735" s="24" t="n"/>
      <c r="I735" s="24" t="n"/>
    </row>
    <row r="736">
      <c r="G736" s="24" t="n"/>
      <c r="H736" s="24" t="n"/>
      <c r="I736" s="24" t="n"/>
    </row>
    <row r="737">
      <c r="G737" s="24" t="n"/>
      <c r="H737" s="24" t="n"/>
      <c r="I737" s="24" t="n"/>
    </row>
    <row r="738">
      <c r="G738" s="24" t="n"/>
      <c r="H738" s="24" t="n"/>
      <c r="I738" s="24" t="n"/>
    </row>
    <row r="739">
      <c r="G739" s="24" t="n"/>
      <c r="H739" s="24" t="n"/>
      <c r="I739" s="24" t="n"/>
    </row>
    <row r="740">
      <c r="G740" s="24" t="n"/>
      <c r="H740" s="24" t="n"/>
      <c r="I740" s="24" t="n"/>
    </row>
    <row r="741">
      <c r="G741" s="24" t="n"/>
      <c r="H741" s="24" t="n"/>
      <c r="I741" s="24" t="n"/>
    </row>
    <row r="742">
      <c r="G742" s="24" t="n"/>
      <c r="H742" s="24" t="n"/>
      <c r="I742" s="24" t="n"/>
    </row>
    <row r="743">
      <c r="G743" s="24" t="n"/>
      <c r="H743" s="24" t="n"/>
      <c r="I743" s="24" t="n"/>
    </row>
    <row r="744">
      <c r="G744" s="24" t="n"/>
      <c r="H744" s="24" t="n"/>
      <c r="I744" s="24" t="n"/>
    </row>
    <row r="745">
      <c r="G745" s="24" t="n"/>
      <c r="H745" s="24" t="n"/>
      <c r="I745" s="24" t="n"/>
    </row>
    <row r="746">
      <c r="G746" s="24" t="n"/>
      <c r="H746" s="24" t="n"/>
      <c r="I746" s="24" t="n"/>
    </row>
    <row r="747">
      <c r="G747" s="24" t="n"/>
      <c r="H747" s="24" t="n"/>
      <c r="I747" s="24" t="n"/>
    </row>
    <row r="748">
      <c r="G748" s="24" t="n"/>
      <c r="H748" s="24" t="n"/>
      <c r="I748" s="24" t="n"/>
    </row>
    <row r="749">
      <c r="G749" s="24" t="n"/>
      <c r="H749" s="24" t="n"/>
      <c r="I749" s="24" t="n"/>
    </row>
    <row r="750">
      <c r="G750" s="24" t="n"/>
      <c r="H750" s="24" t="n"/>
      <c r="I750" s="24" t="n"/>
    </row>
    <row r="751">
      <c r="G751" s="24" t="n"/>
      <c r="H751" s="24" t="n"/>
      <c r="I751" s="24" t="n"/>
    </row>
    <row r="752">
      <c r="G752" s="24" t="n"/>
      <c r="H752" s="24" t="n"/>
      <c r="I752" s="24" t="n"/>
    </row>
    <row r="753">
      <c r="G753" s="24" t="n"/>
      <c r="H753" s="24" t="n"/>
      <c r="I753" s="24" t="n"/>
    </row>
    <row r="754">
      <c r="G754" s="24" t="n"/>
      <c r="H754" s="24" t="n"/>
      <c r="I754" s="24" t="n"/>
    </row>
    <row r="755">
      <c r="G755" s="24" t="n"/>
      <c r="H755" s="24" t="n"/>
      <c r="I755" s="24" t="n"/>
    </row>
    <row r="756">
      <c r="G756" s="24" t="n"/>
      <c r="H756" s="24" t="n"/>
      <c r="I756" s="24" t="n"/>
    </row>
    <row r="757">
      <c r="G757" s="24" t="n"/>
      <c r="H757" s="24" t="n"/>
      <c r="I757" s="24" t="n"/>
    </row>
    <row r="758">
      <c r="G758" s="24" t="n"/>
      <c r="H758" s="24" t="n"/>
      <c r="I758" s="24" t="n"/>
    </row>
    <row r="759">
      <c r="G759" s="24" t="n"/>
      <c r="H759" s="24" t="n"/>
      <c r="I759" s="24" t="n"/>
    </row>
    <row r="760">
      <c r="G760" s="24" t="n"/>
      <c r="H760" s="24" t="n"/>
      <c r="I760" s="24" t="n"/>
    </row>
    <row r="761">
      <c r="G761" s="24" t="n"/>
      <c r="H761" s="24" t="n"/>
      <c r="I761" s="24" t="n"/>
    </row>
    <row r="762">
      <c r="G762" s="24" t="n"/>
      <c r="H762" s="24" t="n"/>
      <c r="I762" s="24" t="n"/>
    </row>
    <row r="763">
      <c r="G763" s="24" t="n"/>
      <c r="H763" s="24" t="n"/>
      <c r="I763" s="24" t="n"/>
    </row>
    <row r="764">
      <c r="G764" s="24" t="n"/>
      <c r="H764" s="24" t="n"/>
      <c r="I764" s="24" t="n"/>
    </row>
    <row r="765">
      <c r="G765" s="24" t="n"/>
      <c r="H765" s="24" t="n"/>
      <c r="I765" s="24" t="n"/>
    </row>
    <row r="766">
      <c r="G766" s="24" t="n"/>
      <c r="H766" s="24" t="n"/>
      <c r="I766" s="24" t="n"/>
    </row>
    <row r="767">
      <c r="G767" s="24" t="n"/>
      <c r="H767" s="24" t="n"/>
      <c r="I767" s="24" t="n"/>
    </row>
    <row r="768">
      <c r="G768" s="24" t="n"/>
      <c r="H768" s="24" t="n"/>
      <c r="I768" s="24" t="n"/>
    </row>
    <row r="769">
      <c r="G769" s="24" t="n"/>
      <c r="H769" s="24" t="n"/>
      <c r="I769" s="24" t="n"/>
    </row>
    <row r="770">
      <c r="G770" s="24" t="n"/>
      <c r="H770" s="24" t="n"/>
      <c r="I770" s="24" t="n"/>
    </row>
    <row r="771">
      <c r="G771" s="24" t="n"/>
      <c r="H771" s="24" t="n"/>
      <c r="I771" s="24" t="n"/>
    </row>
    <row r="772">
      <c r="G772" s="24" t="n"/>
      <c r="H772" s="24" t="n"/>
      <c r="I772" s="24" t="n"/>
    </row>
    <row r="773">
      <c r="G773" s="24" t="n"/>
      <c r="H773" s="24" t="n"/>
      <c r="I773" s="24" t="n"/>
    </row>
    <row r="774">
      <c r="G774" s="24" t="n"/>
      <c r="H774" s="24" t="n"/>
      <c r="I774" s="24" t="n"/>
    </row>
    <row r="775">
      <c r="G775" s="24" t="n"/>
      <c r="H775" s="24" t="n"/>
      <c r="I775" s="24" t="n"/>
    </row>
    <row r="776">
      <c r="G776" s="24" t="n"/>
      <c r="H776" s="24" t="n"/>
      <c r="I776" s="24" t="n"/>
    </row>
    <row r="777">
      <c r="G777" s="24" t="n"/>
      <c r="H777" s="24" t="n"/>
      <c r="I777" s="24" t="n"/>
    </row>
    <row r="778">
      <c r="G778" s="24" t="n"/>
      <c r="H778" s="24" t="n"/>
      <c r="I778" s="24" t="n"/>
    </row>
    <row r="779">
      <c r="G779" s="24" t="n"/>
      <c r="H779" s="24" t="n"/>
      <c r="I779" s="24" t="n"/>
    </row>
    <row r="780">
      <c r="G780" s="24" t="n"/>
      <c r="H780" s="24" t="n"/>
      <c r="I780" s="24" t="n"/>
    </row>
    <row r="781">
      <c r="G781" s="24" t="n"/>
      <c r="H781" s="24" t="n"/>
      <c r="I781" s="24" t="n"/>
    </row>
    <row r="782">
      <c r="G782" s="24" t="n"/>
      <c r="H782" s="24" t="n"/>
      <c r="I782" s="24" t="n"/>
    </row>
    <row r="783">
      <c r="G783" s="24" t="n"/>
      <c r="H783" s="24" t="n"/>
      <c r="I783" s="24" t="n"/>
    </row>
    <row r="784">
      <c r="G784" s="24" t="n"/>
      <c r="H784" s="24" t="n"/>
      <c r="I784" s="24" t="n"/>
    </row>
    <row r="785">
      <c r="G785" s="24" t="n"/>
      <c r="H785" s="24" t="n"/>
      <c r="I785" s="24" t="n"/>
    </row>
    <row r="786">
      <c r="G786" s="24" t="n"/>
      <c r="H786" s="24" t="n"/>
      <c r="I786" s="24" t="n"/>
    </row>
    <row r="787">
      <c r="G787" s="24" t="n"/>
      <c r="H787" s="24" t="n"/>
      <c r="I787" s="24" t="n"/>
    </row>
    <row r="788">
      <c r="G788" s="24" t="n"/>
      <c r="H788" s="24" t="n"/>
      <c r="I788" s="24" t="n"/>
    </row>
    <row r="789">
      <c r="G789" s="24" t="n"/>
      <c r="H789" s="24" t="n"/>
      <c r="I789" s="24" t="n"/>
    </row>
    <row r="790">
      <c r="G790" s="24" t="n"/>
      <c r="H790" s="24" t="n"/>
      <c r="I790" s="24" t="n"/>
    </row>
    <row r="791">
      <c r="G791" s="24" t="n"/>
      <c r="H791" s="24" t="n"/>
      <c r="I791" s="24" t="n"/>
    </row>
    <row r="792">
      <c r="G792" s="24" t="n"/>
      <c r="H792" s="24" t="n"/>
      <c r="I792" s="24" t="n"/>
    </row>
    <row r="793">
      <c r="G793" s="24" t="n"/>
      <c r="H793" s="24" t="n"/>
      <c r="I793" s="24" t="n"/>
    </row>
    <row r="794">
      <c r="G794" s="24" t="n"/>
      <c r="H794" s="24" t="n"/>
      <c r="I794" s="24" t="n"/>
    </row>
    <row r="795">
      <c r="G795" s="24" t="n"/>
      <c r="H795" s="24" t="n"/>
      <c r="I795" s="24" t="n"/>
    </row>
    <row r="796">
      <c r="G796" s="24" t="n"/>
      <c r="H796" s="24" t="n"/>
      <c r="I796" s="24" t="n"/>
    </row>
    <row r="797">
      <c r="G797" s="24" t="n"/>
      <c r="H797" s="24" t="n"/>
      <c r="I797" s="24" t="n"/>
    </row>
    <row r="798">
      <c r="G798" s="24" t="n"/>
      <c r="H798" s="24" t="n"/>
      <c r="I798" s="24" t="n"/>
    </row>
    <row r="799">
      <c r="G799" s="24" t="n"/>
      <c r="H799" s="24" t="n"/>
      <c r="I799" s="24" t="n"/>
    </row>
    <row r="800">
      <c r="G800" s="24" t="n"/>
      <c r="H800" s="24" t="n"/>
      <c r="I800" s="24" t="n"/>
    </row>
    <row r="801">
      <c r="G801" s="24" t="n"/>
      <c r="H801" s="24" t="n"/>
      <c r="I801" s="24" t="n"/>
    </row>
    <row r="802">
      <c r="G802" s="24" t="n"/>
      <c r="H802" s="24" t="n"/>
      <c r="I802" s="24" t="n"/>
    </row>
    <row r="803">
      <c r="G803" s="24" t="n"/>
      <c r="H803" s="24" t="n"/>
      <c r="I803" s="24" t="n"/>
    </row>
    <row r="804">
      <c r="G804" s="24" t="n"/>
      <c r="H804" s="24" t="n"/>
      <c r="I804" s="24" t="n"/>
    </row>
    <row r="805">
      <c r="G805" s="24" t="n"/>
      <c r="H805" s="24" t="n"/>
      <c r="I805" s="24" t="n"/>
    </row>
    <row r="806">
      <c r="G806" s="24" t="n"/>
      <c r="H806" s="24" t="n"/>
      <c r="I806" s="24" t="n"/>
    </row>
    <row r="807">
      <c r="G807" s="24" t="n"/>
      <c r="H807" s="24" t="n"/>
      <c r="I807" s="24" t="n"/>
    </row>
    <row r="808">
      <c r="G808" s="24" t="n"/>
      <c r="H808" s="24" t="n"/>
      <c r="I808" s="24" t="n"/>
    </row>
    <row r="809">
      <c r="G809" s="24" t="n"/>
      <c r="H809" s="24" t="n"/>
      <c r="I809" s="24" t="n"/>
    </row>
    <row r="810">
      <c r="G810" s="24" t="n"/>
      <c r="H810" s="24" t="n"/>
      <c r="I810" s="24" t="n"/>
    </row>
    <row r="811">
      <c r="G811" s="24" t="n"/>
      <c r="H811" s="24" t="n"/>
      <c r="I811" s="24" t="n"/>
    </row>
    <row r="812">
      <c r="G812" s="24" t="n"/>
      <c r="H812" s="24" t="n"/>
      <c r="I812" s="24" t="n"/>
    </row>
    <row r="813">
      <c r="G813" s="24" t="n"/>
      <c r="H813" s="24" t="n"/>
      <c r="I813" s="24" t="n"/>
    </row>
    <row r="814">
      <c r="G814" s="24" t="n"/>
      <c r="H814" s="24" t="n"/>
      <c r="I814" s="24" t="n"/>
    </row>
    <row r="815">
      <c r="G815" s="24" t="n"/>
      <c r="H815" s="24" t="n"/>
      <c r="I815" s="24" t="n"/>
    </row>
    <row r="816">
      <c r="G816" s="24" t="n"/>
      <c r="H816" s="24" t="n"/>
      <c r="I816" s="24" t="n"/>
    </row>
    <row r="817">
      <c r="G817" s="24" t="n"/>
      <c r="H817" s="24" t="n"/>
      <c r="I817" s="24" t="n"/>
    </row>
    <row r="818">
      <c r="G818" s="24" t="n"/>
      <c r="H818" s="24" t="n"/>
      <c r="I818" s="24" t="n"/>
    </row>
    <row r="819">
      <c r="G819" s="24" t="n"/>
      <c r="H819" s="24" t="n"/>
      <c r="I819" s="24" t="n"/>
    </row>
    <row r="820">
      <c r="G820" s="24" t="n"/>
      <c r="H820" s="24" t="n"/>
      <c r="I820" s="24" t="n"/>
    </row>
    <row r="821">
      <c r="G821" s="24" t="n"/>
      <c r="H821" s="24" t="n"/>
      <c r="I821" s="24" t="n"/>
    </row>
    <row r="822">
      <c r="G822" s="24" t="n"/>
      <c r="H822" s="24" t="n"/>
      <c r="I822" s="24" t="n"/>
    </row>
    <row r="823">
      <c r="G823" s="24" t="n"/>
      <c r="H823" s="24" t="n"/>
      <c r="I823" s="24" t="n"/>
    </row>
    <row r="824">
      <c r="G824" s="24" t="n"/>
      <c r="H824" s="24" t="n"/>
      <c r="I824" s="24" t="n"/>
    </row>
    <row r="825">
      <c r="G825" s="24" t="n"/>
      <c r="H825" s="24" t="n"/>
      <c r="I825" s="24" t="n"/>
    </row>
    <row r="826">
      <c r="G826" s="24" t="n"/>
      <c r="H826" s="24" t="n"/>
      <c r="I826" s="24" t="n"/>
    </row>
    <row r="827">
      <c r="G827" s="24" t="n"/>
      <c r="H827" s="24" t="n"/>
      <c r="I827" s="24" t="n"/>
    </row>
    <row r="828">
      <c r="G828" s="24" t="n"/>
      <c r="H828" s="24" t="n"/>
      <c r="I828" s="24" t="n"/>
    </row>
    <row r="829">
      <c r="G829" s="24" t="n"/>
      <c r="H829" s="24" t="n"/>
      <c r="I829" s="24" t="n"/>
    </row>
    <row r="830">
      <c r="G830" s="24" t="n"/>
      <c r="H830" s="24" t="n"/>
      <c r="I830" s="24" t="n"/>
    </row>
    <row r="831">
      <c r="G831" s="24" t="n"/>
      <c r="H831" s="24" t="n"/>
      <c r="I831" s="24" t="n"/>
    </row>
    <row r="832">
      <c r="G832" s="24" t="n"/>
      <c r="H832" s="24" t="n"/>
      <c r="I832" s="24" t="n"/>
    </row>
    <row r="833">
      <c r="G833" s="24" t="n"/>
      <c r="H833" s="24" t="n"/>
      <c r="I833" s="24" t="n"/>
    </row>
    <row r="834">
      <c r="G834" s="24" t="n"/>
      <c r="H834" s="24" t="n"/>
      <c r="I834" s="24" t="n"/>
    </row>
    <row r="835">
      <c r="G835" s="24" t="n"/>
      <c r="H835" s="24" t="n"/>
      <c r="I835" s="24" t="n"/>
    </row>
    <row r="836">
      <c r="G836" s="24" t="n"/>
      <c r="H836" s="24" t="n"/>
      <c r="I836" s="24" t="n"/>
    </row>
    <row r="837">
      <c r="G837" s="24" t="n"/>
      <c r="H837" s="24" t="n"/>
      <c r="I837" s="24" t="n"/>
    </row>
    <row r="838">
      <c r="G838" s="24" t="n"/>
      <c r="H838" s="24" t="n"/>
      <c r="I838" s="24" t="n"/>
    </row>
    <row r="839">
      <c r="G839" s="24" t="n"/>
      <c r="H839" s="24" t="n"/>
      <c r="I839" s="24" t="n"/>
    </row>
    <row r="840">
      <c r="G840" s="24" t="n"/>
      <c r="H840" s="24" t="n"/>
      <c r="I840" s="24" t="n"/>
    </row>
    <row r="841">
      <c r="G841" s="24" t="n"/>
      <c r="H841" s="24" t="n"/>
      <c r="I841" s="24" t="n"/>
    </row>
    <row r="842">
      <c r="G842" s="24" t="n"/>
      <c r="H842" s="24" t="n"/>
      <c r="I842" s="24" t="n"/>
    </row>
    <row r="843">
      <c r="G843" s="24" t="n"/>
      <c r="H843" s="24" t="n"/>
      <c r="I843" s="24" t="n"/>
    </row>
    <row r="844">
      <c r="G844" s="24" t="n"/>
      <c r="H844" s="24" t="n"/>
      <c r="I844" s="24" t="n"/>
    </row>
    <row r="845">
      <c r="G845" s="24" t="n"/>
      <c r="H845" s="24" t="n"/>
      <c r="I845" s="24" t="n"/>
    </row>
    <row r="846">
      <c r="G846" s="24" t="n"/>
      <c r="H846" s="24" t="n"/>
      <c r="I846" s="24" t="n"/>
    </row>
    <row r="847">
      <c r="G847" s="24" t="n"/>
      <c r="H847" s="24" t="n"/>
      <c r="I847" s="24" t="n"/>
    </row>
    <row r="848">
      <c r="G848" s="24" t="n"/>
      <c r="H848" s="24" t="n"/>
      <c r="I848" s="24" t="n"/>
    </row>
    <row r="849">
      <c r="G849" s="24" t="n"/>
      <c r="H849" s="24" t="n"/>
      <c r="I849" s="24" t="n"/>
    </row>
    <row r="850">
      <c r="G850" s="24" t="n"/>
      <c r="H850" s="24" t="n"/>
      <c r="I850" s="24" t="n"/>
    </row>
    <row r="851">
      <c r="G851" s="24" t="n"/>
      <c r="H851" s="24" t="n"/>
      <c r="I851" s="24" t="n"/>
    </row>
    <row r="852">
      <c r="G852" s="24" t="n"/>
      <c r="H852" s="24" t="n"/>
      <c r="I852" s="24" t="n"/>
    </row>
    <row r="853">
      <c r="G853" s="24" t="n"/>
      <c r="H853" s="24" t="n"/>
      <c r="I853" s="24" t="n"/>
    </row>
    <row r="854">
      <c r="G854" s="24" t="n"/>
      <c r="H854" s="24" t="n"/>
      <c r="I854" s="24" t="n"/>
    </row>
    <row r="855">
      <c r="G855" s="24" t="n"/>
      <c r="H855" s="24" t="n"/>
      <c r="I855" s="24" t="n"/>
    </row>
    <row r="856">
      <c r="G856" s="24" t="n"/>
      <c r="H856" s="24" t="n"/>
      <c r="I856" s="24" t="n"/>
    </row>
    <row r="857">
      <c r="G857" s="24" t="n"/>
      <c r="H857" s="24" t="n"/>
      <c r="I857" s="24" t="n"/>
    </row>
    <row r="858">
      <c r="G858" s="24" t="n"/>
      <c r="H858" s="24" t="n"/>
      <c r="I858" s="24" t="n"/>
    </row>
    <row r="859">
      <c r="G859" s="24" t="n"/>
      <c r="H859" s="24" t="n"/>
      <c r="I859" s="24" t="n"/>
    </row>
    <row r="860">
      <c r="G860" s="24" t="n"/>
      <c r="H860" s="24" t="n"/>
      <c r="I860" s="24" t="n"/>
    </row>
    <row r="861">
      <c r="G861" s="24" t="n"/>
      <c r="H861" s="24" t="n"/>
      <c r="I861" s="24" t="n"/>
    </row>
    <row r="862">
      <c r="G862" s="24" t="n"/>
      <c r="H862" s="24" t="n"/>
      <c r="I862" s="24" t="n"/>
    </row>
    <row r="863">
      <c r="G863" s="24" t="n"/>
      <c r="H863" s="24" t="n"/>
      <c r="I863" s="24" t="n"/>
    </row>
    <row r="864">
      <c r="G864" s="24" t="n"/>
      <c r="H864" s="24" t="n"/>
      <c r="I864" s="24" t="n"/>
    </row>
    <row r="865">
      <c r="G865" s="24" t="n"/>
      <c r="H865" s="24" t="n"/>
      <c r="I865" s="24" t="n"/>
    </row>
    <row r="866">
      <c r="G866" s="24" t="n"/>
      <c r="H866" s="24" t="n"/>
      <c r="I866" s="24" t="n"/>
    </row>
    <row r="867">
      <c r="G867" s="24" t="n"/>
      <c r="H867" s="24" t="n"/>
      <c r="I867" s="24" t="n"/>
    </row>
    <row r="868">
      <c r="G868" s="24" t="n"/>
      <c r="H868" s="24" t="n"/>
      <c r="I868" s="24" t="n"/>
    </row>
    <row r="869">
      <c r="G869" s="24" t="n"/>
      <c r="H869" s="24" t="n"/>
      <c r="I869" s="24" t="n"/>
    </row>
    <row r="870">
      <c r="G870" s="24" t="n"/>
      <c r="H870" s="24" t="n"/>
      <c r="I870" s="24" t="n"/>
    </row>
    <row r="871">
      <c r="G871" s="24" t="n"/>
      <c r="H871" s="24" t="n"/>
      <c r="I871" s="24" t="n"/>
    </row>
    <row r="872">
      <c r="G872" s="24" t="n"/>
      <c r="H872" s="24" t="n"/>
      <c r="I872" s="24" t="n"/>
    </row>
    <row r="873">
      <c r="G873" s="24" t="n"/>
      <c r="H873" s="24" t="n"/>
      <c r="I873" s="24" t="n"/>
    </row>
    <row r="874">
      <c r="G874" s="24" t="n"/>
      <c r="H874" s="24" t="n"/>
      <c r="I874" s="24" t="n"/>
    </row>
    <row r="875">
      <c r="G875" s="24" t="n"/>
      <c r="H875" s="24" t="n"/>
      <c r="I875" s="24" t="n"/>
    </row>
    <row r="876">
      <c r="G876" s="24" t="n"/>
      <c r="H876" s="24" t="n"/>
      <c r="I876" s="24" t="n"/>
    </row>
    <row r="877">
      <c r="G877" s="24" t="n"/>
      <c r="H877" s="24" t="n"/>
      <c r="I877" s="24" t="n"/>
    </row>
    <row r="878">
      <c r="G878" s="24" t="n"/>
      <c r="H878" s="24" t="n"/>
      <c r="I878" s="24" t="n"/>
    </row>
    <row r="879">
      <c r="G879" s="24" t="n"/>
      <c r="H879" s="24" t="n"/>
      <c r="I879" s="24" t="n"/>
    </row>
    <row r="880">
      <c r="G880" s="24" t="n"/>
      <c r="H880" s="24" t="n"/>
      <c r="I880" s="24" t="n"/>
    </row>
    <row r="881">
      <c r="G881" s="24" t="n"/>
      <c r="H881" s="24" t="n"/>
      <c r="I881" s="24" t="n"/>
    </row>
    <row r="882">
      <c r="G882" s="24" t="n"/>
      <c r="H882" s="24" t="n"/>
      <c r="I882" s="24" t="n"/>
    </row>
    <row r="883">
      <c r="G883" s="24" t="n"/>
      <c r="H883" s="24" t="n"/>
      <c r="I883" s="24" t="n"/>
    </row>
    <row r="884">
      <c r="G884" s="24" t="n"/>
      <c r="H884" s="24" t="n"/>
      <c r="I884" s="24" t="n"/>
    </row>
    <row r="885">
      <c r="G885" s="24" t="n"/>
      <c r="H885" s="24" t="n"/>
      <c r="I885" s="24" t="n"/>
    </row>
    <row r="886">
      <c r="G886" s="24" t="n"/>
      <c r="H886" s="24" t="n"/>
      <c r="I886" s="24" t="n"/>
    </row>
    <row r="887">
      <c r="G887" s="24" t="n"/>
      <c r="H887" s="24" t="n"/>
      <c r="I887" s="24" t="n"/>
    </row>
    <row r="888">
      <c r="G888" s="24" t="n"/>
      <c r="H888" s="24" t="n"/>
      <c r="I888" s="24" t="n"/>
    </row>
    <row r="889">
      <c r="G889" s="24" t="n"/>
      <c r="H889" s="24" t="n"/>
      <c r="I889" s="24" t="n"/>
    </row>
    <row r="890">
      <c r="G890" s="24" t="n"/>
      <c r="H890" s="24" t="n"/>
      <c r="I890" s="24" t="n"/>
    </row>
    <row r="891">
      <c r="G891" s="24" t="n"/>
      <c r="H891" s="24" t="n"/>
      <c r="I891" s="24" t="n"/>
    </row>
    <row r="892">
      <c r="G892" s="24" t="n"/>
      <c r="H892" s="24" t="n"/>
      <c r="I892" s="24" t="n"/>
    </row>
    <row r="893">
      <c r="G893" s="24" t="n"/>
      <c r="H893" s="24" t="n"/>
      <c r="I893" s="24" t="n"/>
    </row>
    <row r="894">
      <c r="G894" s="24" t="n"/>
      <c r="H894" s="24" t="n"/>
      <c r="I894" s="24" t="n"/>
    </row>
    <row r="895">
      <c r="G895" s="24" t="n"/>
      <c r="H895" s="24" t="n"/>
      <c r="I895" s="24" t="n"/>
    </row>
    <row r="896">
      <c r="G896" s="24" t="n"/>
      <c r="H896" s="24" t="n"/>
      <c r="I896" s="24" t="n"/>
    </row>
    <row r="897">
      <c r="G897" s="24" t="n"/>
      <c r="H897" s="24" t="n"/>
      <c r="I897" s="24" t="n"/>
    </row>
    <row r="898">
      <c r="G898" s="24" t="n"/>
      <c r="H898" s="24" t="n"/>
      <c r="I898" s="24" t="n"/>
    </row>
    <row r="899">
      <c r="G899" s="24" t="n"/>
      <c r="H899" s="24" t="n"/>
      <c r="I899" s="24" t="n"/>
    </row>
    <row r="900">
      <c r="G900" s="24" t="n"/>
      <c r="H900" s="24" t="n"/>
      <c r="I900" s="24" t="n"/>
    </row>
    <row r="901">
      <c r="G901" s="24" t="n"/>
      <c r="H901" s="24" t="n"/>
      <c r="I901" s="24" t="n"/>
    </row>
    <row r="902">
      <c r="G902" s="24" t="n"/>
      <c r="H902" s="24" t="n"/>
      <c r="I902" s="24" t="n"/>
    </row>
    <row r="903">
      <c r="G903" s="24" t="n"/>
      <c r="H903" s="24" t="n"/>
      <c r="I903" s="24" t="n"/>
    </row>
    <row r="904">
      <c r="G904" s="24" t="n"/>
      <c r="H904" s="24" t="n"/>
      <c r="I904" s="24" t="n"/>
    </row>
    <row r="905">
      <c r="G905" s="24" t="n"/>
      <c r="H905" s="24" t="n"/>
      <c r="I905" s="24" t="n"/>
    </row>
    <row r="906">
      <c r="G906" s="24" t="n"/>
      <c r="H906" s="24" t="n"/>
      <c r="I906" s="24" t="n"/>
    </row>
    <row r="907">
      <c r="G907" s="24" t="n"/>
      <c r="H907" s="24" t="n"/>
      <c r="I907" s="24" t="n"/>
    </row>
    <row r="908">
      <c r="G908" s="24" t="n"/>
      <c r="H908" s="24" t="n"/>
      <c r="I908" s="24" t="n"/>
    </row>
    <row r="909">
      <c r="G909" s="24" t="n"/>
      <c r="H909" s="24" t="n"/>
      <c r="I909" s="24" t="n"/>
    </row>
    <row r="910">
      <c r="G910" s="24" t="n"/>
      <c r="H910" s="24" t="n"/>
      <c r="I910" s="24" t="n"/>
    </row>
    <row r="911">
      <c r="G911" s="24" t="n"/>
      <c r="H911" s="24" t="n"/>
      <c r="I911" s="24" t="n"/>
    </row>
    <row r="912">
      <c r="G912" s="24" t="n"/>
      <c r="H912" s="24" t="n"/>
      <c r="I912" s="24" t="n"/>
    </row>
    <row r="913">
      <c r="G913" s="24" t="n"/>
      <c r="H913" s="24" t="n"/>
      <c r="I913" s="24" t="n"/>
    </row>
    <row r="914">
      <c r="G914" s="24" t="n"/>
      <c r="H914" s="24" t="n"/>
      <c r="I914" s="24" t="n"/>
    </row>
    <row r="915">
      <c r="G915" s="24" t="n"/>
      <c r="H915" s="24" t="n"/>
      <c r="I915" s="24" t="n"/>
    </row>
    <row r="916">
      <c r="G916" s="24" t="n"/>
      <c r="H916" s="24" t="n"/>
      <c r="I916" s="24" t="n"/>
    </row>
    <row r="917">
      <c r="G917" s="24" t="n"/>
      <c r="H917" s="24" t="n"/>
      <c r="I917" s="24" t="n"/>
    </row>
    <row r="918">
      <c r="G918" s="24" t="n"/>
      <c r="H918" s="24" t="n"/>
      <c r="I918" s="24" t="n"/>
    </row>
    <row r="919">
      <c r="G919" s="24" t="n"/>
      <c r="H919" s="24" t="n"/>
      <c r="I919" s="24" t="n"/>
    </row>
    <row r="920">
      <c r="G920" s="24" t="n"/>
      <c r="H920" s="24" t="n"/>
      <c r="I920" s="24" t="n"/>
    </row>
    <row r="921">
      <c r="G921" s="24" t="n"/>
      <c r="H921" s="24" t="n"/>
      <c r="I921" s="24" t="n"/>
    </row>
    <row r="922">
      <c r="G922" s="24" t="n"/>
      <c r="H922" s="24" t="n"/>
      <c r="I922" s="24" t="n"/>
    </row>
    <row r="923">
      <c r="G923" s="24" t="n"/>
      <c r="H923" s="24" t="n"/>
      <c r="I923" s="24" t="n"/>
    </row>
    <row r="924">
      <c r="G924" s="24" t="n"/>
      <c r="H924" s="24" t="n"/>
      <c r="I924" s="24" t="n"/>
    </row>
    <row r="925">
      <c r="G925" s="24" t="n"/>
      <c r="H925" s="24" t="n"/>
      <c r="I925" s="24" t="n"/>
    </row>
    <row r="926">
      <c r="G926" s="24" t="n"/>
      <c r="H926" s="24" t="n"/>
      <c r="I926" s="24" t="n"/>
    </row>
    <row r="927">
      <c r="G927" s="24" t="n"/>
      <c r="H927" s="24" t="n"/>
      <c r="I927" s="24" t="n"/>
    </row>
    <row r="928">
      <c r="G928" s="24" t="n"/>
      <c r="H928" s="24" t="n"/>
      <c r="I928" s="24" t="n"/>
    </row>
    <row r="929">
      <c r="G929" s="24" t="n"/>
      <c r="H929" s="24" t="n"/>
      <c r="I929" s="24" t="n"/>
    </row>
    <row r="930">
      <c r="G930" s="24" t="n"/>
      <c r="H930" s="24" t="n"/>
      <c r="I930" s="24" t="n"/>
    </row>
    <row r="931">
      <c r="G931" s="24" t="n"/>
      <c r="H931" s="24" t="n"/>
      <c r="I931" s="24" t="n"/>
    </row>
    <row r="932">
      <c r="G932" s="24" t="n"/>
      <c r="H932" s="24" t="n"/>
      <c r="I932" s="24" t="n"/>
    </row>
    <row r="933">
      <c r="G933" s="24" t="n"/>
      <c r="H933" s="24" t="n"/>
      <c r="I933" s="24" t="n"/>
    </row>
    <row r="934">
      <c r="G934" s="24" t="n"/>
      <c r="H934" s="24" t="n"/>
      <c r="I934" s="24" t="n"/>
    </row>
    <row r="935">
      <c r="G935" s="24" t="n"/>
      <c r="H935" s="24" t="n"/>
      <c r="I935" s="24" t="n"/>
    </row>
    <row r="936">
      <c r="G936" s="24" t="n"/>
      <c r="H936" s="24" t="n"/>
      <c r="I936" s="24" t="n"/>
    </row>
    <row r="937">
      <c r="G937" s="24" t="n"/>
      <c r="H937" s="24" t="n"/>
      <c r="I937" s="24" t="n"/>
    </row>
    <row r="938">
      <c r="G938" s="24" t="n"/>
      <c r="H938" s="24" t="n"/>
      <c r="I938" s="24" t="n"/>
    </row>
    <row r="939">
      <c r="G939" s="24" t="n"/>
      <c r="H939" s="24" t="n"/>
      <c r="I939" s="24" t="n"/>
    </row>
    <row r="940">
      <c r="G940" s="24" t="n"/>
      <c r="H940" s="24" t="n"/>
      <c r="I940" s="24" t="n"/>
    </row>
    <row r="941">
      <c r="G941" s="24" t="n"/>
      <c r="H941" s="24" t="n"/>
      <c r="I941" s="24" t="n"/>
    </row>
    <row r="942">
      <c r="G942" s="24" t="n"/>
      <c r="H942" s="24" t="n"/>
      <c r="I942" s="24" t="n"/>
    </row>
    <row r="943">
      <c r="G943" s="24" t="n"/>
      <c r="H943" s="24" t="n"/>
      <c r="I943" s="24" t="n"/>
    </row>
    <row r="944">
      <c r="G944" s="24" t="n"/>
      <c r="H944" s="24" t="n"/>
      <c r="I944" s="24" t="n"/>
    </row>
    <row r="945">
      <c r="G945" s="24" t="n"/>
      <c r="H945" s="24" t="n"/>
      <c r="I945" s="24" t="n"/>
    </row>
    <row r="946">
      <c r="G946" s="24" t="n"/>
      <c r="H946" s="24" t="n"/>
      <c r="I946" s="24" t="n"/>
    </row>
    <row r="947">
      <c r="G947" s="24" t="n"/>
      <c r="H947" s="24" t="n"/>
      <c r="I947" s="24" t="n"/>
    </row>
    <row r="948">
      <c r="G948" s="24" t="n"/>
      <c r="H948" s="24" t="n"/>
      <c r="I948" s="24" t="n"/>
    </row>
    <row r="949">
      <c r="G949" s="24" t="n"/>
      <c r="H949" s="24" t="n"/>
      <c r="I949" s="24" t="n"/>
    </row>
    <row r="950">
      <c r="G950" s="24" t="n"/>
      <c r="H950" s="24" t="n"/>
      <c r="I950" s="24" t="n"/>
    </row>
    <row r="951">
      <c r="G951" s="24" t="n"/>
      <c r="H951" s="24" t="n"/>
      <c r="I951" s="24" t="n"/>
    </row>
    <row r="952">
      <c r="G952" s="24" t="n"/>
      <c r="H952" s="24" t="n"/>
      <c r="I952" s="24" t="n"/>
    </row>
    <row r="953">
      <c r="G953" s="24" t="n"/>
      <c r="H953" s="24" t="n"/>
      <c r="I953" s="24" t="n"/>
    </row>
    <row r="954">
      <c r="G954" s="24" t="n"/>
      <c r="H954" s="24" t="n"/>
      <c r="I954" s="24" t="n"/>
    </row>
    <row r="955">
      <c r="G955" s="24" t="n"/>
      <c r="H955" s="24" t="n"/>
      <c r="I955" s="24" t="n"/>
    </row>
    <row r="956">
      <c r="G956" s="24" t="n"/>
      <c r="H956" s="24" t="n"/>
      <c r="I956" s="24" t="n"/>
    </row>
    <row r="957">
      <c r="G957" s="24" t="n"/>
      <c r="H957" s="24" t="n"/>
      <c r="I957" s="24" t="n"/>
    </row>
    <row r="958">
      <c r="G958" s="24" t="n"/>
      <c r="H958" s="24" t="n"/>
      <c r="I958" s="24" t="n"/>
    </row>
    <row r="959">
      <c r="G959" s="24" t="n"/>
      <c r="H959" s="24" t="n"/>
      <c r="I959" s="24" t="n"/>
    </row>
    <row r="960">
      <c r="G960" s="24" t="n"/>
      <c r="H960" s="24" t="n"/>
      <c r="I960" s="24" t="n"/>
    </row>
    <row r="961">
      <c r="G961" s="24" t="n"/>
      <c r="H961" s="24" t="n"/>
      <c r="I961" s="24" t="n"/>
    </row>
    <row r="962">
      <c r="G962" s="24" t="n"/>
      <c r="H962" s="24" t="n"/>
      <c r="I962" s="24" t="n"/>
    </row>
    <row r="963">
      <c r="G963" s="24" t="n"/>
      <c r="H963" s="24" t="n"/>
      <c r="I963" s="24" t="n"/>
    </row>
    <row r="964">
      <c r="G964" s="24" t="n"/>
      <c r="H964" s="24" t="n"/>
      <c r="I964" s="24" t="n"/>
    </row>
    <row r="965">
      <c r="G965" s="24" t="n"/>
      <c r="H965" s="24" t="n"/>
      <c r="I965" s="24" t="n"/>
    </row>
    <row r="966">
      <c r="G966" s="24" t="n"/>
      <c r="H966" s="24" t="n"/>
      <c r="I966" s="24" t="n"/>
    </row>
    <row r="967">
      <c r="G967" s="24" t="n"/>
      <c r="H967" s="24" t="n"/>
      <c r="I967" s="24" t="n"/>
    </row>
    <row r="968">
      <c r="G968" s="24" t="n"/>
      <c r="H968" s="24" t="n"/>
      <c r="I968" s="24" t="n"/>
    </row>
    <row r="969">
      <c r="G969" s="24" t="n"/>
      <c r="H969" s="24" t="n"/>
      <c r="I969" s="24" t="n"/>
    </row>
    <row r="970">
      <c r="G970" s="24" t="n"/>
      <c r="H970" s="24" t="n"/>
      <c r="I970" s="24" t="n"/>
    </row>
    <row r="971">
      <c r="G971" s="24" t="n"/>
      <c r="H971" s="24" t="n"/>
      <c r="I971" s="24" t="n"/>
    </row>
    <row r="972">
      <c r="G972" s="24" t="n"/>
      <c r="H972" s="24" t="n"/>
      <c r="I972" s="24" t="n"/>
    </row>
    <row r="973">
      <c r="G973" s="24" t="n"/>
      <c r="H973" s="24" t="n"/>
      <c r="I973" s="24" t="n"/>
    </row>
    <row r="974">
      <c r="G974" s="24" t="n"/>
      <c r="H974" s="24" t="n"/>
      <c r="I974" s="24" t="n"/>
    </row>
    <row r="975">
      <c r="G975" s="24" t="n"/>
      <c r="H975" s="24" t="n"/>
      <c r="I975" s="24" t="n"/>
    </row>
    <row r="976">
      <c r="G976" s="24" t="n"/>
      <c r="H976" s="24" t="n"/>
      <c r="I976" s="24" t="n"/>
    </row>
    <row r="977">
      <c r="G977" s="24" t="n"/>
      <c r="H977" s="24" t="n"/>
      <c r="I977" s="24" t="n"/>
    </row>
    <row r="978">
      <c r="G978" s="24" t="n"/>
      <c r="H978" s="24" t="n"/>
      <c r="I978" s="24" t="n"/>
    </row>
    <row r="979">
      <c r="G979" s="24" t="n"/>
      <c r="H979" s="24" t="n"/>
      <c r="I979" s="24" t="n"/>
    </row>
    <row r="980">
      <c r="G980" s="24" t="n"/>
      <c r="H980" s="24" t="n"/>
      <c r="I980" s="24" t="n"/>
    </row>
    <row r="981">
      <c r="G981" s="24" t="n"/>
      <c r="H981" s="24" t="n"/>
      <c r="I981" s="24" t="n"/>
    </row>
    <row r="982">
      <c r="G982" s="24" t="n"/>
      <c r="H982" s="24" t="n"/>
      <c r="I982" s="24" t="n"/>
    </row>
    <row r="983">
      <c r="G983" s="24" t="n"/>
      <c r="H983" s="24" t="n"/>
      <c r="I983" s="24" t="n"/>
    </row>
    <row r="984">
      <c r="G984" s="24" t="n"/>
      <c r="H984" s="24" t="n"/>
      <c r="I984" s="24" t="n"/>
    </row>
    <row r="985">
      <c r="G985" s="24" t="n"/>
      <c r="H985" s="24" t="n"/>
      <c r="I985" s="24" t="n"/>
    </row>
    <row r="986">
      <c r="G986" s="24" t="n"/>
      <c r="H986" s="24" t="n"/>
      <c r="I986" s="24" t="n"/>
    </row>
    <row r="987">
      <c r="G987" s="24" t="n"/>
      <c r="H987" s="24" t="n"/>
      <c r="I987" s="24" t="n"/>
    </row>
    <row r="988">
      <c r="G988" s="24" t="n"/>
      <c r="H988" s="24" t="n"/>
      <c r="I988" s="24" t="n"/>
    </row>
    <row r="989">
      <c r="G989" s="24" t="n"/>
      <c r="H989" s="24" t="n"/>
      <c r="I989" s="24" t="n"/>
    </row>
    <row r="990">
      <c r="G990" s="24" t="n"/>
      <c r="H990" s="24" t="n"/>
      <c r="I990" s="24" t="n"/>
    </row>
    <row r="991">
      <c r="G991" s="24" t="n"/>
      <c r="H991" s="24" t="n"/>
      <c r="I991" s="24" t="n"/>
    </row>
    <row r="992">
      <c r="G992" s="24" t="n"/>
      <c r="H992" s="24" t="n"/>
      <c r="I992" s="24" t="n"/>
    </row>
    <row r="993">
      <c r="G993" s="24" t="n"/>
      <c r="H993" s="24" t="n"/>
      <c r="I993" s="24" t="n"/>
    </row>
    <row r="994">
      <c r="G994" s="24" t="n"/>
      <c r="H994" s="24" t="n"/>
      <c r="I994" s="24" t="n"/>
    </row>
    <row r="995">
      <c r="G995" s="24" t="n"/>
      <c r="H995" s="24" t="n"/>
      <c r="I995" s="24" t="n"/>
    </row>
    <row r="996">
      <c r="G996" s="24" t="n"/>
      <c r="H996" s="24" t="n"/>
      <c r="I996" s="24" t="n"/>
    </row>
    <row r="997">
      <c r="G997" s="24" t="n"/>
      <c r="H997" s="24" t="n"/>
      <c r="I997" s="24" t="n"/>
    </row>
    <row r="998">
      <c r="G998" s="24" t="n"/>
      <c r="H998" s="24" t="n"/>
      <c r="I998" s="24" t="n"/>
    </row>
    <row r="999">
      <c r="G999" s="24" t="n"/>
      <c r="H999" s="24" t="n"/>
      <c r="I999" s="24" t="n"/>
    </row>
    <row r="1000">
      <c r="G1000" s="24" t="n"/>
      <c r="H1000" s="24" t="n"/>
      <c r="I1000" s="24" t="n"/>
    </row>
  </sheetData>
  <autoFilter ref="$A$1:$D$142"/>
  <mergeCells count="5">
    <mergeCell ref="F1:I1"/>
    <mergeCell ref="G2:H2"/>
    <mergeCell ref="F3:F12"/>
    <mergeCell ref="F13:F22"/>
    <mergeCell ref="F23:F25"/>
  </mergeCells>
  <conditionalFormatting sqref="G1:H1000">
    <cfRule type="containsText" priority="1" operator="containsText" dxfId="2" text="A m">
      <formula>NOT(ISERROR(SEARCH(("A m"),(G1))))</formula>
    </cfRule>
    <cfRule type="containsText" priority="2" operator="containsText" dxfId="3" text="A v">
      <formula>NOT(ISERROR(SEARCH(("A v"),(G1))))</formula>
    </cfRule>
    <cfRule type="containsText" priority="3" operator="containsText" dxfId="4" text="B1 m">
      <formula>NOT(ISERROR(SEARCH(("B1 m"),(G1))))</formula>
    </cfRule>
    <cfRule type="containsText" priority="4" operator="containsText" dxfId="5" text="B1 v">
      <formula>NOT(ISERROR(SEARCH(("B1 v"),(G1))))</formula>
    </cfRule>
    <cfRule type="containsText" priority="5" operator="containsText" dxfId="6" text="B2 m">
      <formula>NOT(ISERROR(SEARCH(("B2 m"),(G1))))</formula>
    </cfRule>
    <cfRule type="containsText" priority="6" operator="containsText" dxfId="7" text="B2 v">
      <formula>NOT(ISERROR(SEARCH(("B2 v"),(G1))))</formula>
    </cfRule>
    <cfRule type="containsText" priority="7" operator="containsText" dxfId="8" text="C m">
      <formula>NOT(ISERROR(SEARCH(("C m"),(G1))))</formula>
    </cfRule>
    <cfRule type="containsText" priority="8" operator="containsText" dxfId="9" text="C v">
      <formula>NOT(ISERROR(SEARCH(("C v"),(G1))))</formula>
    </cfRule>
    <cfRule type="containsText" priority="9" operator="containsText" dxfId="10" text="D v">
      <formula>NOT(ISERROR(SEARCH(("D v"),(G1))))</formula>
    </cfRule>
    <cfRule type="containsText" priority="10" operator="containsText" dxfId="11" text="D m">
      <formula>NOT(ISERROR(SEARCH(("D m"),(G1))))</formula>
    </cfRule>
    <cfRule type="containsText" priority="11" operator="containsText" dxfId="12" text="E m">
      <formula>NOT(ISERROR(SEARCH(("E m"),(G1))))</formula>
    </cfRule>
    <cfRule type="containsText" priority="12" operator="containsText" dxfId="13" text="E v">
      <formula>NOT(ISERROR(SEARCH(("E v"),(G1))))</formula>
    </cfRule>
    <cfRule type="cellIs" priority="13" operator="equal" dxfId="14">
      <formula>"GR"</formula>
    </cfRule>
  </conditionalFormatting>
  <dataValidations count="1">
    <dataValidation sqref="D2:D142" showDropDown="0" showInputMessage="0" showErrorMessage="1" allowBlank="1" type="list">
      <formula1>"Veio,Não Veio"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128" min="1" max="1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F1" s="69" t="inlineStr">
        <is>
          <t>CONFRONTOS</t>
        </is>
      </c>
      <c r="G1" s="70" t="n"/>
      <c r="H1" s="70" t="n"/>
      <c r="I1" s="71" t="n"/>
    </row>
    <row r="2">
      <c r="A2" s="34">
        <f>IFERROR(__xludf.DUMMYFUNCTION("FILTER(Alunos!A:A, Alunos!$E:$E = ""Participa"")"),"ADILSON EVÊNCIO DA SILVA JUNIOR")</f>
        <v/>
      </c>
      <c r="B2" s="34">
        <f>IFERROR(__xludf.DUMMYFUNCTION("FILTER(Alunos!B:B, Alunos!$E:$E = ""Participa"")"),"Turma E")</f>
        <v/>
      </c>
      <c r="C2" s="34">
        <f>IFERROR(__xludf.DUMMYFUNCTION("FILTER(Alunos!C:C, Alunos!$E:$E = ""Participa"")"),"Matutino")</f>
        <v/>
      </c>
      <c r="D2" s="34" t="inlineStr">
        <is>
          <t>Veio</t>
        </is>
      </c>
      <c r="F2" s="61" t="inlineStr">
        <is>
          <t>Categoria</t>
        </is>
      </c>
      <c r="G2" s="61" t="inlineStr">
        <is>
          <t>Turmas</t>
        </is>
      </c>
      <c r="H2" s="131" t="n"/>
      <c r="I2" s="61" t="inlineStr">
        <is>
          <t>Resultados</t>
        </is>
      </c>
    </row>
    <row r="3">
      <c r="A3" s="34">
        <f>IFERROR(__xludf.DUMMYFUNCTION("""COMPUTED_VALUE"""),"ALIPHER GABRIEL LOPES FERREIRA")</f>
        <v/>
      </c>
      <c r="B3" s="34">
        <f>IFERROR(__xludf.DUMMYFUNCTION("""COMPUTED_VALUE"""),"Turma B2")</f>
        <v/>
      </c>
      <c r="C3" s="34">
        <f>IFERROR(__xludf.DUMMYFUNCTION("""COMPUTED_VALUE"""),"Vespertino")</f>
        <v/>
      </c>
      <c r="D3" s="34" t="inlineStr">
        <is>
          <t>Veio</t>
        </is>
      </c>
      <c r="F3" s="67" t="inlineStr">
        <is>
          <t>Infantil</t>
        </is>
      </c>
      <c r="G3" s="114" t="inlineStr">
        <is>
          <t>A v</t>
        </is>
      </c>
      <c r="H3" s="114" t="inlineStr">
        <is>
          <t>B2 m</t>
        </is>
      </c>
      <c r="I3" s="65" t="inlineStr">
        <is>
          <t>A v</t>
        </is>
      </c>
    </row>
    <row r="4">
      <c r="A4" s="34">
        <f>IFERROR(__xludf.DUMMYFUNCTION("""COMPUTED_VALUE"""),"ALLAN ALVES RIBEIRO")</f>
        <v/>
      </c>
      <c r="B4" s="34">
        <f>IFERROR(__xludf.DUMMYFUNCTION("""COMPUTED_VALUE"""),"Turma E")</f>
        <v/>
      </c>
      <c r="C4" s="34">
        <f>IFERROR(__xludf.DUMMYFUNCTION("""COMPUTED_VALUE"""),"Vespertino")</f>
        <v/>
      </c>
      <c r="D4" s="34" t="inlineStr">
        <is>
          <t>Veio</t>
        </is>
      </c>
      <c r="F4" s="134" t="n"/>
      <c r="G4" s="114" t="inlineStr">
        <is>
          <t>B1 m</t>
        </is>
      </c>
      <c r="H4" s="114" t="inlineStr">
        <is>
          <t>B1 v</t>
        </is>
      </c>
      <c r="I4" s="65" t="inlineStr">
        <is>
          <t>B1 m</t>
        </is>
      </c>
    </row>
    <row r="5">
      <c r="A5" s="34">
        <f>IFERROR(__xludf.DUMMYFUNCTION("""COMPUTED_VALUE"""),"ANA CLARA DE FREITAS TEIXEIRA")</f>
        <v/>
      </c>
      <c r="B5" s="34">
        <f>IFERROR(__xludf.DUMMYFUNCTION("""COMPUTED_VALUE"""),"Turma GR")</f>
        <v/>
      </c>
      <c r="C5" s="34">
        <f>IFERROR(__xludf.DUMMYFUNCTION("""COMPUTED_VALUE"""),"Vespertino")</f>
        <v/>
      </c>
      <c r="D5" s="34" t="inlineStr">
        <is>
          <t>Veio</t>
        </is>
      </c>
      <c r="F5" s="134" t="n"/>
      <c r="G5" s="114" t="inlineStr">
        <is>
          <t>A m</t>
        </is>
      </c>
      <c r="H5" s="114" t="inlineStr">
        <is>
          <t>B2 m</t>
        </is>
      </c>
      <c r="I5" s="65" t="inlineStr">
        <is>
          <t>Empate</t>
        </is>
      </c>
    </row>
    <row r="6">
      <c r="A6" s="34">
        <f>IFERROR(__xludf.DUMMYFUNCTION("""COMPUTED_VALUE"""),"ANA CRISTINA SOUZA LOBAK")</f>
        <v/>
      </c>
      <c r="B6" s="34">
        <f>IFERROR(__xludf.DUMMYFUNCTION("""COMPUTED_VALUE"""),"Turma E")</f>
        <v/>
      </c>
      <c r="C6" s="34">
        <f>IFERROR(__xludf.DUMMYFUNCTION("""COMPUTED_VALUE"""),"Vespertino")</f>
        <v/>
      </c>
      <c r="D6" s="34" t="inlineStr">
        <is>
          <t>Veio</t>
        </is>
      </c>
      <c r="F6" s="134" t="n"/>
      <c r="G6" s="114" t="inlineStr">
        <is>
          <t>A v</t>
        </is>
      </c>
      <c r="H6" s="114" t="inlineStr">
        <is>
          <t>B1 m</t>
        </is>
      </c>
      <c r="I6" s="65" t="inlineStr">
        <is>
          <t>Empate</t>
        </is>
      </c>
      <c r="J6" s="34" t="inlineStr">
        <is>
          <t>Aluno (n/d) b1 m</t>
        </is>
      </c>
    </row>
    <row r="7">
      <c r="A7" s="34">
        <f>IFERROR(__xludf.DUMMYFUNCTION("""COMPUTED_VALUE"""),"ANA LUIZA DA SILVA BORGES")</f>
        <v/>
      </c>
      <c r="B7" s="34">
        <f>IFERROR(__xludf.DUMMYFUNCTION("""COMPUTED_VALUE"""),"Turma E")</f>
        <v/>
      </c>
      <c r="C7" s="34">
        <f>IFERROR(__xludf.DUMMYFUNCTION("""COMPUTED_VALUE"""),"Matutino")</f>
        <v/>
      </c>
      <c r="D7" s="34" t="inlineStr">
        <is>
          <t>Veio</t>
        </is>
      </c>
      <c r="F7" s="134" t="n"/>
      <c r="G7" s="114" t="inlineStr">
        <is>
          <t>A m</t>
        </is>
      </c>
      <c r="H7" s="114" t="inlineStr">
        <is>
          <t>B1 v</t>
        </is>
      </c>
      <c r="I7" s="65" t="inlineStr">
        <is>
          <t>B1 v</t>
        </is>
      </c>
    </row>
    <row r="8">
      <c r="A8" s="34">
        <f>IFERROR(__xludf.DUMMYFUNCTION("""COMPUTED_VALUE"""),"Andressa Campos De Barros")</f>
        <v/>
      </c>
      <c r="B8" s="34">
        <f>IFERROR(__xludf.DUMMYFUNCTION("""COMPUTED_VALUE"""),"Turma D")</f>
        <v/>
      </c>
      <c r="C8" s="34">
        <f>IFERROR(__xludf.DUMMYFUNCTION("""COMPUTED_VALUE"""),"Vespertino")</f>
        <v/>
      </c>
      <c r="D8" s="34" t="inlineStr">
        <is>
          <t>Veio</t>
        </is>
      </c>
      <c r="F8" s="134" t="n"/>
      <c r="G8" s="114" t="inlineStr">
        <is>
          <t>B2 m</t>
        </is>
      </c>
      <c r="H8" s="114" t="inlineStr">
        <is>
          <t>B1 m</t>
        </is>
      </c>
      <c r="I8" s="65" t="inlineStr">
        <is>
          <t>B1 m</t>
        </is>
      </c>
    </row>
    <row r="9">
      <c r="A9" s="34">
        <f>IFERROR(__xludf.DUMMYFUNCTION("""COMPUTED_VALUE"""),"ANNY HELOISE OLIVEIRA DA SILVA")</f>
        <v/>
      </c>
      <c r="B9" s="34">
        <f>IFERROR(__xludf.DUMMYFUNCTION("""COMPUTED_VALUE"""),"Turma B2")</f>
        <v/>
      </c>
      <c r="C9" s="34">
        <f>IFERROR(__xludf.DUMMYFUNCTION("""COMPUTED_VALUE"""),"Vespertino")</f>
        <v/>
      </c>
      <c r="D9" s="34" t="inlineStr">
        <is>
          <t>Veio</t>
        </is>
      </c>
      <c r="F9" s="134" t="n"/>
      <c r="G9" s="114" t="inlineStr">
        <is>
          <t>A m</t>
        </is>
      </c>
      <c r="H9" s="114" t="inlineStr">
        <is>
          <t>B1 m</t>
        </is>
      </c>
      <c r="I9" s="65" t="inlineStr">
        <is>
          <t>B1 m</t>
        </is>
      </c>
      <c r="J9" s="34" t="inlineStr">
        <is>
          <t>Aluno (n/d) turma C m</t>
        </is>
      </c>
    </row>
    <row r="10">
      <c r="A10" s="34">
        <f>IFERROR(__xludf.DUMMYFUNCTION("""COMPUTED_VALUE"""),"AQUIRIZ ARAUJO DE FREITAS")</f>
        <v/>
      </c>
      <c r="B10" s="34">
        <f>IFERROR(__xludf.DUMMYFUNCTION("""COMPUTED_VALUE"""),"Turma C")</f>
        <v/>
      </c>
      <c r="C10" s="34">
        <f>IFERROR(__xludf.DUMMYFUNCTION("""COMPUTED_VALUE"""),"Vespertino")</f>
        <v/>
      </c>
      <c r="D10" s="34" t="inlineStr">
        <is>
          <t>Veio</t>
        </is>
      </c>
      <c r="F10" s="134" t="n"/>
      <c r="G10" s="114" t="inlineStr">
        <is>
          <t>B1 v</t>
        </is>
      </c>
      <c r="H10" s="114" t="inlineStr">
        <is>
          <t>A v</t>
        </is>
      </c>
      <c r="I10" s="65" t="inlineStr">
        <is>
          <t>Empate</t>
        </is>
      </c>
      <c r="J10" s="34" t="inlineStr">
        <is>
          <t>Aluno 049 D v</t>
        </is>
      </c>
    </row>
    <row r="11">
      <c r="A11" s="34">
        <f>IFERROR(__xludf.DUMMYFUNCTION("""COMPUTED_VALUE"""),"ARTHUR FERREIRA NAPOLEÃO")</f>
        <v/>
      </c>
      <c r="B11" s="34">
        <f>IFERROR(__xludf.DUMMYFUNCTION("""COMPUTED_VALUE"""),"Turma D")</f>
        <v/>
      </c>
      <c r="C11" s="34">
        <f>IFERROR(__xludf.DUMMYFUNCTION("""COMPUTED_VALUE"""),"Matutino")</f>
        <v/>
      </c>
      <c r="D11" s="34" t="inlineStr">
        <is>
          <t>Veio</t>
        </is>
      </c>
      <c r="F11" s="134" t="n"/>
      <c r="G11" s="114" t="inlineStr">
        <is>
          <t>A m</t>
        </is>
      </c>
      <c r="H11" s="114" t="inlineStr">
        <is>
          <t>A v</t>
        </is>
      </c>
      <c r="I11" s="65" t="inlineStr">
        <is>
          <t>A v</t>
        </is>
      </c>
      <c r="J11" s="34" t="inlineStr">
        <is>
          <t>Aluno (n/d) D m</t>
        </is>
      </c>
    </row>
    <row r="12">
      <c r="A12" s="34">
        <f>IFERROR(__xludf.DUMMYFUNCTION("""COMPUTED_VALUE"""),"ARTHUR LOPES RODRIGUES NEVES")</f>
        <v/>
      </c>
      <c r="B12" s="34">
        <f>IFERROR(__xludf.DUMMYFUNCTION("""COMPUTED_VALUE"""),"Turma B2")</f>
        <v/>
      </c>
      <c r="C12" s="34">
        <f>IFERROR(__xludf.DUMMYFUNCTION("""COMPUTED_VALUE"""),"Vespertino")</f>
        <v/>
      </c>
      <c r="D12" s="34" t="inlineStr">
        <is>
          <t>Veio</t>
        </is>
      </c>
      <c r="F12" s="134" t="n"/>
      <c r="G12" s="114" t="inlineStr">
        <is>
          <t>B1 v</t>
        </is>
      </c>
      <c r="H12" s="114" t="inlineStr">
        <is>
          <t>B2 m</t>
        </is>
      </c>
      <c r="I12" s="65" t="inlineStr">
        <is>
          <t>B1 v</t>
        </is>
      </c>
    </row>
    <row r="13">
      <c r="A13" s="34">
        <f>IFERROR(__xludf.DUMMYFUNCTION("""COMPUTED_VALUE"""),"ARTHUR SANTANA BARBOSA")</f>
        <v/>
      </c>
      <c r="B13" s="34">
        <f>IFERROR(__xludf.DUMMYFUNCTION("""COMPUTED_VALUE"""),"Turma A")</f>
        <v/>
      </c>
      <c r="C13" s="34">
        <f>IFERROR(__xludf.DUMMYFUNCTION("""COMPUTED_VALUE"""),"Vespertino")</f>
        <v/>
      </c>
      <c r="D13" s="34" t="inlineStr">
        <is>
          <t>Veio</t>
        </is>
      </c>
      <c r="F13" s="67" t="inlineStr">
        <is>
          <t>Juvenil</t>
        </is>
      </c>
      <c r="G13" s="114" t="inlineStr">
        <is>
          <t>C m</t>
        </is>
      </c>
      <c r="H13" s="114" t="inlineStr">
        <is>
          <t>D v</t>
        </is>
      </c>
      <c r="I13" s="65" t="inlineStr">
        <is>
          <t>D v</t>
        </is>
      </c>
      <c r="K13" s="34" t="inlineStr">
        <is>
          <t>Aluno (n/d) D v expulso (individual)</t>
        </is>
      </c>
    </row>
    <row r="14">
      <c r="A14" s="34">
        <f>IFERROR(__xludf.DUMMYFUNCTION("""COMPUTED_VALUE"""),"ASAPH GABRIEL SALES ANICETO")</f>
        <v/>
      </c>
      <c r="B14" s="34">
        <f>IFERROR(__xludf.DUMMYFUNCTION("""COMPUTED_VALUE"""),"Turma B2")</f>
        <v/>
      </c>
      <c r="C14" s="34">
        <f>IFERROR(__xludf.DUMMYFUNCTION("""COMPUTED_VALUE"""),"Matutino")</f>
        <v/>
      </c>
      <c r="D14" s="34" t="inlineStr">
        <is>
          <t>Veio</t>
        </is>
      </c>
      <c r="F14" s="134" t="n"/>
      <c r="G14" s="114" t="inlineStr">
        <is>
          <t>C v</t>
        </is>
      </c>
      <c r="H14" s="114" t="inlineStr">
        <is>
          <t>D m</t>
        </is>
      </c>
      <c r="I14" s="65" t="inlineStr">
        <is>
          <t>D m</t>
        </is>
      </c>
    </row>
    <row r="15">
      <c r="A15" s="34">
        <f>IFERROR(__xludf.DUMMYFUNCTION("""COMPUTED_VALUE"""),"Breno Henrique Germano Dos Santos")</f>
        <v/>
      </c>
      <c r="B15" s="34">
        <f>IFERROR(__xludf.DUMMYFUNCTION("""COMPUTED_VALUE"""),"Turma C")</f>
        <v/>
      </c>
      <c r="C15" s="34">
        <f>IFERROR(__xludf.DUMMYFUNCTION("""COMPUTED_VALUE"""),"Matutino")</f>
        <v/>
      </c>
      <c r="D15" s="34" t="inlineStr">
        <is>
          <t>Veio</t>
        </is>
      </c>
      <c r="F15" s="134" t="n"/>
      <c r="G15" s="114" t="inlineStr">
        <is>
          <t>B2 v</t>
        </is>
      </c>
      <c r="H15" s="114" t="inlineStr">
        <is>
          <t>D v</t>
        </is>
      </c>
      <c r="I15" s="65" t="inlineStr">
        <is>
          <t>D v</t>
        </is>
      </c>
    </row>
    <row r="16">
      <c r="A16" s="34">
        <f>IFERROR(__xludf.DUMMYFUNCTION("""COMPUTED_VALUE"""),"CAIO RUAN GERÔNIMO OLIVEIRA")</f>
        <v/>
      </c>
      <c r="B16" s="34">
        <f>IFERROR(__xludf.DUMMYFUNCTION("""COMPUTED_VALUE"""),"Turma E")</f>
        <v/>
      </c>
      <c r="C16" s="34">
        <f>IFERROR(__xludf.DUMMYFUNCTION("""COMPUTED_VALUE"""),"Matutino")</f>
        <v/>
      </c>
      <c r="D16" s="34" t="inlineStr">
        <is>
          <t>Veio</t>
        </is>
      </c>
      <c r="F16" s="134" t="n"/>
      <c r="G16" s="114" t="inlineStr">
        <is>
          <t>C m</t>
        </is>
      </c>
      <c r="H16" s="114" t="inlineStr">
        <is>
          <t>C v</t>
        </is>
      </c>
      <c r="I16" s="65" t="inlineStr">
        <is>
          <t>C v</t>
        </is>
      </c>
    </row>
    <row r="17">
      <c r="A17" s="34">
        <f>IFERROR(__xludf.DUMMYFUNCTION("""COMPUTED_VALUE"""),"CAIO SOUZA PRÓCÓPIO DA SILVA")</f>
        <v/>
      </c>
      <c r="B17" s="34">
        <f>IFERROR(__xludf.DUMMYFUNCTION("""COMPUTED_VALUE"""),"Turma E")</f>
        <v/>
      </c>
      <c r="C17" s="34">
        <f>IFERROR(__xludf.DUMMYFUNCTION("""COMPUTED_VALUE"""),"Matutino")</f>
        <v/>
      </c>
      <c r="D17" s="34" t="inlineStr">
        <is>
          <t>Veio</t>
        </is>
      </c>
      <c r="F17" s="134" t="n"/>
      <c r="G17" s="114" t="inlineStr">
        <is>
          <t>B2 v</t>
        </is>
      </c>
      <c r="H17" s="114" t="inlineStr">
        <is>
          <t>D m</t>
        </is>
      </c>
      <c r="I17" s="65" t="inlineStr">
        <is>
          <t>D m</t>
        </is>
      </c>
    </row>
    <row r="18">
      <c r="A18" s="34">
        <f>IFERROR(__xludf.DUMMYFUNCTION("""COMPUTED_VALUE"""),"CARLOS DANIEL BARROSO FERREIRA")</f>
        <v/>
      </c>
      <c r="B18" s="34">
        <f>IFERROR(__xludf.DUMMYFUNCTION("""COMPUTED_VALUE"""),"Turma C")</f>
        <v/>
      </c>
      <c r="C18" s="34">
        <f>IFERROR(__xludf.DUMMYFUNCTION("""COMPUTED_VALUE"""),"Vespertino")</f>
        <v/>
      </c>
      <c r="D18" s="34" t="inlineStr">
        <is>
          <t>Veio</t>
        </is>
      </c>
      <c r="F18" s="134" t="n"/>
      <c r="G18" s="24" t="inlineStr">
        <is>
          <t>D v</t>
        </is>
      </c>
      <c r="H18" s="24" t="inlineStr">
        <is>
          <t>C v</t>
        </is>
      </c>
      <c r="I18" s="65" t="inlineStr">
        <is>
          <t>D v</t>
        </is>
      </c>
    </row>
    <row r="19">
      <c r="A19" s="34">
        <f>IFERROR(__xludf.DUMMYFUNCTION("""COMPUTED_VALUE"""),"Carlos Eduardo De Souza")</f>
        <v/>
      </c>
      <c r="B19" s="34">
        <f>IFERROR(__xludf.DUMMYFUNCTION("""COMPUTED_VALUE"""),"Turma D")</f>
        <v/>
      </c>
      <c r="C19" s="34">
        <f>IFERROR(__xludf.DUMMYFUNCTION("""COMPUTED_VALUE"""),"Vespertino")</f>
        <v/>
      </c>
      <c r="D19" s="34" t="inlineStr">
        <is>
          <t>Veio</t>
        </is>
      </c>
      <c r="F19" s="134" t="n"/>
      <c r="G19" s="24" t="inlineStr">
        <is>
          <t>B2 v</t>
        </is>
      </c>
      <c r="H19" s="24" t="inlineStr">
        <is>
          <t>C v</t>
        </is>
      </c>
      <c r="I19" s="65" t="inlineStr">
        <is>
          <t>B2 v</t>
        </is>
      </c>
    </row>
    <row r="20">
      <c r="A20" s="34">
        <f>IFERROR(__xludf.DUMMYFUNCTION("""COMPUTED_VALUE"""),"CARLOS EDUARDO GENUINO DE ALENCAR")</f>
        <v/>
      </c>
      <c r="B20" s="34">
        <f>IFERROR(__xludf.DUMMYFUNCTION("""COMPUTED_VALUE"""),"Turma C")</f>
        <v/>
      </c>
      <c r="C20" s="34">
        <f>IFERROR(__xludf.DUMMYFUNCTION("""COMPUTED_VALUE"""),"Vespertino")</f>
        <v/>
      </c>
      <c r="D20" s="34" t="inlineStr">
        <is>
          <t>Veio</t>
        </is>
      </c>
      <c r="F20" s="134" t="n"/>
      <c r="G20" s="24" t="inlineStr">
        <is>
          <t>D m</t>
        </is>
      </c>
      <c r="H20" s="24" t="inlineStr">
        <is>
          <t>C m</t>
        </is>
      </c>
      <c r="I20" s="65" t="inlineStr">
        <is>
          <t>D m</t>
        </is>
      </c>
    </row>
    <row r="21">
      <c r="A21" s="34">
        <f>IFERROR(__xludf.DUMMYFUNCTION("""COMPUTED_VALUE"""),"CAUÃ SOUZA PROCÓPIO DA SILVA")</f>
        <v/>
      </c>
      <c r="B21" s="34">
        <f>IFERROR(__xludf.DUMMYFUNCTION("""COMPUTED_VALUE"""),"Turma A")</f>
        <v/>
      </c>
      <c r="C21" s="34">
        <f>IFERROR(__xludf.DUMMYFUNCTION("""COMPUTED_VALUE"""),"Vespertino")</f>
        <v/>
      </c>
      <c r="D21" s="34" t="inlineStr">
        <is>
          <t>Veio</t>
        </is>
      </c>
      <c r="F21" s="134" t="n"/>
      <c r="G21" s="24" t="inlineStr">
        <is>
          <t>B2 v</t>
        </is>
      </c>
      <c r="H21" s="24" t="inlineStr">
        <is>
          <t>C m</t>
        </is>
      </c>
      <c r="I21" s="65" t="inlineStr">
        <is>
          <t>Empate</t>
        </is>
      </c>
    </row>
    <row r="22">
      <c r="A22" s="34">
        <f>IFERROR(__xludf.DUMMYFUNCTION("""COMPUTED_VALUE"""),"CAUÃ VITORINO HOTTS DA SILVA")</f>
        <v/>
      </c>
      <c r="B22" s="34">
        <f>IFERROR(__xludf.DUMMYFUNCTION("""COMPUTED_VALUE"""),"Turma E")</f>
        <v/>
      </c>
      <c r="C22" s="34">
        <f>IFERROR(__xludf.DUMMYFUNCTION("""COMPUTED_VALUE"""),"Vespertino")</f>
        <v/>
      </c>
      <c r="D22" s="34" t="inlineStr">
        <is>
          <t>Veio</t>
        </is>
      </c>
      <c r="F22" s="134" t="n"/>
      <c r="G22" s="24" t="inlineStr">
        <is>
          <t>D m</t>
        </is>
      </c>
      <c r="H22" s="24" t="inlineStr">
        <is>
          <t>D v</t>
        </is>
      </c>
      <c r="I22" s="65" t="inlineStr">
        <is>
          <t>D v</t>
        </is>
      </c>
    </row>
    <row r="23">
      <c r="A23" s="34">
        <f>IFERROR(__xludf.DUMMYFUNCTION("""COMPUTED_VALUE"""),"CLAUDIA GABRIELY CAMARGO MOREIRA")</f>
        <v/>
      </c>
      <c r="B23" s="34">
        <f>IFERROR(__xludf.DUMMYFUNCTION("""COMPUTED_VALUE"""),"Turma D")</f>
        <v/>
      </c>
      <c r="C23" s="34">
        <f>IFERROR(__xludf.DUMMYFUNCTION("""COMPUTED_VALUE"""),"Matutino")</f>
        <v/>
      </c>
      <c r="D23" s="34" t="inlineStr">
        <is>
          <t>Veio</t>
        </is>
      </c>
      <c r="F23" s="137" t="inlineStr">
        <is>
          <t>Júnior</t>
        </is>
      </c>
      <c r="G23" s="114" t="inlineStr">
        <is>
          <t>E m</t>
        </is>
      </c>
      <c r="H23" s="114" t="inlineStr">
        <is>
          <t>E v</t>
        </is>
      </c>
      <c r="I23" s="65" t="inlineStr">
        <is>
          <t>E m</t>
        </is>
      </c>
      <c r="J23" s="34" t="inlineStr">
        <is>
          <t>Aluno (n/d)</t>
        </is>
      </c>
    </row>
    <row r="24">
      <c r="A24" s="34">
        <f>IFERROR(__xludf.DUMMYFUNCTION("""COMPUTED_VALUE"""),"DANIEL VIEIRA MARTINS")</f>
        <v/>
      </c>
      <c r="B24" s="34">
        <f>IFERROR(__xludf.DUMMYFUNCTION("""COMPUTED_VALUE"""),"Turma B1")</f>
        <v/>
      </c>
      <c r="C24" s="34">
        <f>IFERROR(__xludf.DUMMYFUNCTION("""COMPUTED_VALUE"""),"Matutino")</f>
        <v/>
      </c>
      <c r="D24" s="34" t="inlineStr">
        <is>
          <t>Veio</t>
        </is>
      </c>
      <c r="F24" s="134" t="n"/>
      <c r="G24" s="114" t="inlineStr">
        <is>
          <t>GR</t>
        </is>
      </c>
      <c r="H24" s="114" t="inlineStr">
        <is>
          <t>E m</t>
        </is>
      </c>
      <c r="I24" s="65" t="inlineStr">
        <is>
          <t>Empate</t>
        </is>
      </c>
      <c r="J24" s="24" t="n"/>
    </row>
    <row r="25">
      <c r="A25" s="34">
        <f>IFERROR(__xludf.DUMMYFUNCTION("""COMPUTED_VALUE"""),"Danielly Hilary Almeida Martins")</f>
        <v/>
      </c>
      <c r="B25" s="34">
        <f>IFERROR(__xludf.DUMMYFUNCTION("""COMPUTED_VALUE"""),"Turma D")</f>
        <v/>
      </c>
      <c r="C25" s="34">
        <f>IFERROR(__xludf.DUMMYFUNCTION("""COMPUTED_VALUE"""),"Vespertino")</f>
        <v/>
      </c>
      <c r="D25" s="34" t="inlineStr">
        <is>
          <t>Veio</t>
        </is>
      </c>
      <c r="F25" s="135" t="n"/>
      <c r="G25" s="114" t="inlineStr">
        <is>
          <t>E v</t>
        </is>
      </c>
      <c r="H25" s="114" t="inlineStr">
        <is>
          <t>GR</t>
        </is>
      </c>
      <c r="I25" s="65" t="inlineStr">
        <is>
          <t>GR</t>
        </is>
      </c>
      <c r="J25" s="24" t="n"/>
    </row>
    <row r="26">
      <c r="A26" s="34">
        <f>IFERROR(__xludf.DUMMYFUNCTION("""COMPUTED_VALUE"""),"Darlan Guilherme Sobreiro Romero Da Silva")</f>
        <v/>
      </c>
      <c r="B26" s="34">
        <f>IFERROR(__xludf.DUMMYFUNCTION("""COMPUTED_VALUE"""),"Turma D")</f>
        <v/>
      </c>
      <c r="C26" s="34">
        <f>IFERROR(__xludf.DUMMYFUNCTION("""COMPUTED_VALUE"""),"Vespertino")</f>
        <v/>
      </c>
      <c r="D26" s="34" t="inlineStr">
        <is>
          <t>Veio</t>
        </is>
      </c>
      <c r="F26" s="59" t="n"/>
      <c r="G26" s="24" t="n"/>
      <c r="H26" s="24" t="n"/>
      <c r="I26" s="24" t="n"/>
    </row>
    <row r="27">
      <c r="A27" s="34">
        <f>IFERROR(__xludf.DUMMYFUNCTION("""COMPUTED_VALUE"""),"DAVI LORENZO BARBOSA MOREIRA")</f>
        <v/>
      </c>
      <c r="B27" s="34">
        <f>IFERROR(__xludf.DUMMYFUNCTION("""COMPUTED_VALUE"""),"Turma C")</f>
        <v/>
      </c>
      <c r="C27" s="34">
        <f>IFERROR(__xludf.DUMMYFUNCTION("""COMPUTED_VALUE"""),"Vespertino")</f>
        <v/>
      </c>
      <c r="D27" s="34" t="inlineStr">
        <is>
          <t>Veio</t>
        </is>
      </c>
      <c r="F27" s="59" t="n"/>
      <c r="G27" s="24" t="n"/>
      <c r="H27" s="24" t="n"/>
      <c r="I27" s="24" t="n"/>
    </row>
    <row r="28">
      <c r="A28" s="34">
        <f>IFERROR(__xludf.DUMMYFUNCTION("""COMPUTED_VALUE"""),"DAVI LUCAS ALVES DE SOUZA")</f>
        <v/>
      </c>
      <c r="B28" s="34">
        <f>IFERROR(__xludf.DUMMYFUNCTION("""COMPUTED_VALUE"""),"Turma B1")</f>
        <v/>
      </c>
      <c r="C28" s="34">
        <f>IFERROR(__xludf.DUMMYFUNCTION("""COMPUTED_VALUE"""),"Matutino")</f>
        <v/>
      </c>
      <c r="D28" s="34" t="inlineStr">
        <is>
          <t>Veio</t>
        </is>
      </c>
      <c r="F28" s="59" t="n"/>
      <c r="G28" s="24" t="n"/>
      <c r="H28" s="24" t="n"/>
      <c r="I28" s="24" t="n"/>
    </row>
    <row r="29">
      <c r="A29" s="34">
        <f>IFERROR(__xludf.DUMMYFUNCTION("""COMPUTED_VALUE"""),"DAVI LUCAS DE LIMA TRINDADE")</f>
        <v/>
      </c>
      <c r="B29" s="34">
        <f>IFERROR(__xludf.DUMMYFUNCTION("""COMPUTED_VALUE"""),"Turma C")</f>
        <v/>
      </c>
      <c r="C29" s="34">
        <f>IFERROR(__xludf.DUMMYFUNCTION("""COMPUTED_VALUE"""),"Vespertino")</f>
        <v/>
      </c>
      <c r="D29" s="34" t="inlineStr">
        <is>
          <t>Veio</t>
        </is>
      </c>
      <c r="F29" s="59" t="n"/>
      <c r="G29" s="24" t="n"/>
      <c r="H29" s="24" t="n"/>
      <c r="I29" s="24" t="n"/>
    </row>
    <row r="30">
      <c r="A30" s="34">
        <f>IFERROR(__xludf.DUMMYFUNCTION("""COMPUTED_VALUE"""),"David William Pimenta Menezes")</f>
        <v/>
      </c>
      <c r="B30" s="34">
        <f>IFERROR(__xludf.DUMMYFUNCTION("""COMPUTED_VALUE"""),"Turma D")</f>
        <v/>
      </c>
      <c r="C30" s="34">
        <f>IFERROR(__xludf.DUMMYFUNCTION("""COMPUTED_VALUE"""),"Vespertino")</f>
        <v/>
      </c>
      <c r="D30" s="34" t="inlineStr">
        <is>
          <t>Veio</t>
        </is>
      </c>
      <c r="F30" s="59" t="n"/>
      <c r="G30" s="24" t="n"/>
      <c r="H30" s="24" t="n"/>
      <c r="I30" s="24" t="n"/>
    </row>
    <row r="31">
      <c r="A31" s="34">
        <f>IFERROR(__xludf.DUMMYFUNCTION("""COMPUTED_VALUE"""),"DAVY THAYLOM OLIVEIRA DOS SANTOS")</f>
        <v/>
      </c>
      <c r="B31" s="34">
        <f>IFERROR(__xludf.DUMMYFUNCTION("""COMPUTED_VALUE"""),"Turma A")</f>
        <v/>
      </c>
      <c r="C31" s="34">
        <f>IFERROR(__xludf.DUMMYFUNCTION("""COMPUTED_VALUE"""),"Vespertino")</f>
        <v/>
      </c>
      <c r="D31" s="34" t="inlineStr">
        <is>
          <t>Veio</t>
        </is>
      </c>
      <c r="F31" s="59" t="n"/>
      <c r="G31" s="24" t="n"/>
      <c r="H31" s="24" t="n"/>
      <c r="I31" s="24" t="n"/>
    </row>
    <row r="32">
      <c r="A32" s="34">
        <f>IFERROR(__xludf.DUMMYFUNCTION("""COMPUTED_VALUE"""),"DERIK PEREIRA VIANA")</f>
        <v/>
      </c>
      <c r="B32" s="34">
        <f>IFERROR(__xludf.DUMMYFUNCTION("""COMPUTED_VALUE"""),"Turma B2")</f>
        <v/>
      </c>
      <c r="C32" s="34">
        <f>IFERROR(__xludf.DUMMYFUNCTION("""COMPUTED_VALUE"""),"Vespertino")</f>
        <v/>
      </c>
      <c r="D32" s="34" t="inlineStr">
        <is>
          <t>Veio</t>
        </is>
      </c>
      <c r="F32" s="59" t="n"/>
      <c r="G32" s="24" t="n"/>
      <c r="H32" s="24" t="n"/>
      <c r="I32" s="24" t="n"/>
    </row>
    <row r="33">
      <c r="A33" s="34">
        <f>IFERROR(__xludf.DUMMYFUNCTION("""COMPUTED_VALUE"""),"DIEGO MARQUES SOUZA DA SILVA")</f>
        <v/>
      </c>
      <c r="B33" s="34">
        <f>IFERROR(__xludf.DUMMYFUNCTION("""COMPUTED_VALUE"""),"Turma E")</f>
        <v/>
      </c>
      <c r="C33" s="34">
        <f>IFERROR(__xludf.DUMMYFUNCTION("""COMPUTED_VALUE"""),"Matutino")</f>
        <v/>
      </c>
      <c r="D33" s="34" t="inlineStr">
        <is>
          <t>Veio</t>
        </is>
      </c>
      <c r="G33" s="24" t="n"/>
      <c r="H33" s="24" t="n"/>
      <c r="I33" s="24" t="n"/>
    </row>
    <row r="34">
      <c r="A34" s="34">
        <f>IFERROR(__xludf.DUMMYFUNCTION("""COMPUTED_VALUE"""),"DIEGO RENAN OLIVEIRA DA SILVA")</f>
        <v/>
      </c>
      <c r="B34" s="34">
        <f>IFERROR(__xludf.DUMMYFUNCTION("""COMPUTED_VALUE"""),"Turma E")</f>
        <v/>
      </c>
      <c r="C34" s="34">
        <f>IFERROR(__xludf.DUMMYFUNCTION("""COMPUTED_VALUE"""),"Vespertino")</f>
        <v/>
      </c>
      <c r="D34" s="34" t="inlineStr">
        <is>
          <t>Veio</t>
        </is>
      </c>
      <c r="G34" s="24" t="n"/>
      <c r="H34" s="24" t="n"/>
      <c r="I34" s="24" t="n"/>
    </row>
    <row r="35">
      <c r="A35" s="34">
        <f>IFERROR(__xludf.DUMMYFUNCTION("""COMPUTED_VALUE"""),"ELIZEU MURILO JATOBÁ TRINDADE")</f>
        <v/>
      </c>
      <c r="B35" s="34">
        <f>IFERROR(__xludf.DUMMYFUNCTION("""COMPUTED_VALUE"""),"Turma B2")</f>
        <v/>
      </c>
      <c r="C35" s="34">
        <f>IFERROR(__xludf.DUMMYFUNCTION("""COMPUTED_VALUE"""),"Vespertino")</f>
        <v/>
      </c>
      <c r="D35" s="34" t="inlineStr">
        <is>
          <t>Veio</t>
        </is>
      </c>
      <c r="G35" s="24" t="n"/>
      <c r="H35" s="24" t="n"/>
      <c r="I35" s="24" t="n"/>
    </row>
    <row r="36">
      <c r="A36" s="34">
        <f>IFERROR(__xludf.DUMMYFUNCTION("""COMPUTED_VALUE"""),"EMANUEL BATISTA DA SILVA")</f>
        <v/>
      </c>
      <c r="B36" s="34">
        <f>IFERROR(__xludf.DUMMYFUNCTION("""COMPUTED_VALUE"""),"Turma E")</f>
        <v/>
      </c>
      <c r="C36" s="34">
        <f>IFERROR(__xludf.DUMMYFUNCTION("""COMPUTED_VALUE"""),"Vespertino")</f>
        <v/>
      </c>
      <c r="D36" s="34" t="inlineStr">
        <is>
          <t>Veio</t>
        </is>
      </c>
      <c r="G36" s="24" t="n"/>
      <c r="H36" s="24" t="n"/>
      <c r="I36" s="24" t="n"/>
    </row>
    <row r="37">
      <c r="A37" s="34">
        <f>IFERROR(__xludf.DUMMYFUNCTION("""COMPUTED_VALUE"""),"EMANUELLY DA SILVA SANTOS")</f>
        <v/>
      </c>
      <c r="B37" s="34">
        <f>IFERROR(__xludf.DUMMYFUNCTION("""COMPUTED_VALUE"""),"Turma B1")</f>
        <v/>
      </c>
      <c r="C37" s="34">
        <f>IFERROR(__xludf.DUMMYFUNCTION("""COMPUTED_VALUE"""),"Matutino")</f>
        <v/>
      </c>
      <c r="D37" s="34" t="inlineStr">
        <is>
          <t>Veio</t>
        </is>
      </c>
      <c r="G37" s="24" t="n"/>
      <c r="H37" s="24" t="n"/>
      <c r="I37" s="24" t="n"/>
    </row>
    <row r="38">
      <c r="A38" s="34">
        <f>IFERROR(__xludf.DUMMYFUNCTION("""COMPUTED_VALUE"""),"EMILY VITÓRIA DA SILVA SANTOS")</f>
        <v/>
      </c>
      <c r="B38" s="34">
        <f>IFERROR(__xludf.DUMMYFUNCTION("""COMPUTED_VALUE"""),"Turma GR")</f>
        <v/>
      </c>
      <c r="C38" s="34">
        <f>IFERROR(__xludf.DUMMYFUNCTION("""COMPUTED_VALUE"""),"Vespertino")</f>
        <v/>
      </c>
      <c r="D38" s="34" t="inlineStr">
        <is>
          <t>Veio</t>
        </is>
      </c>
      <c r="G38" s="24" t="n"/>
      <c r="H38" s="24" t="n"/>
      <c r="I38" s="24" t="n"/>
    </row>
    <row r="39">
      <c r="A39" s="34">
        <f>IFERROR(__xludf.DUMMYFUNCTION("""COMPUTED_VALUE"""),"ENZO GABRIEL FERREIRA DOS SANTOS")</f>
        <v/>
      </c>
      <c r="B39" s="34">
        <f>IFERROR(__xludf.DUMMYFUNCTION("""COMPUTED_VALUE"""),"Turma B2")</f>
        <v/>
      </c>
      <c r="C39" s="34">
        <f>IFERROR(__xludf.DUMMYFUNCTION("""COMPUTED_VALUE"""),"Vespertino")</f>
        <v/>
      </c>
      <c r="D39" s="34" t="inlineStr">
        <is>
          <t>Veio</t>
        </is>
      </c>
      <c r="G39" s="24" t="n"/>
      <c r="H39" s="24" t="n"/>
      <c r="I39" s="24" t="n"/>
    </row>
    <row r="40">
      <c r="A40" s="34">
        <f>IFERROR(__xludf.DUMMYFUNCTION("""COMPUTED_VALUE"""),"ERIK KAUAN DE SOUSA SILVA")</f>
        <v/>
      </c>
      <c r="B40" s="34">
        <f>IFERROR(__xludf.DUMMYFUNCTION("""COMPUTED_VALUE"""),"Turma B1")</f>
        <v/>
      </c>
      <c r="C40" s="34">
        <f>IFERROR(__xludf.DUMMYFUNCTION("""COMPUTED_VALUE"""),"Matutino")</f>
        <v/>
      </c>
      <c r="D40" s="34" t="inlineStr">
        <is>
          <t>Veio</t>
        </is>
      </c>
      <c r="G40" s="24" t="n"/>
      <c r="H40" s="24" t="n"/>
      <c r="I40" s="24" t="n"/>
    </row>
    <row r="41">
      <c r="A41" s="34">
        <f>IFERROR(__xludf.DUMMYFUNCTION("""COMPUTED_VALUE"""),"EROS PINHEIRO")</f>
        <v/>
      </c>
      <c r="B41" s="34">
        <f>IFERROR(__xludf.DUMMYFUNCTION("""COMPUTED_VALUE"""),"Turma GR")</f>
        <v/>
      </c>
      <c r="C41" s="34">
        <f>IFERROR(__xludf.DUMMYFUNCTION("""COMPUTED_VALUE"""),"Vespertino")</f>
        <v/>
      </c>
      <c r="D41" s="34" t="inlineStr">
        <is>
          <t>Veio</t>
        </is>
      </c>
      <c r="G41" s="24" t="n"/>
      <c r="H41" s="24" t="n"/>
      <c r="I41" s="24" t="n"/>
    </row>
    <row r="42">
      <c r="A42" s="34">
        <f>IFERROR(__xludf.DUMMYFUNCTION("""COMPUTED_VALUE"""),"ESTEPHANIE ISADORA SALES ROQUE")</f>
        <v/>
      </c>
      <c r="B42" s="34">
        <f>IFERROR(__xludf.DUMMYFUNCTION("""COMPUTED_VALUE"""),"Turma GR")</f>
        <v/>
      </c>
      <c r="C42" s="34">
        <f>IFERROR(__xludf.DUMMYFUNCTION("""COMPUTED_VALUE"""),"Vespertino")</f>
        <v/>
      </c>
      <c r="D42" s="34" t="inlineStr">
        <is>
          <t>Veio</t>
        </is>
      </c>
      <c r="G42" s="24" t="n"/>
      <c r="H42" s="24" t="n"/>
      <c r="I42" s="24" t="n"/>
    </row>
    <row r="43">
      <c r="A43" s="34">
        <f>IFERROR(__xludf.DUMMYFUNCTION("""COMPUTED_VALUE"""),"FELIPE LUAN DELGADO DOS SANTOS")</f>
        <v/>
      </c>
      <c r="B43" s="34">
        <f>IFERROR(__xludf.DUMMYFUNCTION("""COMPUTED_VALUE"""),"Turma C")</f>
        <v/>
      </c>
      <c r="C43" s="34">
        <f>IFERROR(__xludf.DUMMYFUNCTION("""COMPUTED_VALUE"""),"Vespertino")</f>
        <v/>
      </c>
      <c r="D43" s="34" t="inlineStr">
        <is>
          <t>Veio</t>
        </is>
      </c>
      <c r="G43" s="24" t="n"/>
      <c r="H43" s="24" t="n"/>
      <c r="I43" s="24" t="n"/>
    </row>
    <row r="44">
      <c r="A44" s="34">
        <f>IFERROR(__xludf.DUMMYFUNCTION("""COMPUTED_VALUE"""),"GABRIEL SOUZA BRAZ")</f>
        <v/>
      </c>
      <c r="B44" s="34">
        <f>IFERROR(__xludf.DUMMYFUNCTION("""COMPUTED_VALUE"""),"Turma B1")</f>
        <v/>
      </c>
      <c r="C44" s="34">
        <f>IFERROR(__xludf.DUMMYFUNCTION("""COMPUTED_VALUE"""),"Matutino")</f>
        <v/>
      </c>
      <c r="D44" s="34" t="inlineStr">
        <is>
          <t>Veio</t>
        </is>
      </c>
      <c r="G44" s="24" t="n"/>
      <c r="H44" s="24" t="n"/>
      <c r="I44" s="24" t="n"/>
    </row>
    <row r="45">
      <c r="A45" s="34">
        <f>IFERROR(__xludf.DUMMYFUNCTION("""COMPUTED_VALUE"""),"GRAZIELLY VITÓRIA SOARES SANTOS")</f>
        <v/>
      </c>
      <c r="B45" s="34">
        <f>IFERROR(__xludf.DUMMYFUNCTION("""COMPUTED_VALUE"""),"Turma E")</f>
        <v/>
      </c>
      <c r="C45" s="34">
        <f>IFERROR(__xludf.DUMMYFUNCTION("""COMPUTED_VALUE"""),"Vespertino")</f>
        <v/>
      </c>
      <c r="D45" s="34" t="inlineStr">
        <is>
          <t>Veio</t>
        </is>
      </c>
      <c r="G45" s="24" t="n"/>
      <c r="H45" s="24" t="n"/>
      <c r="I45" s="24" t="n"/>
    </row>
    <row r="46">
      <c r="A46" s="34">
        <f>IFERROR(__xludf.DUMMYFUNCTION("""COMPUTED_VALUE"""),"GUILHERME DE ANDRADE ZENZI")</f>
        <v/>
      </c>
      <c r="B46" s="34">
        <f>IFERROR(__xludf.DUMMYFUNCTION("""COMPUTED_VALUE"""),"Turma E")</f>
        <v/>
      </c>
      <c r="C46" s="34">
        <f>IFERROR(__xludf.DUMMYFUNCTION("""COMPUTED_VALUE"""),"Vespertino")</f>
        <v/>
      </c>
      <c r="D46" s="34" t="inlineStr">
        <is>
          <t>Veio</t>
        </is>
      </c>
      <c r="G46" s="24" t="n"/>
      <c r="H46" s="24" t="n"/>
      <c r="I46" s="24" t="n"/>
    </row>
    <row r="47">
      <c r="A47" s="34">
        <f>IFERROR(__xludf.DUMMYFUNCTION("""COMPUTED_VALUE"""),"GULHERME SOARES")</f>
        <v/>
      </c>
      <c r="B47" s="34">
        <f>IFERROR(__xludf.DUMMYFUNCTION("""COMPUTED_VALUE"""),"Turma B2")</f>
        <v/>
      </c>
      <c r="C47" s="34">
        <f>IFERROR(__xludf.DUMMYFUNCTION("""COMPUTED_VALUE"""),"Vespertino")</f>
        <v/>
      </c>
      <c r="D47" s="34" t="inlineStr">
        <is>
          <t>Veio</t>
        </is>
      </c>
      <c r="G47" s="24" t="n"/>
      <c r="H47" s="24" t="n"/>
      <c r="I47" s="24" t="n"/>
    </row>
    <row r="48">
      <c r="A48" s="34">
        <f>IFERROR(__xludf.DUMMYFUNCTION("""COMPUTED_VALUE"""),"GUSTAVO GALVÃO DE JESUS")</f>
        <v/>
      </c>
      <c r="B48" s="34">
        <f>IFERROR(__xludf.DUMMYFUNCTION("""COMPUTED_VALUE"""),"Turma D")</f>
        <v/>
      </c>
      <c r="C48" s="34">
        <f>IFERROR(__xludf.DUMMYFUNCTION("""COMPUTED_VALUE"""),"Matutino")</f>
        <v/>
      </c>
      <c r="D48" s="34" t="inlineStr">
        <is>
          <t>Veio</t>
        </is>
      </c>
      <c r="G48" s="24" t="n"/>
      <c r="H48" s="24" t="n"/>
      <c r="I48" s="24" t="n"/>
    </row>
    <row r="49">
      <c r="A49" s="34">
        <f>IFERROR(__xludf.DUMMYFUNCTION("""COMPUTED_VALUE"""),"Heitor Miguel Barbosa De Melo Ferreira")</f>
        <v/>
      </c>
      <c r="B49" s="34">
        <f>IFERROR(__xludf.DUMMYFUNCTION("""COMPUTED_VALUE"""),"Turma C")</f>
        <v/>
      </c>
      <c r="C49" s="34">
        <f>IFERROR(__xludf.DUMMYFUNCTION("""COMPUTED_VALUE"""),"Matutino")</f>
        <v/>
      </c>
      <c r="D49" s="34" t="inlineStr">
        <is>
          <t>Veio</t>
        </is>
      </c>
      <c r="G49" s="24" t="n"/>
      <c r="H49" s="24" t="n"/>
      <c r="I49" s="24" t="n"/>
    </row>
    <row r="50">
      <c r="A50" s="34">
        <f>IFERROR(__xludf.DUMMYFUNCTION("""COMPUTED_VALUE"""),"Henrique Rocha Almeida")</f>
        <v/>
      </c>
      <c r="B50" s="34">
        <f>IFERROR(__xludf.DUMMYFUNCTION("""COMPUTED_VALUE"""),"Turma D")</f>
        <v/>
      </c>
      <c r="C50" s="34">
        <f>IFERROR(__xludf.DUMMYFUNCTION("""COMPUTED_VALUE"""),"Vespertino")</f>
        <v/>
      </c>
      <c r="D50" s="34" t="inlineStr">
        <is>
          <t>Veio</t>
        </is>
      </c>
      <c r="G50" s="24" t="n"/>
      <c r="H50" s="24" t="n"/>
      <c r="I50" s="24" t="n"/>
    </row>
    <row r="51">
      <c r="A51" s="34">
        <f>IFERROR(__xludf.DUMMYFUNCTION("""COMPUTED_VALUE"""),"Higor Santiago Castro Farfan")</f>
        <v/>
      </c>
      <c r="B51" s="34">
        <f>IFERROR(__xludf.DUMMYFUNCTION("""COMPUTED_VALUE"""),"Turma GR")</f>
        <v/>
      </c>
      <c r="C51" s="34">
        <f>IFERROR(__xludf.DUMMYFUNCTION("""COMPUTED_VALUE"""),"Vespertino")</f>
        <v/>
      </c>
      <c r="D51" s="34" t="inlineStr">
        <is>
          <t>Veio</t>
        </is>
      </c>
      <c r="G51" s="24" t="n"/>
      <c r="H51" s="24" t="n"/>
      <c r="I51" s="24" t="n"/>
    </row>
    <row r="52">
      <c r="A52" s="34">
        <f>IFERROR(__xludf.DUMMYFUNCTION("""COMPUTED_VALUE"""),"HIURY QUENUPE DE OLIVEIRA")</f>
        <v/>
      </c>
      <c r="B52" s="34">
        <f>IFERROR(__xludf.DUMMYFUNCTION("""COMPUTED_VALUE"""),"Turma E")</f>
        <v/>
      </c>
      <c r="C52" s="34">
        <f>IFERROR(__xludf.DUMMYFUNCTION("""COMPUTED_VALUE"""),"Matutino")</f>
        <v/>
      </c>
      <c r="D52" s="34" t="inlineStr">
        <is>
          <t>Veio</t>
        </is>
      </c>
      <c r="G52" s="24" t="n"/>
      <c r="H52" s="24" t="n"/>
      <c r="I52" s="24" t="n"/>
    </row>
    <row r="53">
      <c r="A53" s="34">
        <f>IFERROR(__xludf.DUMMYFUNCTION("""COMPUTED_VALUE"""),"IURY GUSTAVO GOMES BARBOSA")</f>
        <v/>
      </c>
      <c r="B53" s="34">
        <f>IFERROR(__xludf.DUMMYFUNCTION("""COMPUTED_VALUE"""),"Turma C")</f>
        <v/>
      </c>
      <c r="C53" s="34">
        <f>IFERROR(__xludf.DUMMYFUNCTION("""COMPUTED_VALUE"""),"Vespertino")</f>
        <v/>
      </c>
      <c r="D53" s="34" t="inlineStr">
        <is>
          <t>Veio</t>
        </is>
      </c>
      <c r="G53" s="24" t="n"/>
      <c r="H53" s="24" t="n"/>
      <c r="I53" s="24" t="n"/>
    </row>
    <row r="54">
      <c r="A54" s="34">
        <f>IFERROR(__xludf.DUMMYFUNCTION("""COMPUTED_VALUE"""),"Izaque Henrique Verdan Francisco")</f>
        <v/>
      </c>
      <c r="B54" s="34">
        <f>IFERROR(__xludf.DUMMYFUNCTION("""COMPUTED_VALUE"""),"Turma A")</f>
        <v/>
      </c>
      <c r="C54" s="34">
        <f>IFERROR(__xludf.DUMMYFUNCTION("""COMPUTED_VALUE"""),"Matutino")</f>
        <v/>
      </c>
      <c r="D54" s="34" t="inlineStr">
        <is>
          <t>Veio</t>
        </is>
      </c>
      <c r="G54" s="24" t="n"/>
      <c r="H54" s="24" t="n"/>
      <c r="I54" s="24" t="n"/>
    </row>
    <row r="55">
      <c r="A55" s="34">
        <f>IFERROR(__xludf.DUMMYFUNCTION("""COMPUTED_VALUE"""),"JHONNY VICTOR DE LIMA TRINDADE")</f>
        <v/>
      </c>
      <c r="B55" s="34">
        <f>IFERROR(__xludf.DUMMYFUNCTION("""COMPUTED_VALUE"""),"Turma E")</f>
        <v/>
      </c>
      <c r="C55" s="34">
        <f>IFERROR(__xludf.DUMMYFUNCTION("""COMPUTED_VALUE"""),"Vespertino")</f>
        <v/>
      </c>
      <c r="D55" s="34" t="inlineStr">
        <is>
          <t>Veio</t>
        </is>
      </c>
      <c r="G55" s="24" t="n"/>
      <c r="H55" s="24" t="n"/>
      <c r="I55" s="24" t="n"/>
    </row>
    <row r="56">
      <c r="A56" s="34">
        <f>IFERROR(__xludf.DUMMYFUNCTION("""COMPUTED_VALUE"""),"JOÃO GUILHERME FERREIRA DOS SANTOS")</f>
        <v/>
      </c>
      <c r="B56" s="34">
        <f>IFERROR(__xludf.DUMMYFUNCTION("""COMPUTED_VALUE"""),"Turma E")</f>
        <v/>
      </c>
      <c r="C56" s="34">
        <f>IFERROR(__xludf.DUMMYFUNCTION("""COMPUTED_VALUE"""),"Vespertino")</f>
        <v/>
      </c>
      <c r="D56" s="34" t="inlineStr">
        <is>
          <t>Veio</t>
        </is>
      </c>
      <c r="G56" s="24" t="n"/>
      <c r="H56" s="24" t="n"/>
      <c r="I56" s="24" t="n"/>
    </row>
    <row r="57">
      <c r="A57" s="34">
        <f>IFERROR(__xludf.DUMMYFUNCTION("""COMPUTED_VALUE"""),"João Miguel Medeiros De Oliveira")</f>
        <v/>
      </c>
      <c r="B57" s="34">
        <f>IFERROR(__xludf.DUMMYFUNCTION("""COMPUTED_VALUE"""),"Turma A")</f>
        <v/>
      </c>
      <c r="C57" s="34">
        <f>IFERROR(__xludf.DUMMYFUNCTION("""COMPUTED_VALUE"""),"Matutino")</f>
        <v/>
      </c>
      <c r="D57" s="34" t="inlineStr">
        <is>
          <t>Veio</t>
        </is>
      </c>
      <c r="G57" s="24" t="n"/>
      <c r="H57" s="24" t="n"/>
      <c r="I57" s="24" t="n"/>
    </row>
    <row r="58">
      <c r="A58" s="34">
        <f>IFERROR(__xludf.DUMMYFUNCTION("""COMPUTED_VALUE"""),"JOÃO PAULO LOPES PINHEIRO")</f>
        <v/>
      </c>
      <c r="B58" s="34">
        <f>IFERROR(__xludf.DUMMYFUNCTION("""COMPUTED_VALUE"""),"Turma B1")</f>
        <v/>
      </c>
      <c r="C58" s="34">
        <f>IFERROR(__xludf.DUMMYFUNCTION("""COMPUTED_VALUE"""),"Matutino")</f>
        <v/>
      </c>
      <c r="D58" s="34" t="inlineStr">
        <is>
          <t>Veio</t>
        </is>
      </c>
      <c r="G58" s="24" t="n"/>
      <c r="H58" s="24" t="n"/>
      <c r="I58" s="24" t="n"/>
    </row>
    <row r="59">
      <c r="A59" s="34">
        <f>IFERROR(__xludf.DUMMYFUNCTION("""COMPUTED_VALUE"""),"JOÃO PEDRO JESUS SOUZA")</f>
        <v/>
      </c>
      <c r="B59" s="34">
        <f>IFERROR(__xludf.DUMMYFUNCTION("""COMPUTED_VALUE"""),"Turma E")</f>
        <v/>
      </c>
      <c r="C59" s="34">
        <f>IFERROR(__xludf.DUMMYFUNCTION("""COMPUTED_VALUE"""),"Vespertino")</f>
        <v/>
      </c>
      <c r="D59" s="34" t="inlineStr">
        <is>
          <t>Veio</t>
        </is>
      </c>
      <c r="G59" s="24" t="n"/>
      <c r="H59" s="24" t="n"/>
      <c r="I59" s="24" t="n"/>
    </row>
    <row r="60">
      <c r="A60" s="34">
        <f>IFERROR(__xludf.DUMMYFUNCTION("""COMPUTED_VALUE"""),"JOÃO VICTOR CAETANO COELHO")</f>
        <v/>
      </c>
      <c r="B60" s="34">
        <f>IFERROR(__xludf.DUMMYFUNCTION("""COMPUTED_VALUE"""),"Turma E")</f>
        <v/>
      </c>
      <c r="C60" s="34">
        <f>IFERROR(__xludf.DUMMYFUNCTION("""COMPUTED_VALUE"""),"Matutino")</f>
        <v/>
      </c>
      <c r="D60" s="34" t="inlineStr">
        <is>
          <t>Veio</t>
        </is>
      </c>
      <c r="G60" s="24" t="n"/>
      <c r="H60" s="24" t="n"/>
      <c r="I60" s="24" t="n"/>
    </row>
    <row r="61">
      <c r="A61" s="34">
        <f>IFERROR(__xludf.DUMMYFUNCTION("""COMPUTED_VALUE"""),"Joaquim Miguel Silva Melo")</f>
        <v/>
      </c>
      <c r="B61" s="34">
        <f>IFERROR(__xludf.DUMMYFUNCTION("""COMPUTED_VALUE"""),"Turma C")</f>
        <v/>
      </c>
      <c r="C61" s="34">
        <f>IFERROR(__xludf.DUMMYFUNCTION("""COMPUTED_VALUE"""),"Matutino")</f>
        <v/>
      </c>
      <c r="D61" s="34" t="inlineStr">
        <is>
          <t>Veio</t>
        </is>
      </c>
      <c r="G61" s="24" t="n"/>
      <c r="H61" s="24" t="n"/>
      <c r="I61" s="24" t="n"/>
    </row>
    <row r="62">
      <c r="A62" s="34">
        <f>IFERROR(__xludf.DUMMYFUNCTION("""COMPUTED_VALUE"""),"JOSÉ GABRIEL NEVES OLIVEIRA")</f>
        <v/>
      </c>
      <c r="B62" s="34">
        <f>IFERROR(__xludf.DUMMYFUNCTION("""COMPUTED_VALUE"""),"Turma B2")</f>
        <v/>
      </c>
      <c r="C62" s="34">
        <f>IFERROR(__xludf.DUMMYFUNCTION("""COMPUTED_VALUE"""),"Vespertino")</f>
        <v/>
      </c>
      <c r="D62" s="34" t="inlineStr">
        <is>
          <t>Veio</t>
        </is>
      </c>
      <c r="G62" s="24" t="n"/>
      <c r="H62" s="24" t="n"/>
      <c r="I62" s="24" t="n"/>
    </row>
    <row r="63">
      <c r="A63" s="34">
        <f>IFERROR(__xludf.DUMMYFUNCTION("""COMPUTED_VALUE"""),"Jovana Victória Mendes De Macedo")</f>
        <v/>
      </c>
      <c r="B63" s="34">
        <f>IFERROR(__xludf.DUMMYFUNCTION("""COMPUTED_VALUE"""),"Turma C")</f>
        <v/>
      </c>
      <c r="C63" s="34">
        <f>IFERROR(__xludf.DUMMYFUNCTION("""COMPUTED_VALUE"""),"Matutino")</f>
        <v/>
      </c>
      <c r="D63" s="34" t="inlineStr">
        <is>
          <t>Veio</t>
        </is>
      </c>
      <c r="G63" s="24" t="n"/>
      <c r="H63" s="24" t="n"/>
      <c r="I63" s="24" t="n"/>
    </row>
    <row r="64">
      <c r="A64" s="34">
        <f>IFERROR(__xludf.DUMMYFUNCTION("""COMPUTED_VALUE"""),"Julia Emanuelly Lavratti Oliveira")</f>
        <v/>
      </c>
      <c r="B64" s="34">
        <f>IFERROR(__xludf.DUMMYFUNCTION("""COMPUTED_VALUE"""),"Turma A")</f>
        <v/>
      </c>
      <c r="C64" s="34">
        <f>IFERROR(__xludf.DUMMYFUNCTION("""COMPUTED_VALUE"""),"Matutino")</f>
        <v/>
      </c>
      <c r="D64" s="34" t="inlineStr">
        <is>
          <t>Veio</t>
        </is>
      </c>
      <c r="G64" s="24" t="n"/>
      <c r="H64" s="24" t="n"/>
      <c r="I64" s="24" t="n"/>
    </row>
    <row r="65">
      <c r="A65" s="34">
        <f>IFERROR(__xludf.DUMMYFUNCTION("""COMPUTED_VALUE"""),"JULIANO HENRIQUE GONÇALVES DA SILVA")</f>
        <v/>
      </c>
      <c r="B65" s="34">
        <f>IFERROR(__xludf.DUMMYFUNCTION("""COMPUTED_VALUE"""),"Turma B2")</f>
        <v/>
      </c>
      <c r="C65" s="34">
        <f>IFERROR(__xludf.DUMMYFUNCTION("""COMPUTED_VALUE"""),"Vespertino")</f>
        <v/>
      </c>
      <c r="D65" s="34" t="inlineStr">
        <is>
          <t>Veio</t>
        </is>
      </c>
      <c r="G65" s="24" t="n"/>
      <c r="H65" s="24" t="n"/>
      <c r="I65" s="24" t="n"/>
    </row>
    <row r="66">
      <c r="A66" s="34">
        <f>IFERROR(__xludf.DUMMYFUNCTION("""COMPUTED_VALUE"""),"KAUANE BARBOSA LEMES")</f>
        <v/>
      </c>
      <c r="B66" s="34">
        <f>IFERROR(__xludf.DUMMYFUNCTION("""COMPUTED_VALUE"""),"Turma E")</f>
        <v/>
      </c>
      <c r="C66" s="34">
        <f>IFERROR(__xludf.DUMMYFUNCTION("""COMPUTED_VALUE"""),"Vespertino")</f>
        <v/>
      </c>
      <c r="D66" s="34" t="inlineStr">
        <is>
          <t>Veio</t>
        </is>
      </c>
      <c r="G66" s="24" t="n"/>
      <c r="H66" s="24" t="n"/>
      <c r="I66" s="24" t="n"/>
    </row>
    <row r="67">
      <c r="A67" s="34">
        <f>IFERROR(__xludf.DUMMYFUNCTION("""COMPUTED_VALUE"""),"KETLEN LORRANE DO NASCIMENTO DA SILVA")</f>
        <v/>
      </c>
      <c r="B67" s="34">
        <f>IFERROR(__xludf.DUMMYFUNCTION("""COMPUTED_VALUE"""),"Turma E")</f>
        <v/>
      </c>
      <c r="C67" s="34">
        <f>IFERROR(__xludf.DUMMYFUNCTION("""COMPUTED_VALUE"""),"Matutino")</f>
        <v/>
      </c>
      <c r="D67" s="34" t="inlineStr">
        <is>
          <t>Veio</t>
        </is>
      </c>
      <c r="G67" s="24" t="n"/>
      <c r="H67" s="24" t="n"/>
      <c r="I67" s="24" t="n"/>
    </row>
    <row r="68">
      <c r="A68" s="34">
        <f>IFERROR(__xludf.DUMMYFUNCTION("""COMPUTED_VALUE"""),"LAURA SOPHIE DA SILVA NASCIMENTO")</f>
        <v/>
      </c>
      <c r="B68" s="34">
        <f>IFERROR(__xludf.DUMMYFUNCTION("""COMPUTED_VALUE"""),"Turma B2")</f>
        <v/>
      </c>
      <c r="C68" s="34">
        <f>IFERROR(__xludf.DUMMYFUNCTION("""COMPUTED_VALUE"""),"Vespertino")</f>
        <v/>
      </c>
      <c r="D68" s="34" t="inlineStr">
        <is>
          <t>Veio</t>
        </is>
      </c>
      <c r="G68" s="24" t="n"/>
      <c r="H68" s="24" t="n"/>
      <c r="I68" s="24" t="n"/>
    </row>
    <row r="69">
      <c r="A69" s="34">
        <f>IFERROR(__xludf.DUMMYFUNCTION("""COMPUTED_VALUE"""),"LOGAN ARAUJO ALCANTARA")</f>
        <v/>
      </c>
      <c r="B69" s="34">
        <f>IFERROR(__xludf.DUMMYFUNCTION("""COMPUTED_VALUE"""),"Turma D")</f>
        <v/>
      </c>
      <c r="C69" s="34">
        <f>IFERROR(__xludf.DUMMYFUNCTION("""COMPUTED_VALUE"""),"Matutino")</f>
        <v/>
      </c>
      <c r="D69" s="34" t="inlineStr">
        <is>
          <t>Veio</t>
        </is>
      </c>
      <c r="G69" s="24" t="n"/>
      <c r="H69" s="24" t="n"/>
      <c r="I69" s="24" t="n"/>
    </row>
    <row r="70">
      <c r="A70" s="34">
        <f>IFERROR(__xludf.DUMMYFUNCTION("""COMPUTED_VALUE"""),"LUANA DO NASCIMENTO FERNANDES")</f>
        <v/>
      </c>
      <c r="B70" s="34">
        <f>IFERROR(__xludf.DUMMYFUNCTION("""COMPUTED_VALUE"""),"Turma B2")</f>
        <v/>
      </c>
      <c r="C70" s="34">
        <f>IFERROR(__xludf.DUMMYFUNCTION("""COMPUTED_VALUE"""),"Vespertino")</f>
        <v/>
      </c>
      <c r="D70" s="34" t="inlineStr">
        <is>
          <t>Veio</t>
        </is>
      </c>
      <c r="G70" s="24" t="n"/>
      <c r="H70" s="24" t="n"/>
      <c r="I70" s="24" t="n"/>
    </row>
    <row r="71">
      <c r="A71" s="34">
        <f>IFERROR(__xludf.DUMMYFUNCTION("""COMPUTED_VALUE"""),"LUCAS GABRIEL NASCIMENTO DOS SANTOS")</f>
        <v/>
      </c>
      <c r="B71" s="34">
        <f>IFERROR(__xludf.DUMMYFUNCTION("""COMPUTED_VALUE"""),"Turma B2")</f>
        <v/>
      </c>
      <c r="C71" s="34">
        <f>IFERROR(__xludf.DUMMYFUNCTION("""COMPUTED_VALUE"""),"Vespertino")</f>
        <v/>
      </c>
      <c r="D71" s="34" t="inlineStr">
        <is>
          <t>Veio</t>
        </is>
      </c>
      <c r="G71" s="24" t="n"/>
      <c r="H71" s="24" t="n"/>
      <c r="I71" s="24" t="n"/>
    </row>
    <row r="72">
      <c r="A72" s="34">
        <f>IFERROR(__xludf.DUMMYFUNCTION("""COMPUTED_VALUE"""),"Luis Felipe Camargo Moreira")</f>
        <v/>
      </c>
      <c r="B72" s="34">
        <f>IFERROR(__xludf.DUMMYFUNCTION("""COMPUTED_VALUE"""),"Turma D")</f>
        <v/>
      </c>
      <c r="C72" s="34">
        <f>IFERROR(__xludf.DUMMYFUNCTION("""COMPUTED_VALUE"""),"Vespertino")</f>
        <v/>
      </c>
      <c r="D72" s="34" t="inlineStr">
        <is>
          <t>Veio</t>
        </is>
      </c>
      <c r="G72" s="24" t="n"/>
      <c r="H72" s="24" t="n"/>
      <c r="I72" s="24" t="n"/>
    </row>
    <row r="73">
      <c r="A73" s="34">
        <f>IFERROR(__xludf.DUMMYFUNCTION("""COMPUTED_VALUE"""),"LUIZ FELIPE POLICARPO DOS SANTOS")</f>
        <v/>
      </c>
      <c r="B73" s="34">
        <f>IFERROR(__xludf.DUMMYFUNCTION("""COMPUTED_VALUE"""),"Turma A")</f>
        <v/>
      </c>
      <c r="C73" s="34">
        <f>IFERROR(__xludf.DUMMYFUNCTION("""COMPUTED_VALUE"""),"Vespertino")</f>
        <v/>
      </c>
      <c r="D73" s="34" t="inlineStr">
        <is>
          <t>Veio</t>
        </is>
      </c>
      <c r="G73" s="24" t="n"/>
      <c r="H73" s="24" t="n"/>
      <c r="I73" s="24" t="n"/>
    </row>
    <row r="74">
      <c r="A74" s="34">
        <f>IFERROR(__xludf.DUMMYFUNCTION("""COMPUTED_VALUE"""),"Luiz Fernando Garcia De Souza")</f>
        <v/>
      </c>
      <c r="B74" s="34">
        <f>IFERROR(__xludf.DUMMYFUNCTION("""COMPUTED_VALUE"""),"Turma C")</f>
        <v/>
      </c>
      <c r="C74" s="34">
        <f>IFERROR(__xludf.DUMMYFUNCTION("""COMPUTED_VALUE"""),"Matutino")</f>
        <v/>
      </c>
      <c r="D74" s="34" t="inlineStr">
        <is>
          <t>Veio</t>
        </is>
      </c>
      <c r="G74" s="24" t="n"/>
      <c r="H74" s="24" t="n"/>
      <c r="I74" s="24" t="n"/>
    </row>
    <row r="75">
      <c r="A75" s="34">
        <f>IFERROR(__xludf.DUMMYFUNCTION("""COMPUTED_VALUE"""),"MARCOS ANTÔNIO TRINDADE DA SILVA")</f>
        <v/>
      </c>
      <c r="B75" s="34">
        <f>IFERROR(__xludf.DUMMYFUNCTION("""COMPUTED_VALUE"""),"Turma B1")</f>
        <v/>
      </c>
      <c r="C75" s="34">
        <f>IFERROR(__xludf.DUMMYFUNCTION("""COMPUTED_VALUE"""),"Vespertino")</f>
        <v/>
      </c>
      <c r="D75" s="34" t="inlineStr">
        <is>
          <t>Veio</t>
        </is>
      </c>
      <c r="G75" s="24" t="n"/>
      <c r="H75" s="24" t="n"/>
      <c r="I75" s="24" t="n"/>
    </row>
    <row r="76">
      <c r="A76" s="34">
        <f>IFERROR(__xludf.DUMMYFUNCTION("""COMPUTED_VALUE"""),"MARIA CLARA OLIVEIRA MENEZES MARTINS")</f>
        <v/>
      </c>
      <c r="B76" s="34">
        <f>IFERROR(__xludf.DUMMYFUNCTION("""COMPUTED_VALUE"""),"Turma GR")</f>
        <v/>
      </c>
      <c r="C76" s="34">
        <f>IFERROR(__xludf.DUMMYFUNCTION("""COMPUTED_VALUE"""),"Vespertino")</f>
        <v/>
      </c>
      <c r="D76" s="34" t="inlineStr">
        <is>
          <t>Veio</t>
        </is>
      </c>
      <c r="G76" s="24" t="n"/>
      <c r="H76" s="24" t="n"/>
      <c r="I76" s="24" t="n"/>
    </row>
    <row r="77">
      <c r="A77" s="34">
        <f>IFERROR(__xludf.DUMMYFUNCTION("""COMPUTED_VALUE"""),"MARIA EDUARDA SOBREIRO DA SILVA")</f>
        <v/>
      </c>
      <c r="B77" s="34">
        <f>IFERROR(__xludf.DUMMYFUNCTION("""COMPUTED_VALUE"""),"Turma B1")</f>
        <v/>
      </c>
      <c r="C77" s="34">
        <f>IFERROR(__xludf.DUMMYFUNCTION("""COMPUTED_VALUE"""),"Vespertino")</f>
        <v/>
      </c>
      <c r="D77" s="34" t="inlineStr">
        <is>
          <t>Veio</t>
        </is>
      </c>
      <c r="G77" s="24" t="n"/>
      <c r="H77" s="24" t="n"/>
      <c r="I77" s="24" t="n"/>
    </row>
    <row r="78">
      <c r="A78" s="34">
        <f>IFERROR(__xludf.DUMMYFUNCTION("""COMPUTED_VALUE"""),"MARIA EMANUELLY CAMARGO GONÇALVES")</f>
        <v/>
      </c>
      <c r="B78" s="34">
        <f>IFERROR(__xludf.DUMMYFUNCTION("""COMPUTED_VALUE"""),"Turma GR")</f>
        <v/>
      </c>
      <c r="C78" s="34">
        <f>IFERROR(__xludf.DUMMYFUNCTION("""COMPUTED_VALUE"""),"Vespertino")</f>
        <v/>
      </c>
      <c r="D78" s="34" t="inlineStr">
        <is>
          <t>Veio</t>
        </is>
      </c>
      <c r="G78" s="24" t="n"/>
      <c r="H78" s="24" t="n"/>
      <c r="I78" s="24" t="n"/>
    </row>
    <row r="79">
      <c r="A79" s="34">
        <f>IFERROR(__xludf.DUMMYFUNCTION("""COMPUTED_VALUE"""),"MARIA LUIZA ANASTACIO GONÇALVES")</f>
        <v/>
      </c>
      <c r="B79" s="34">
        <f>IFERROR(__xludf.DUMMYFUNCTION("""COMPUTED_VALUE"""),"Turma C")</f>
        <v/>
      </c>
      <c r="C79" s="34">
        <f>IFERROR(__xludf.DUMMYFUNCTION("""COMPUTED_VALUE"""),"Vespertino")</f>
        <v/>
      </c>
      <c r="D79" s="34" t="inlineStr">
        <is>
          <t>Veio</t>
        </is>
      </c>
      <c r="G79" s="24" t="n"/>
      <c r="H79" s="24" t="n"/>
      <c r="I79" s="24" t="n"/>
    </row>
    <row r="80">
      <c r="A80" s="34">
        <f>IFERROR(__xludf.DUMMYFUNCTION("""COMPUTED_VALUE"""),"MARIA VITÓRIA OLIVEIRA MENEZES MARTINS")</f>
        <v/>
      </c>
      <c r="B80" s="34">
        <f>IFERROR(__xludf.DUMMYFUNCTION("""COMPUTED_VALUE"""),"Turma GR")</f>
        <v/>
      </c>
      <c r="C80" s="34">
        <f>IFERROR(__xludf.DUMMYFUNCTION("""COMPUTED_VALUE"""),"Vespertino")</f>
        <v/>
      </c>
      <c r="D80" s="34" t="inlineStr">
        <is>
          <t>Veio</t>
        </is>
      </c>
      <c r="G80" s="24" t="n"/>
      <c r="H80" s="24" t="n"/>
      <c r="I80" s="24" t="n"/>
    </row>
    <row r="81">
      <c r="A81" s="34">
        <f>IFERROR(__xludf.DUMMYFUNCTION("""COMPUTED_VALUE"""),"MATHEUS MENDES DA SILVA")</f>
        <v/>
      </c>
      <c r="B81" s="34">
        <f>IFERROR(__xludf.DUMMYFUNCTION("""COMPUTED_VALUE"""),"Turma E")</f>
        <v/>
      </c>
      <c r="C81" s="34">
        <f>IFERROR(__xludf.DUMMYFUNCTION("""COMPUTED_VALUE"""),"Vespertino")</f>
        <v/>
      </c>
      <c r="D81" s="34" t="inlineStr">
        <is>
          <t>Veio</t>
        </is>
      </c>
      <c r="G81" s="24" t="n"/>
      <c r="H81" s="24" t="n"/>
      <c r="I81" s="24" t="n"/>
    </row>
    <row r="82">
      <c r="A82" s="34">
        <f>IFERROR(__xludf.DUMMYFUNCTION("""COMPUTED_VALUE"""),"Matheus Portugal De Almeida")</f>
        <v/>
      </c>
      <c r="B82" s="34">
        <f>IFERROR(__xludf.DUMMYFUNCTION("""COMPUTED_VALUE"""),"Turma A")</f>
        <v/>
      </c>
      <c r="C82" s="34">
        <f>IFERROR(__xludf.DUMMYFUNCTION("""COMPUTED_VALUE"""),"Matutino")</f>
        <v/>
      </c>
      <c r="D82" s="34" t="inlineStr">
        <is>
          <t>Veio</t>
        </is>
      </c>
      <c r="G82" s="24" t="n"/>
      <c r="H82" s="24" t="n"/>
      <c r="I82" s="24" t="n"/>
    </row>
    <row r="83">
      <c r="A83" s="34">
        <f>IFERROR(__xludf.DUMMYFUNCTION("""COMPUTED_VALUE"""),"Maycon Antonio Santana Garcia")</f>
        <v/>
      </c>
      <c r="B83" s="34">
        <f>IFERROR(__xludf.DUMMYFUNCTION("""COMPUTED_VALUE"""),"Turma D")</f>
        <v/>
      </c>
      <c r="C83" s="34">
        <f>IFERROR(__xludf.DUMMYFUNCTION("""COMPUTED_VALUE"""),"Vespertino")</f>
        <v/>
      </c>
      <c r="D83" s="34" t="inlineStr">
        <is>
          <t>Veio</t>
        </is>
      </c>
      <c r="G83" s="24" t="n"/>
      <c r="H83" s="24" t="n"/>
      <c r="I83" s="24" t="n"/>
    </row>
    <row r="84">
      <c r="A84" s="34">
        <f>IFERROR(__xludf.DUMMYFUNCTION("""COMPUTED_VALUE"""),"MAYLON SANTANA GARCIA")</f>
        <v/>
      </c>
      <c r="B84" s="34">
        <f>IFERROR(__xludf.DUMMYFUNCTION("""COMPUTED_VALUE"""),"Turma B1")</f>
        <v/>
      </c>
      <c r="C84" s="34">
        <f>IFERROR(__xludf.DUMMYFUNCTION("""COMPUTED_VALUE"""),"Vespertino")</f>
        <v/>
      </c>
      <c r="D84" s="34" t="inlineStr">
        <is>
          <t>Veio</t>
        </is>
      </c>
      <c r="G84" s="24" t="n"/>
      <c r="H84" s="24" t="n"/>
      <c r="I84" s="24" t="n"/>
    </row>
    <row r="85">
      <c r="A85" s="34">
        <f>IFERROR(__xludf.DUMMYFUNCTION("""COMPUTED_VALUE"""),"MIGUEL AUGUSTO DE LIMA TRINDADE")</f>
        <v/>
      </c>
      <c r="B85" s="34">
        <f>IFERROR(__xludf.DUMMYFUNCTION("""COMPUTED_VALUE"""),"Turma B1")</f>
        <v/>
      </c>
      <c r="C85" s="34">
        <f>IFERROR(__xludf.DUMMYFUNCTION("""COMPUTED_VALUE"""),"Vespertino")</f>
        <v/>
      </c>
      <c r="D85" s="34" t="inlineStr">
        <is>
          <t>Veio</t>
        </is>
      </c>
      <c r="G85" s="24" t="n"/>
      <c r="H85" s="24" t="n"/>
      <c r="I85" s="24" t="n"/>
    </row>
    <row r="86">
      <c r="A86" s="34">
        <f>IFERROR(__xludf.DUMMYFUNCTION("""COMPUTED_VALUE"""),"MIGUEL NYKOLAS DUTRA ALMEIDA")</f>
        <v/>
      </c>
      <c r="B86" s="34">
        <f>IFERROR(__xludf.DUMMYFUNCTION("""COMPUTED_VALUE"""),"Turma B1")</f>
        <v/>
      </c>
      <c r="C86" s="34">
        <f>IFERROR(__xludf.DUMMYFUNCTION("""COMPUTED_VALUE"""),"Vespertino")</f>
        <v/>
      </c>
      <c r="D86" s="34" t="inlineStr">
        <is>
          <t>Veio</t>
        </is>
      </c>
      <c r="G86" s="24" t="n"/>
      <c r="H86" s="24" t="n"/>
      <c r="I86" s="24" t="n"/>
    </row>
    <row r="87">
      <c r="A87" s="34">
        <f>IFERROR(__xludf.DUMMYFUNCTION("""COMPUTED_VALUE"""),"NICOLAS GABRIEL OLIVEIRA BASTIDA")</f>
        <v/>
      </c>
      <c r="B87" s="34">
        <f>IFERROR(__xludf.DUMMYFUNCTION("""COMPUTED_VALUE"""),"Turma E")</f>
        <v/>
      </c>
      <c r="C87" s="34">
        <f>IFERROR(__xludf.DUMMYFUNCTION("""COMPUTED_VALUE"""),"Vespertino")</f>
        <v/>
      </c>
      <c r="D87" s="34" t="inlineStr">
        <is>
          <t>Veio</t>
        </is>
      </c>
      <c r="G87" s="24" t="n"/>
      <c r="H87" s="24" t="n"/>
      <c r="I87" s="24" t="n"/>
    </row>
    <row r="88">
      <c r="A88" s="34">
        <f>IFERROR(__xludf.DUMMYFUNCTION("""COMPUTED_VALUE"""),"NICOLAS GABRIEL SILVA DE OLIVEIRA")</f>
        <v/>
      </c>
      <c r="B88" s="34">
        <f>IFERROR(__xludf.DUMMYFUNCTION("""COMPUTED_VALUE"""),"Turma D")</f>
        <v/>
      </c>
      <c r="C88" s="34">
        <f>IFERROR(__xludf.DUMMYFUNCTION("""COMPUTED_VALUE"""),"Matutino")</f>
        <v/>
      </c>
      <c r="D88" s="34" t="inlineStr">
        <is>
          <t>Veio</t>
        </is>
      </c>
      <c r="G88" s="24" t="n"/>
      <c r="H88" s="24" t="n"/>
      <c r="I88" s="24" t="n"/>
    </row>
    <row r="89">
      <c r="A89" s="34">
        <f>IFERROR(__xludf.DUMMYFUNCTION("""COMPUTED_VALUE"""),"NICOLAS GOMES WILSON")</f>
        <v/>
      </c>
      <c r="B89" s="34">
        <f>IFERROR(__xludf.DUMMYFUNCTION("""COMPUTED_VALUE"""),"Turma C")</f>
        <v/>
      </c>
      <c r="C89" s="34">
        <f>IFERROR(__xludf.DUMMYFUNCTION("""COMPUTED_VALUE"""),"Vespertino")</f>
        <v/>
      </c>
      <c r="D89" s="34" t="inlineStr">
        <is>
          <t>Veio</t>
        </is>
      </c>
      <c r="G89" s="24" t="n"/>
      <c r="H89" s="24" t="n"/>
      <c r="I89" s="24" t="n"/>
    </row>
    <row r="90">
      <c r="A90" s="34">
        <f>IFERROR(__xludf.DUMMYFUNCTION("""COMPUTED_VALUE"""),"Nicolas Gonçalves De Carvalho")</f>
        <v/>
      </c>
      <c r="B90" s="34">
        <f>IFERROR(__xludf.DUMMYFUNCTION("""COMPUTED_VALUE"""),"Turma D")</f>
        <v/>
      </c>
      <c r="C90" s="34">
        <f>IFERROR(__xludf.DUMMYFUNCTION("""COMPUTED_VALUE"""),"Vespertino")</f>
        <v/>
      </c>
      <c r="D90" s="34" t="inlineStr">
        <is>
          <t>Veio</t>
        </is>
      </c>
      <c r="G90" s="24" t="n"/>
      <c r="H90" s="24" t="n"/>
      <c r="I90" s="24" t="n"/>
    </row>
    <row r="91">
      <c r="A91" s="34">
        <f>IFERROR(__xludf.DUMMYFUNCTION("""COMPUTED_VALUE"""),"NICOLLY DE PAULO DUTRA")</f>
        <v/>
      </c>
      <c r="B91" s="34">
        <f>IFERROR(__xludf.DUMMYFUNCTION("""COMPUTED_VALUE"""),"Turma B1")</f>
        <v/>
      </c>
      <c r="C91" s="34">
        <f>IFERROR(__xludf.DUMMYFUNCTION("""COMPUTED_VALUE"""),"Vespertino")</f>
        <v/>
      </c>
      <c r="D91" s="34" t="inlineStr">
        <is>
          <t>Veio</t>
        </is>
      </c>
      <c r="G91" s="24" t="n"/>
      <c r="H91" s="24" t="n"/>
      <c r="I91" s="24" t="n"/>
    </row>
    <row r="92">
      <c r="A92" s="34">
        <f>IFERROR(__xludf.DUMMYFUNCTION("""COMPUTED_VALUE"""),"Noah Gomes Wilson")</f>
        <v/>
      </c>
      <c r="B92" s="34">
        <f>IFERROR(__xludf.DUMMYFUNCTION("""COMPUTED_VALUE"""),"Turma C")</f>
        <v/>
      </c>
      <c r="C92" s="34">
        <f>IFERROR(__xludf.DUMMYFUNCTION("""COMPUTED_VALUE"""),"Matutino")</f>
        <v/>
      </c>
      <c r="D92" s="34" t="inlineStr">
        <is>
          <t>Veio</t>
        </is>
      </c>
      <c r="G92" s="24" t="n"/>
      <c r="H92" s="24" t="n"/>
      <c r="I92" s="24" t="n"/>
    </row>
    <row r="93">
      <c r="A93" s="34">
        <f>IFERROR(__xludf.DUMMYFUNCTION("""COMPUTED_VALUE"""),"Paulo Victor Rosa Da Silva")</f>
        <v/>
      </c>
      <c r="B93" s="34">
        <f>IFERROR(__xludf.DUMMYFUNCTION("""COMPUTED_VALUE"""),"Turma C")</f>
        <v/>
      </c>
      <c r="C93" s="34">
        <f>IFERROR(__xludf.DUMMYFUNCTION("""COMPUTED_VALUE"""),"Matutino")</f>
        <v/>
      </c>
      <c r="D93" s="34" t="inlineStr">
        <is>
          <t>Veio</t>
        </is>
      </c>
      <c r="G93" s="24" t="n"/>
      <c r="H93" s="24" t="n"/>
      <c r="I93" s="24" t="n"/>
    </row>
    <row r="94">
      <c r="A94" s="34">
        <f>IFERROR(__xludf.DUMMYFUNCTION("""COMPUTED_VALUE"""),"Pétricky Miguel Rodrigues Dos Reis")</f>
        <v/>
      </c>
      <c r="B94" s="34">
        <f>IFERROR(__xludf.DUMMYFUNCTION("""COMPUTED_VALUE"""),"Turma C")</f>
        <v/>
      </c>
      <c r="C94" s="34">
        <f>IFERROR(__xludf.DUMMYFUNCTION("""COMPUTED_VALUE"""),"Matutino")</f>
        <v/>
      </c>
      <c r="D94" s="34" t="inlineStr">
        <is>
          <t>Veio</t>
        </is>
      </c>
      <c r="G94" s="24" t="n"/>
      <c r="H94" s="24" t="n"/>
      <c r="I94" s="24" t="n"/>
    </row>
    <row r="95">
      <c r="A95" s="34">
        <f>IFERROR(__xludf.DUMMYFUNCTION("""COMPUTED_VALUE"""),"PIETRO FRANCISCO GALVÃO DE JESUS")</f>
        <v/>
      </c>
      <c r="B95" s="34">
        <f>IFERROR(__xludf.DUMMYFUNCTION("""COMPUTED_VALUE"""),"Turma D")</f>
        <v/>
      </c>
      <c r="C95" s="34">
        <f>IFERROR(__xludf.DUMMYFUNCTION("""COMPUTED_VALUE"""),"Matutino")</f>
        <v/>
      </c>
      <c r="D95" s="34" t="inlineStr">
        <is>
          <t>Veio</t>
        </is>
      </c>
      <c r="G95" s="24" t="n"/>
      <c r="H95" s="24" t="n"/>
      <c r="I95" s="24" t="n"/>
    </row>
    <row r="96">
      <c r="A96" s="34">
        <f>IFERROR(__xludf.DUMMYFUNCTION("""COMPUTED_VALUE"""),"PIETRO HENRIQUE OLIVEIRA JACOMINO")</f>
        <v/>
      </c>
      <c r="B96" s="34">
        <f>IFERROR(__xludf.DUMMYFUNCTION("""COMPUTED_VALUE"""),"Turma A")</f>
        <v/>
      </c>
      <c r="C96" s="34">
        <f>IFERROR(__xludf.DUMMYFUNCTION("""COMPUTED_VALUE"""),"Vespertino")</f>
        <v/>
      </c>
      <c r="D96" s="34" t="inlineStr">
        <is>
          <t>Veio</t>
        </is>
      </c>
      <c r="G96" s="24" t="n"/>
      <c r="H96" s="24" t="n"/>
      <c r="I96" s="24" t="n"/>
    </row>
    <row r="97">
      <c r="A97" s="34">
        <f>IFERROR(__xludf.DUMMYFUNCTION("""COMPUTED_VALUE"""),"Rafael Rodrigues Ireno")</f>
        <v/>
      </c>
      <c r="B97" s="34">
        <f>IFERROR(__xludf.DUMMYFUNCTION("""COMPUTED_VALUE"""),"Turma C")</f>
        <v/>
      </c>
      <c r="C97" s="34">
        <f>IFERROR(__xludf.DUMMYFUNCTION("""COMPUTED_VALUE"""),"Matutino")</f>
        <v/>
      </c>
      <c r="D97" s="34" t="inlineStr">
        <is>
          <t>Veio</t>
        </is>
      </c>
      <c r="G97" s="24" t="n"/>
      <c r="H97" s="24" t="n"/>
      <c r="I97" s="24" t="n"/>
    </row>
    <row r="98">
      <c r="A98" s="34">
        <f>IFERROR(__xludf.DUMMYFUNCTION("""COMPUTED_VALUE"""),"REBEKAH HOTTS DE SOUZA")</f>
        <v/>
      </c>
      <c r="B98" s="34">
        <f>IFERROR(__xludf.DUMMYFUNCTION("""COMPUTED_VALUE"""),"Turma GR")</f>
        <v/>
      </c>
      <c r="C98" s="34">
        <f>IFERROR(__xludf.DUMMYFUNCTION("""COMPUTED_VALUE"""),"Vespertino")</f>
        <v/>
      </c>
      <c r="D98" s="34" t="inlineStr">
        <is>
          <t>Veio</t>
        </is>
      </c>
      <c r="G98" s="24" t="n"/>
      <c r="H98" s="24" t="n"/>
      <c r="I98" s="24" t="n"/>
    </row>
    <row r="99">
      <c r="A99" s="34">
        <f>IFERROR(__xludf.DUMMYFUNCTION("""COMPUTED_VALUE"""),"Reynaldo Mariano De Souza")</f>
        <v/>
      </c>
      <c r="B99" s="34">
        <f>IFERROR(__xludf.DUMMYFUNCTION("""COMPUTED_VALUE"""),"Turma C")</f>
        <v/>
      </c>
      <c r="C99" s="34">
        <f>IFERROR(__xludf.DUMMYFUNCTION("""COMPUTED_VALUE"""),"Matutino")</f>
        <v/>
      </c>
      <c r="D99" s="34" t="inlineStr">
        <is>
          <t>Veio</t>
        </is>
      </c>
      <c r="G99" s="24" t="n"/>
      <c r="H99" s="24" t="n"/>
      <c r="I99" s="24" t="n"/>
    </row>
    <row r="100">
      <c r="A100" s="34">
        <f>IFERROR(__xludf.DUMMYFUNCTION("""COMPUTED_VALUE"""),"ROSALINA MARQUES PARAÍSO")</f>
        <v/>
      </c>
      <c r="B100" s="34">
        <f>IFERROR(__xludf.DUMMYFUNCTION("""COMPUTED_VALUE"""),"Turma B1")</f>
        <v/>
      </c>
      <c r="C100" s="34">
        <f>IFERROR(__xludf.DUMMYFUNCTION("""COMPUTED_VALUE"""),"Vespertino")</f>
        <v/>
      </c>
      <c r="D100" s="34" t="inlineStr">
        <is>
          <t>Veio</t>
        </is>
      </c>
      <c r="G100" s="24" t="n"/>
      <c r="H100" s="24" t="n"/>
      <c r="I100" s="24" t="n"/>
    </row>
    <row r="101">
      <c r="A101" s="34">
        <f>IFERROR(__xludf.DUMMYFUNCTION("""COMPUTED_VALUE"""),"Ruan Brayan Alcantara Monteiro")</f>
        <v/>
      </c>
      <c r="B101" s="34">
        <f>IFERROR(__xludf.DUMMYFUNCTION("""COMPUTED_VALUE"""),"Turma D")</f>
        <v/>
      </c>
      <c r="C101" s="34">
        <f>IFERROR(__xludf.DUMMYFUNCTION("""COMPUTED_VALUE"""),"Vespertino")</f>
        <v/>
      </c>
      <c r="D101" s="34" t="inlineStr">
        <is>
          <t>Veio</t>
        </is>
      </c>
      <c r="G101" s="24" t="n"/>
      <c r="H101" s="24" t="n"/>
      <c r="I101" s="24" t="n"/>
    </row>
    <row r="102">
      <c r="A102" s="34">
        <f>IFERROR(__xludf.DUMMYFUNCTION("""COMPUTED_VALUE"""),"RUAN RODRIGUES CAETANO LIMA")</f>
        <v/>
      </c>
      <c r="B102" s="34">
        <f>IFERROR(__xludf.DUMMYFUNCTION("""COMPUTED_VALUE"""),"Turma GR")</f>
        <v/>
      </c>
      <c r="C102" s="34">
        <f>IFERROR(__xludf.DUMMYFUNCTION("""COMPUTED_VALUE"""),"Vespertino")</f>
        <v/>
      </c>
      <c r="D102" s="34" t="inlineStr">
        <is>
          <t>Veio</t>
        </is>
      </c>
      <c r="G102" s="24" t="n"/>
      <c r="H102" s="24" t="n"/>
      <c r="I102" s="24" t="n"/>
    </row>
    <row r="103">
      <c r="A103" s="34">
        <f>IFERROR(__xludf.DUMMYFUNCTION("""COMPUTED_VALUE"""),"SAMUEL JUNIOR VERDAN FRANCISCO")</f>
        <v/>
      </c>
      <c r="B103" s="34">
        <f>IFERROR(__xludf.DUMMYFUNCTION("""COMPUTED_VALUE"""),"Turma D")</f>
        <v/>
      </c>
      <c r="C103" s="34">
        <f>IFERROR(__xludf.DUMMYFUNCTION("""COMPUTED_VALUE"""),"Matutino")</f>
        <v/>
      </c>
      <c r="D103" s="34" t="inlineStr">
        <is>
          <t>Veio</t>
        </is>
      </c>
      <c r="G103" s="24" t="n"/>
      <c r="H103" s="24" t="n"/>
      <c r="I103" s="24" t="n"/>
    </row>
    <row r="104">
      <c r="A104" s="34">
        <f>IFERROR(__xludf.DUMMYFUNCTION("""COMPUTED_VALUE"""),"Tatiana Alves Francisco")</f>
        <v/>
      </c>
      <c r="B104" s="34">
        <f>IFERROR(__xludf.DUMMYFUNCTION("""COMPUTED_VALUE"""),"Turma GR")</f>
        <v/>
      </c>
      <c r="C104" s="34">
        <f>IFERROR(__xludf.DUMMYFUNCTION("""COMPUTED_VALUE"""),"Vespertino")</f>
        <v/>
      </c>
      <c r="D104" s="34" t="inlineStr">
        <is>
          <t>Veio</t>
        </is>
      </c>
      <c r="G104" s="24" t="n"/>
      <c r="H104" s="24" t="n"/>
      <c r="I104" s="24" t="n"/>
    </row>
    <row r="105">
      <c r="A105" s="34">
        <f>IFERROR(__xludf.DUMMYFUNCTION("""COMPUTED_VALUE"""),"THAILA DA SILVA VITORIO")</f>
        <v/>
      </c>
      <c r="B105" s="34">
        <f>IFERROR(__xludf.DUMMYFUNCTION("""COMPUTED_VALUE"""),"Turma GR")</f>
        <v/>
      </c>
      <c r="C105" s="34">
        <f>IFERROR(__xludf.DUMMYFUNCTION("""COMPUTED_VALUE"""),"Vespertino")</f>
        <v/>
      </c>
      <c r="D105" s="34" t="inlineStr">
        <is>
          <t>Veio</t>
        </is>
      </c>
      <c r="G105" s="24" t="n"/>
      <c r="H105" s="24" t="n"/>
      <c r="I105" s="24" t="n"/>
    </row>
    <row r="106">
      <c r="A106" s="34">
        <f>IFERROR(__xludf.DUMMYFUNCTION("""COMPUTED_VALUE"""),"Thalles Ramon Da Pascoa Silva")</f>
        <v/>
      </c>
      <c r="B106" s="34">
        <f>IFERROR(__xludf.DUMMYFUNCTION("""COMPUTED_VALUE"""),"Turma D")</f>
        <v/>
      </c>
      <c r="C106" s="34">
        <f>IFERROR(__xludf.DUMMYFUNCTION("""COMPUTED_VALUE"""),"Vespertino")</f>
        <v/>
      </c>
      <c r="D106" s="34" t="inlineStr">
        <is>
          <t>Veio</t>
        </is>
      </c>
      <c r="G106" s="24" t="n"/>
      <c r="H106" s="24" t="n"/>
      <c r="I106" s="24" t="n"/>
    </row>
    <row r="107">
      <c r="A107" s="34">
        <f>IFERROR(__xludf.DUMMYFUNCTION("""COMPUTED_VALUE"""),"Uéltion Samuel Portugal De Almeida")</f>
        <v/>
      </c>
      <c r="B107" s="34">
        <f>IFERROR(__xludf.DUMMYFUNCTION("""COMPUTED_VALUE"""),"Turma C")</f>
        <v/>
      </c>
      <c r="C107" s="34">
        <f>IFERROR(__xludf.DUMMYFUNCTION("""COMPUTED_VALUE"""),"Matutino")</f>
        <v/>
      </c>
      <c r="D107" s="34" t="inlineStr">
        <is>
          <t>Veio</t>
        </is>
      </c>
      <c r="G107" s="24" t="n"/>
      <c r="H107" s="24" t="n"/>
      <c r="I107" s="24" t="n"/>
    </row>
    <row r="108">
      <c r="A108" s="34">
        <f>IFERROR(__xludf.DUMMYFUNCTION("""COMPUTED_VALUE"""),"VICTOR EMANUEL ALMEIDA MARTINS")</f>
        <v/>
      </c>
      <c r="B108" s="34">
        <f>IFERROR(__xludf.DUMMYFUNCTION("""COMPUTED_VALUE"""),"Turma B1")</f>
        <v/>
      </c>
      <c r="C108" s="34">
        <f>IFERROR(__xludf.DUMMYFUNCTION("""COMPUTED_VALUE"""),"Vespertino")</f>
        <v/>
      </c>
      <c r="D108" s="34" t="inlineStr">
        <is>
          <t>Veio</t>
        </is>
      </c>
      <c r="G108" s="24" t="n"/>
      <c r="H108" s="24" t="n"/>
      <c r="I108" s="24" t="n"/>
    </row>
    <row r="109">
      <c r="A109" s="34">
        <f>IFERROR(__xludf.DUMMYFUNCTION("""COMPUTED_VALUE"""),"VITORIA BEZERRA MARTINS")</f>
        <v/>
      </c>
      <c r="B109" s="34">
        <f>IFERROR(__xludf.DUMMYFUNCTION("""COMPUTED_VALUE"""),"Turma E")</f>
        <v/>
      </c>
      <c r="C109" s="34">
        <f>IFERROR(__xludf.DUMMYFUNCTION("""COMPUTED_VALUE"""),"Vespertino")</f>
        <v/>
      </c>
      <c r="D109" s="34" t="inlineStr">
        <is>
          <t>Veio</t>
        </is>
      </c>
      <c r="G109" s="24" t="n"/>
      <c r="H109" s="24" t="n"/>
      <c r="I109" s="24" t="n"/>
    </row>
    <row r="110">
      <c r="A110" s="34">
        <f>IFERROR(__xludf.DUMMYFUNCTION("""COMPUTED_VALUE"""),"WEVERTON LEONARDO VIEIRA MARTINS")</f>
        <v/>
      </c>
      <c r="B110" s="34">
        <f>IFERROR(__xludf.DUMMYFUNCTION("""COMPUTED_VALUE"""),"Turma D")</f>
        <v/>
      </c>
      <c r="C110" s="34">
        <f>IFERROR(__xludf.DUMMYFUNCTION("""COMPUTED_VALUE"""),"Matutino")</f>
        <v/>
      </c>
      <c r="D110" s="34" t="inlineStr">
        <is>
          <t>Veio</t>
        </is>
      </c>
      <c r="G110" s="24" t="n"/>
      <c r="H110" s="24" t="n"/>
      <c r="I110" s="24" t="n"/>
    </row>
    <row r="111">
      <c r="A111" s="34">
        <f>IFERROR(__xludf.DUMMYFUNCTION("""COMPUTED_VALUE"""),"YASMYN THAUANY ALCANTARA MONTEIRO")</f>
        <v/>
      </c>
      <c r="B111" s="34">
        <f>IFERROR(__xludf.DUMMYFUNCTION("""COMPUTED_VALUE"""),"Turma D")</f>
        <v/>
      </c>
      <c r="C111" s="34">
        <f>IFERROR(__xludf.DUMMYFUNCTION("""COMPUTED_VALUE"""),"Matutino")</f>
        <v/>
      </c>
      <c r="D111" s="34" t="inlineStr">
        <is>
          <t>Veio</t>
        </is>
      </c>
      <c r="G111" s="24" t="n"/>
      <c r="H111" s="24" t="n"/>
      <c r="I111" s="24" t="n"/>
    </row>
    <row r="112">
      <c r="A112" s="34">
        <f>IFERROR(__xludf.DUMMYFUNCTION("""COMPUTED_VALUE"""),"GABRIEL SOUZA FERREIRA")</f>
        <v/>
      </c>
      <c r="B112" s="34">
        <f>IFERROR(__xludf.DUMMYFUNCTION("""COMPUTED_VALUE"""),"Turma GR")</f>
        <v/>
      </c>
      <c r="C112" s="34">
        <f>IFERROR(__xludf.DUMMYFUNCTION("""COMPUTED_VALUE"""),"Vespertino")</f>
        <v/>
      </c>
      <c r="D112" s="34" t="inlineStr">
        <is>
          <t>Veio</t>
        </is>
      </c>
      <c r="G112" s="24" t="n"/>
      <c r="H112" s="24" t="n"/>
      <c r="I112" s="24" t="n"/>
    </row>
    <row r="113">
      <c r="G113" s="24" t="n"/>
      <c r="H113" s="24" t="n"/>
      <c r="I113" s="24" t="n"/>
    </row>
    <row r="114">
      <c r="G114" s="24" t="n"/>
      <c r="H114" s="24" t="n"/>
      <c r="I114" s="24" t="n"/>
    </row>
    <row r="115">
      <c r="G115" s="24" t="n"/>
      <c r="H115" s="24" t="n"/>
      <c r="I115" s="24" t="n"/>
    </row>
    <row r="116">
      <c r="G116" s="24" t="n"/>
      <c r="H116" s="24" t="n"/>
      <c r="I116" s="24" t="n"/>
    </row>
    <row r="117">
      <c r="G117" s="24" t="n"/>
      <c r="H117" s="24" t="n"/>
      <c r="I117" s="24" t="n"/>
    </row>
    <row r="118">
      <c r="G118" s="24" t="n"/>
      <c r="H118" s="24" t="n"/>
      <c r="I118" s="24" t="n"/>
    </row>
    <row r="119">
      <c r="G119" s="24" t="n"/>
      <c r="H119" s="24" t="n"/>
      <c r="I119" s="24" t="n"/>
    </row>
    <row r="120">
      <c r="G120" s="24" t="n"/>
      <c r="H120" s="24" t="n"/>
      <c r="I120" s="24" t="n"/>
    </row>
    <row r="121">
      <c r="G121" s="24" t="n"/>
      <c r="H121" s="24" t="n"/>
      <c r="I121" s="24" t="n"/>
    </row>
    <row r="122">
      <c r="G122" s="24" t="n"/>
      <c r="H122" s="24" t="n"/>
      <c r="I122" s="24" t="n"/>
    </row>
    <row r="123">
      <c r="G123" s="24" t="n"/>
      <c r="H123" s="24" t="n"/>
      <c r="I123" s="24" t="n"/>
    </row>
    <row r="124">
      <c r="G124" s="24" t="n"/>
      <c r="H124" s="24" t="n"/>
      <c r="I124" s="24" t="n"/>
    </row>
    <row r="125">
      <c r="G125" s="24" t="n"/>
      <c r="H125" s="24" t="n"/>
      <c r="I125" s="24" t="n"/>
    </row>
    <row r="126">
      <c r="G126" s="24" t="n"/>
      <c r="H126" s="24" t="n"/>
      <c r="I126" s="24" t="n"/>
    </row>
    <row r="127">
      <c r="G127" s="24" t="n"/>
      <c r="H127" s="24" t="n"/>
      <c r="I127" s="24" t="n"/>
    </row>
    <row r="128">
      <c r="G128" s="24" t="n"/>
      <c r="H128" s="24" t="n"/>
      <c r="I128" s="24" t="n"/>
    </row>
    <row r="129">
      <c r="G129" s="24" t="n"/>
      <c r="H129" s="24" t="n"/>
      <c r="I129" s="24" t="n"/>
    </row>
    <row r="130">
      <c r="G130" s="24" t="n"/>
      <c r="H130" s="24" t="n"/>
      <c r="I130" s="24" t="n"/>
    </row>
    <row r="131">
      <c r="G131" s="24" t="n"/>
      <c r="H131" s="24" t="n"/>
      <c r="I131" s="24" t="n"/>
    </row>
    <row r="132">
      <c r="G132" s="24" t="n"/>
      <c r="H132" s="24" t="n"/>
      <c r="I132" s="24" t="n"/>
    </row>
    <row r="133">
      <c r="G133" s="24" t="n"/>
      <c r="H133" s="24" t="n"/>
      <c r="I133" s="24" t="n"/>
    </row>
    <row r="134">
      <c r="G134" s="24" t="n"/>
      <c r="H134" s="24" t="n"/>
      <c r="I134" s="24" t="n"/>
    </row>
    <row r="135">
      <c r="G135" s="24" t="n"/>
      <c r="H135" s="24" t="n"/>
      <c r="I135" s="24" t="n"/>
    </row>
    <row r="136">
      <c r="G136" s="24" t="n"/>
      <c r="H136" s="24" t="n"/>
      <c r="I136" s="24" t="n"/>
    </row>
    <row r="137">
      <c r="G137" s="24" t="n"/>
      <c r="H137" s="24" t="n"/>
      <c r="I137" s="24" t="n"/>
    </row>
    <row r="138">
      <c r="G138" s="24" t="n"/>
      <c r="H138" s="24" t="n"/>
      <c r="I138" s="24" t="n"/>
    </row>
    <row r="139">
      <c r="G139" s="24" t="n"/>
      <c r="H139" s="24" t="n"/>
      <c r="I139" s="24" t="n"/>
    </row>
    <row r="140">
      <c r="G140" s="24" t="n"/>
      <c r="H140" s="24" t="n"/>
      <c r="I140" s="24" t="n"/>
    </row>
    <row r="141">
      <c r="G141" s="24" t="n"/>
      <c r="H141" s="24" t="n"/>
      <c r="I141" s="24" t="n"/>
    </row>
    <row r="142">
      <c r="G142" s="24" t="n"/>
      <c r="H142" s="24" t="n"/>
      <c r="I142" s="24" t="n"/>
    </row>
    <row r="143">
      <c r="G143" s="24" t="n"/>
      <c r="H143" s="24" t="n"/>
      <c r="I143" s="24" t="n"/>
    </row>
    <row r="144">
      <c r="G144" s="24" t="n"/>
      <c r="H144" s="24" t="n"/>
      <c r="I144" s="24" t="n"/>
    </row>
    <row r="145">
      <c r="G145" s="24" t="n"/>
      <c r="H145" s="24" t="n"/>
      <c r="I145" s="24" t="n"/>
    </row>
    <row r="146">
      <c r="G146" s="24" t="n"/>
      <c r="H146" s="24" t="n"/>
      <c r="I146" s="24" t="n"/>
    </row>
    <row r="147">
      <c r="G147" s="24" t="n"/>
      <c r="H147" s="24" t="n"/>
      <c r="I147" s="24" t="n"/>
    </row>
    <row r="148">
      <c r="G148" s="24" t="n"/>
      <c r="H148" s="24" t="n"/>
      <c r="I148" s="24" t="n"/>
    </row>
    <row r="149">
      <c r="G149" s="24" t="n"/>
      <c r="H149" s="24" t="n"/>
      <c r="I149" s="24" t="n"/>
    </row>
    <row r="150">
      <c r="G150" s="24" t="n"/>
      <c r="H150" s="24" t="n"/>
      <c r="I150" s="24" t="n"/>
    </row>
    <row r="151">
      <c r="G151" s="24" t="n"/>
      <c r="H151" s="24" t="n"/>
      <c r="I151" s="24" t="n"/>
    </row>
    <row r="152">
      <c r="G152" s="24" t="n"/>
      <c r="H152" s="24" t="n"/>
      <c r="I152" s="24" t="n"/>
    </row>
    <row r="153">
      <c r="G153" s="24" t="n"/>
      <c r="H153" s="24" t="n"/>
      <c r="I153" s="24" t="n"/>
    </row>
    <row r="154">
      <c r="G154" s="24" t="n"/>
      <c r="H154" s="24" t="n"/>
      <c r="I154" s="24" t="n"/>
    </row>
    <row r="155">
      <c r="G155" s="24" t="n"/>
      <c r="H155" s="24" t="n"/>
      <c r="I155" s="24" t="n"/>
    </row>
    <row r="156">
      <c r="G156" s="24" t="n"/>
      <c r="H156" s="24" t="n"/>
      <c r="I156" s="24" t="n"/>
    </row>
    <row r="157">
      <c r="G157" s="24" t="n"/>
      <c r="H157" s="24" t="n"/>
      <c r="I157" s="24" t="n"/>
    </row>
    <row r="158">
      <c r="G158" s="24" t="n"/>
      <c r="H158" s="24" t="n"/>
      <c r="I158" s="24" t="n"/>
    </row>
    <row r="159">
      <c r="G159" s="24" t="n"/>
      <c r="H159" s="24" t="n"/>
      <c r="I159" s="24" t="n"/>
    </row>
    <row r="160">
      <c r="G160" s="24" t="n"/>
      <c r="H160" s="24" t="n"/>
      <c r="I160" s="24" t="n"/>
    </row>
    <row r="161">
      <c r="G161" s="24" t="n"/>
      <c r="H161" s="24" t="n"/>
      <c r="I161" s="24" t="n"/>
    </row>
    <row r="162">
      <c r="G162" s="24" t="n"/>
      <c r="H162" s="24" t="n"/>
      <c r="I162" s="24" t="n"/>
    </row>
    <row r="163">
      <c r="G163" s="24" t="n"/>
      <c r="H163" s="24" t="n"/>
      <c r="I163" s="24" t="n"/>
    </row>
    <row r="164">
      <c r="G164" s="24" t="n"/>
      <c r="H164" s="24" t="n"/>
      <c r="I164" s="24" t="n"/>
    </row>
    <row r="165">
      <c r="G165" s="24" t="n"/>
      <c r="H165" s="24" t="n"/>
      <c r="I165" s="24" t="n"/>
    </row>
    <row r="166">
      <c r="G166" s="24" t="n"/>
      <c r="H166" s="24" t="n"/>
      <c r="I166" s="24" t="n"/>
    </row>
    <row r="167">
      <c r="G167" s="24" t="n"/>
      <c r="H167" s="24" t="n"/>
      <c r="I167" s="24" t="n"/>
    </row>
    <row r="168">
      <c r="G168" s="24" t="n"/>
      <c r="H168" s="24" t="n"/>
      <c r="I168" s="24" t="n"/>
    </row>
    <row r="169">
      <c r="G169" s="24" t="n"/>
      <c r="H169" s="24" t="n"/>
      <c r="I169" s="24" t="n"/>
    </row>
    <row r="170">
      <c r="G170" s="24" t="n"/>
      <c r="H170" s="24" t="n"/>
      <c r="I170" s="24" t="n"/>
    </row>
    <row r="171">
      <c r="G171" s="24" t="n"/>
      <c r="H171" s="24" t="n"/>
      <c r="I171" s="24" t="n"/>
    </row>
    <row r="172">
      <c r="G172" s="24" t="n"/>
      <c r="H172" s="24" t="n"/>
      <c r="I172" s="24" t="n"/>
    </row>
    <row r="173">
      <c r="G173" s="24" t="n"/>
      <c r="H173" s="24" t="n"/>
      <c r="I173" s="24" t="n"/>
    </row>
    <row r="174">
      <c r="G174" s="24" t="n"/>
      <c r="H174" s="24" t="n"/>
      <c r="I174" s="24" t="n"/>
    </row>
    <row r="175">
      <c r="G175" s="24" t="n"/>
      <c r="H175" s="24" t="n"/>
      <c r="I175" s="24" t="n"/>
    </row>
    <row r="176">
      <c r="G176" s="24" t="n"/>
      <c r="H176" s="24" t="n"/>
      <c r="I176" s="24" t="n"/>
    </row>
    <row r="177">
      <c r="G177" s="24" t="n"/>
      <c r="H177" s="24" t="n"/>
      <c r="I177" s="24" t="n"/>
    </row>
    <row r="178">
      <c r="G178" s="24" t="n"/>
      <c r="H178" s="24" t="n"/>
      <c r="I178" s="24" t="n"/>
    </row>
    <row r="179">
      <c r="G179" s="24" t="n"/>
      <c r="H179" s="24" t="n"/>
      <c r="I179" s="24" t="n"/>
    </row>
    <row r="180">
      <c r="G180" s="24" t="n"/>
      <c r="H180" s="24" t="n"/>
      <c r="I180" s="24" t="n"/>
    </row>
    <row r="181">
      <c r="G181" s="24" t="n"/>
      <c r="H181" s="24" t="n"/>
      <c r="I181" s="24" t="n"/>
    </row>
    <row r="182">
      <c r="G182" s="24" t="n"/>
      <c r="H182" s="24" t="n"/>
      <c r="I182" s="24" t="n"/>
    </row>
    <row r="183">
      <c r="G183" s="24" t="n"/>
      <c r="H183" s="24" t="n"/>
      <c r="I183" s="24" t="n"/>
    </row>
    <row r="184">
      <c r="G184" s="24" t="n"/>
      <c r="H184" s="24" t="n"/>
      <c r="I184" s="24" t="n"/>
    </row>
    <row r="185">
      <c r="G185" s="24" t="n"/>
      <c r="H185" s="24" t="n"/>
      <c r="I185" s="24" t="n"/>
    </row>
    <row r="186">
      <c r="G186" s="24" t="n"/>
      <c r="H186" s="24" t="n"/>
      <c r="I186" s="24" t="n"/>
    </row>
    <row r="187">
      <c r="G187" s="24" t="n"/>
      <c r="H187" s="24" t="n"/>
      <c r="I187" s="24" t="n"/>
    </row>
    <row r="188">
      <c r="G188" s="24" t="n"/>
      <c r="H188" s="24" t="n"/>
      <c r="I188" s="24" t="n"/>
    </row>
    <row r="189">
      <c r="G189" s="24" t="n"/>
      <c r="H189" s="24" t="n"/>
      <c r="I189" s="24" t="n"/>
    </row>
    <row r="190">
      <c r="G190" s="24" t="n"/>
      <c r="H190" s="24" t="n"/>
      <c r="I190" s="24" t="n"/>
    </row>
    <row r="191">
      <c r="G191" s="24" t="n"/>
      <c r="H191" s="24" t="n"/>
      <c r="I191" s="24" t="n"/>
    </row>
    <row r="192">
      <c r="G192" s="24" t="n"/>
      <c r="H192" s="24" t="n"/>
      <c r="I192" s="24" t="n"/>
    </row>
    <row r="193">
      <c r="G193" s="24" t="n"/>
      <c r="H193" s="24" t="n"/>
      <c r="I193" s="24" t="n"/>
    </row>
    <row r="194">
      <c r="G194" s="24" t="n"/>
      <c r="H194" s="24" t="n"/>
      <c r="I194" s="24" t="n"/>
    </row>
    <row r="195">
      <c r="G195" s="24" t="n"/>
      <c r="H195" s="24" t="n"/>
      <c r="I195" s="24" t="n"/>
    </row>
    <row r="196">
      <c r="G196" s="24" t="n"/>
      <c r="H196" s="24" t="n"/>
      <c r="I196" s="24" t="n"/>
    </row>
    <row r="197">
      <c r="G197" s="24" t="n"/>
      <c r="H197" s="24" t="n"/>
      <c r="I197" s="24" t="n"/>
    </row>
    <row r="198">
      <c r="G198" s="24" t="n"/>
      <c r="H198" s="24" t="n"/>
      <c r="I198" s="24" t="n"/>
    </row>
    <row r="199">
      <c r="G199" s="24" t="n"/>
      <c r="H199" s="24" t="n"/>
      <c r="I199" s="24" t="n"/>
    </row>
    <row r="200">
      <c r="G200" s="24" t="n"/>
      <c r="H200" s="24" t="n"/>
      <c r="I200" s="24" t="n"/>
    </row>
    <row r="201">
      <c r="G201" s="24" t="n"/>
      <c r="H201" s="24" t="n"/>
      <c r="I201" s="24" t="n"/>
    </row>
    <row r="202">
      <c r="G202" s="24" t="n"/>
      <c r="H202" s="24" t="n"/>
      <c r="I202" s="24" t="n"/>
    </row>
    <row r="203">
      <c r="G203" s="24" t="n"/>
      <c r="H203" s="24" t="n"/>
      <c r="I203" s="24" t="n"/>
    </row>
    <row r="204">
      <c r="G204" s="24" t="n"/>
      <c r="H204" s="24" t="n"/>
      <c r="I204" s="24" t="n"/>
    </row>
    <row r="205">
      <c r="G205" s="24" t="n"/>
      <c r="H205" s="24" t="n"/>
      <c r="I205" s="24" t="n"/>
    </row>
    <row r="206">
      <c r="G206" s="24" t="n"/>
      <c r="H206" s="24" t="n"/>
      <c r="I206" s="24" t="n"/>
    </row>
    <row r="207">
      <c r="G207" s="24" t="n"/>
      <c r="H207" s="24" t="n"/>
      <c r="I207" s="24" t="n"/>
    </row>
    <row r="208">
      <c r="G208" s="24" t="n"/>
      <c r="H208" s="24" t="n"/>
      <c r="I208" s="24" t="n"/>
    </row>
    <row r="209">
      <c r="G209" s="24" t="n"/>
      <c r="H209" s="24" t="n"/>
      <c r="I209" s="24" t="n"/>
    </row>
    <row r="210">
      <c r="G210" s="24" t="n"/>
      <c r="H210" s="24" t="n"/>
      <c r="I210" s="24" t="n"/>
    </row>
    <row r="211">
      <c r="G211" s="24" t="n"/>
      <c r="H211" s="24" t="n"/>
      <c r="I211" s="24" t="n"/>
    </row>
    <row r="212">
      <c r="G212" s="24" t="n"/>
      <c r="H212" s="24" t="n"/>
      <c r="I212" s="24" t="n"/>
    </row>
    <row r="213">
      <c r="G213" s="24" t="n"/>
      <c r="H213" s="24" t="n"/>
      <c r="I213" s="24" t="n"/>
    </row>
    <row r="214">
      <c r="G214" s="24" t="n"/>
      <c r="H214" s="24" t="n"/>
      <c r="I214" s="24" t="n"/>
    </row>
    <row r="215">
      <c r="G215" s="24" t="n"/>
      <c r="H215" s="24" t="n"/>
      <c r="I215" s="24" t="n"/>
    </row>
    <row r="216">
      <c r="G216" s="24" t="n"/>
      <c r="H216" s="24" t="n"/>
      <c r="I216" s="24" t="n"/>
    </row>
    <row r="217">
      <c r="G217" s="24" t="n"/>
      <c r="H217" s="24" t="n"/>
      <c r="I217" s="24" t="n"/>
    </row>
    <row r="218">
      <c r="G218" s="24" t="n"/>
      <c r="H218" s="24" t="n"/>
      <c r="I218" s="24" t="n"/>
    </row>
    <row r="219">
      <c r="G219" s="24" t="n"/>
      <c r="H219" s="24" t="n"/>
      <c r="I219" s="24" t="n"/>
    </row>
    <row r="220">
      <c r="G220" s="24" t="n"/>
      <c r="H220" s="24" t="n"/>
      <c r="I220" s="24" t="n"/>
    </row>
    <row r="221">
      <c r="G221" s="24" t="n"/>
      <c r="H221" s="24" t="n"/>
      <c r="I221" s="24" t="n"/>
    </row>
    <row r="222">
      <c r="G222" s="24" t="n"/>
      <c r="H222" s="24" t="n"/>
      <c r="I222" s="24" t="n"/>
    </row>
    <row r="223">
      <c r="G223" s="24" t="n"/>
      <c r="H223" s="24" t="n"/>
      <c r="I223" s="24" t="n"/>
    </row>
    <row r="224">
      <c r="G224" s="24" t="n"/>
      <c r="H224" s="24" t="n"/>
      <c r="I224" s="24" t="n"/>
    </row>
    <row r="225">
      <c r="G225" s="24" t="n"/>
      <c r="H225" s="24" t="n"/>
      <c r="I225" s="24" t="n"/>
    </row>
    <row r="226">
      <c r="G226" s="24" t="n"/>
      <c r="H226" s="24" t="n"/>
      <c r="I226" s="24" t="n"/>
    </row>
    <row r="227">
      <c r="G227" s="24" t="n"/>
      <c r="H227" s="24" t="n"/>
      <c r="I227" s="24" t="n"/>
    </row>
    <row r="228">
      <c r="G228" s="24" t="n"/>
      <c r="H228" s="24" t="n"/>
      <c r="I228" s="24" t="n"/>
    </row>
    <row r="229">
      <c r="G229" s="24" t="n"/>
      <c r="H229" s="24" t="n"/>
      <c r="I229" s="24" t="n"/>
    </row>
    <row r="230">
      <c r="G230" s="24" t="n"/>
      <c r="H230" s="24" t="n"/>
      <c r="I230" s="24" t="n"/>
    </row>
    <row r="231">
      <c r="G231" s="24" t="n"/>
      <c r="H231" s="24" t="n"/>
      <c r="I231" s="24" t="n"/>
    </row>
    <row r="232">
      <c r="G232" s="24" t="n"/>
      <c r="H232" s="24" t="n"/>
      <c r="I232" s="24" t="n"/>
    </row>
    <row r="233">
      <c r="G233" s="24" t="n"/>
      <c r="H233" s="24" t="n"/>
      <c r="I233" s="24" t="n"/>
    </row>
    <row r="234">
      <c r="G234" s="24" t="n"/>
      <c r="H234" s="24" t="n"/>
      <c r="I234" s="24" t="n"/>
    </row>
    <row r="235">
      <c r="G235" s="24" t="n"/>
      <c r="H235" s="24" t="n"/>
      <c r="I235" s="24" t="n"/>
    </row>
    <row r="236">
      <c r="G236" s="24" t="n"/>
      <c r="H236" s="24" t="n"/>
      <c r="I236" s="24" t="n"/>
    </row>
    <row r="237">
      <c r="G237" s="24" t="n"/>
      <c r="H237" s="24" t="n"/>
      <c r="I237" s="24" t="n"/>
    </row>
    <row r="238">
      <c r="G238" s="24" t="n"/>
      <c r="H238" s="24" t="n"/>
      <c r="I238" s="24" t="n"/>
    </row>
    <row r="239">
      <c r="G239" s="24" t="n"/>
      <c r="H239" s="24" t="n"/>
      <c r="I239" s="24" t="n"/>
    </row>
    <row r="240">
      <c r="G240" s="24" t="n"/>
      <c r="H240" s="24" t="n"/>
      <c r="I240" s="24" t="n"/>
    </row>
    <row r="241">
      <c r="G241" s="24" t="n"/>
      <c r="H241" s="24" t="n"/>
      <c r="I241" s="24" t="n"/>
    </row>
    <row r="242">
      <c r="G242" s="24" t="n"/>
      <c r="H242" s="24" t="n"/>
      <c r="I242" s="24" t="n"/>
    </row>
    <row r="243">
      <c r="G243" s="24" t="n"/>
      <c r="H243" s="24" t="n"/>
      <c r="I243" s="24" t="n"/>
    </row>
    <row r="244">
      <c r="G244" s="24" t="n"/>
      <c r="H244" s="24" t="n"/>
      <c r="I244" s="24" t="n"/>
    </row>
    <row r="245">
      <c r="G245" s="24" t="n"/>
      <c r="H245" s="24" t="n"/>
      <c r="I245" s="24" t="n"/>
    </row>
    <row r="246">
      <c r="G246" s="24" t="n"/>
      <c r="H246" s="24" t="n"/>
      <c r="I246" s="24" t="n"/>
    </row>
    <row r="247">
      <c r="G247" s="24" t="n"/>
      <c r="H247" s="24" t="n"/>
      <c r="I247" s="24" t="n"/>
    </row>
    <row r="248">
      <c r="G248" s="24" t="n"/>
      <c r="H248" s="24" t="n"/>
      <c r="I248" s="24" t="n"/>
    </row>
    <row r="249">
      <c r="G249" s="24" t="n"/>
      <c r="H249" s="24" t="n"/>
      <c r="I249" s="24" t="n"/>
    </row>
    <row r="250">
      <c r="G250" s="24" t="n"/>
      <c r="H250" s="24" t="n"/>
      <c r="I250" s="24" t="n"/>
    </row>
    <row r="251">
      <c r="G251" s="24" t="n"/>
      <c r="H251" s="24" t="n"/>
      <c r="I251" s="24" t="n"/>
    </row>
    <row r="252">
      <c r="G252" s="24" t="n"/>
      <c r="H252" s="24" t="n"/>
      <c r="I252" s="24" t="n"/>
    </row>
    <row r="253">
      <c r="G253" s="24" t="n"/>
      <c r="H253" s="24" t="n"/>
      <c r="I253" s="24" t="n"/>
    </row>
    <row r="254">
      <c r="G254" s="24" t="n"/>
      <c r="H254" s="24" t="n"/>
      <c r="I254" s="24" t="n"/>
    </row>
    <row r="255">
      <c r="G255" s="24" t="n"/>
      <c r="H255" s="24" t="n"/>
      <c r="I255" s="24" t="n"/>
    </row>
    <row r="256">
      <c r="G256" s="24" t="n"/>
      <c r="H256" s="24" t="n"/>
      <c r="I256" s="24" t="n"/>
    </row>
    <row r="257">
      <c r="G257" s="24" t="n"/>
      <c r="H257" s="24" t="n"/>
      <c r="I257" s="24" t="n"/>
    </row>
    <row r="258">
      <c r="G258" s="24" t="n"/>
      <c r="H258" s="24" t="n"/>
      <c r="I258" s="24" t="n"/>
    </row>
    <row r="259">
      <c r="G259" s="24" t="n"/>
      <c r="H259" s="24" t="n"/>
      <c r="I259" s="24" t="n"/>
    </row>
    <row r="260">
      <c r="G260" s="24" t="n"/>
      <c r="H260" s="24" t="n"/>
      <c r="I260" s="24" t="n"/>
    </row>
    <row r="261">
      <c r="G261" s="24" t="n"/>
      <c r="H261" s="24" t="n"/>
      <c r="I261" s="24" t="n"/>
    </row>
    <row r="262">
      <c r="G262" s="24" t="n"/>
      <c r="H262" s="24" t="n"/>
      <c r="I262" s="24" t="n"/>
    </row>
    <row r="263">
      <c r="G263" s="24" t="n"/>
      <c r="H263" s="24" t="n"/>
      <c r="I263" s="24" t="n"/>
    </row>
    <row r="264">
      <c r="G264" s="24" t="n"/>
      <c r="H264" s="24" t="n"/>
      <c r="I264" s="24" t="n"/>
    </row>
    <row r="265">
      <c r="G265" s="24" t="n"/>
      <c r="H265" s="24" t="n"/>
      <c r="I265" s="24" t="n"/>
    </row>
    <row r="266">
      <c r="G266" s="24" t="n"/>
      <c r="H266" s="24" t="n"/>
      <c r="I266" s="24" t="n"/>
    </row>
    <row r="267">
      <c r="G267" s="24" t="n"/>
      <c r="H267" s="24" t="n"/>
      <c r="I267" s="24" t="n"/>
    </row>
    <row r="268">
      <c r="G268" s="24" t="n"/>
      <c r="H268" s="24" t="n"/>
      <c r="I268" s="24" t="n"/>
    </row>
    <row r="269">
      <c r="G269" s="24" t="n"/>
      <c r="H269" s="24" t="n"/>
      <c r="I269" s="24" t="n"/>
    </row>
    <row r="270">
      <c r="G270" s="24" t="n"/>
      <c r="H270" s="24" t="n"/>
      <c r="I270" s="24" t="n"/>
    </row>
    <row r="271">
      <c r="G271" s="24" t="n"/>
      <c r="H271" s="24" t="n"/>
      <c r="I271" s="24" t="n"/>
    </row>
    <row r="272">
      <c r="G272" s="24" t="n"/>
      <c r="H272" s="24" t="n"/>
      <c r="I272" s="24" t="n"/>
    </row>
    <row r="273">
      <c r="G273" s="24" t="n"/>
      <c r="H273" s="24" t="n"/>
      <c r="I273" s="24" t="n"/>
    </row>
    <row r="274">
      <c r="G274" s="24" t="n"/>
      <c r="H274" s="24" t="n"/>
      <c r="I274" s="24" t="n"/>
    </row>
    <row r="275">
      <c r="G275" s="24" t="n"/>
      <c r="H275" s="24" t="n"/>
      <c r="I275" s="24" t="n"/>
    </row>
    <row r="276">
      <c r="G276" s="24" t="n"/>
      <c r="H276" s="24" t="n"/>
      <c r="I276" s="24" t="n"/>
    </row>
    <row r="277">
      <c r="G277" s="24" t="n"/>
      <c r="H277" s="24" t="n"/>
      <c r="I277" s="24" t="n"/>
    </row>
    <row r="278">
      <c r="G278" s="24" t="n"/>
      <c r="H278" s="24" t="n"/>
      <c r="I278" s="24" t="n"/>
    </row>
    <row r="279">
      <c r="G279" s="24" t="n"/>
      <c r="H279" s="24" t="n"/>
      <c r="I279" s="24" t="n"/>
    </row>
    <row r="280">
      <c r="G280" s="24" t="n"/>
      <c r="H280" s="24" t="n"/>
      <c r="I280" s="24" t="n"/>
    </row>
    <row r="281">
      <c r="G281" s="24" t="n"/>
      <c r="H281" s="24" t="n"/>
      <c r="I281" s="24" t="n"/>
    </row>
    <row r="282">
      <c r="G282" s="24" t="n"/>
      <c r="H282" s="24" t="n"/>
      <c r="I282" s="24" t="n"/>
    </row>
    <row r="283">
      <c r="G283" s="24" t="n"/>
      <c r="H283" s="24" t="n"/>
      <c r="I283" s="24" t="n"/>
    </row>
    <row r="284">
      <c r="G284" s="24" t="n"/>
      <c r="H284" s="24" t="n"/>
      <c r="I284" s="24" t="n"/>
    </row>
    <row r="285">
      <c r="G285" s="24" t="n"/>
      <c r="H285" s="24" t="n"/>
      <c r="I285" s="24" t="n"/>
    </row>
    <row r="286">
      <c r="G286" s="24" t="n"/>
      <c r="H286" s="24" t="n"/>
      <c r="I286" s="24" t="n"/>
    </row>
    <row r="287">
      <c r="G287" s="24" t="n"/>
      <c r="H287" s="24" t="n"/>
      <c r="I287" s="24" t="n"/>
    </row>
    <row r="288">
      <c r="G288" s="24" t="n"/>
      <c r="H288" s="24" t="n"/>
      <c r="I288" s="24" t="n"/>
    </row>
    <row r="289">
      <c r="G289" s="24" t="n"/>
      <c r="H289" s="24" t="n"/>
      <c r="I289" s="24" t="n"/>
    </row>
    <row r="290">
      <c r="G290" s="24" t="n"/>
      <c r="H290" s="24" t="n"/>
      <c r="I290" s="24" t="n"/>
    </row>
    <row r="291">
      <c r="G291" s="24" t="n"/>
      <c r="H291" s="24" t="n"/>
      <c r="I291" s="24" t="n"/>
    </row>
    <row r="292">
      <c r="G292" s="24" t="n"/>
      <c r="H292" s="24" t="n"/>
      <c r="I292" s="24" t="n"/>
    </row>
    <row r="293">
      <c r="G293" s="24" t="n"/>
      <c r="H293" s="24" t="n"/>
      <c r="I293" s="24" t="n"/>
    </row>
    <row r="294">
      <c r="G294" s="24" t="n"/>
      <c r="H294" s="24" t="n"/>
      <c r="I294" s="24" t="n"/>
    </row>
    <row r="295">
      <c r="G295" s="24" t="n"/>
      <c r="H295" s="24" t="n"/>
      <c r="I295" s="24" t="n"/>
    </row>
    <row r="296">
      <c r="G296" s="24" t="n"/>
      <c r="H296" s="24" t="n"/>
      <c r="I296" s="24" t="n"/>
    </row>
    <row r="297">
      <c r="G297" s="24" t="n"/>
      <c r="H297" s="24" t="n"/>
      <c r="I297" s="24" t="n"/>
    </row>
    <row r="298">
      <c r="G298" s="24" t="n"/>
      <c r="H298" s="24" t="n"/>
      <c r="I298" s="24" t="n"/>
    </row>
    <row r="299">
      <c r="G299" s="24" t="n"/>
      <c r="H299" s="24" t="n"/>
      <c r="I299" s="24" t="n"/>
    </row>
    <row r="300">
      <c r="G300" s="24" t="n"/>
      <c r="H300" s="24" t="n"/>
      <c r="I300" s="24" t="n"/>
    </row>
    <row r="301">
      <c r="G301" s="24" t="n"/>
      <c r="H301" s="24" t="n"/>
      <c r="I301" s="24" t="n"/>
    </row>
    <row r="302">
      <c r="G302" s="24" t="n"/>
      <c r="H302" s="24" t="n"/>
      <c r="I302" s="24" t="n"/>
    </row>
    <row r="303">
      <c r="G303" s="24" t="n"/>
      <c r="H303" s="24" t="n"/>
      <c r="I303" s="24" t="n"/>
    </row>
    <row r="304">
      <c r="G304" s="24" t="n"/>
      <c r="H304" s="24" t="n"/>
      <c r="I304" s="24" t="n"/>
    </row>
    <row r="305">
      <c r="G305" s="24" t="n"/>
      <c r="H305" s="24" t="n"/>
      <c r="I305" s="24" t="n"/>
    </row>
    <row r="306">
      <c r="G306" s="24" t="n"/>
      <c r="H306" s="24" t="n"/>
      <c r="I306" s="24" t="n"/>
    </row>
    <row r="307">
      <c r="G307" s="24" t="n"/>
      <c r="H307" s="24" t="n"/>
      <c r="I307" s="24" t="n"/>
    </row>
    <row r="308">
      <c r="G308" s="24" t="n"/>
      <c r="H308" s="24" t="n"/>
      <c r="I308" s="24" t="n"/>
    </row>
    <row r="309">
      <c r="G309" s="24" t="n"/>
      <c r="H309" s="24" t="n"/>
      <c r="I309" s="24" t="n"/>
    </row>
    <row r="310">
      <c r="G310" s="24" t="n"/>
      <c r="H310" s="24" t="n"/>
      <c r="I310" s="24" t="n"/>
    </row>
    <row r="311">
      <c r="G311" s="24" t="n"/>
      <c r="H311" s="24" t="n"/>
      <c r="I311" s="24" t="n"/>
    </row>
    <row r="312">
      <c r="G312" s="24" t="n"/>
      <c r="H312" s="24" t="n"/>
      <c r="I312" s="24" t="n"/>
    </row>
    <row r="313">
      <c r="G313" s="24" t="n"/>
      <c r="H313" s="24" t="n"/>
      <c r="I313" s="24" t="n"/>
    </row>
    <row r="314">
      <c r="G314" s="24" t="n"/>
      <c r="H314" s="24" t="n"/>
      <c r="I314" s="24" t="n"/>
    </row>
    <row r="315">
      <c r="G315" s="24" t="n"/>
      <c r="H315" s="24" t="n"/>
      <c r="I315" s="24" t="n"/>
    </row>
    <row r="316">
      <c r="G316" s="24" t="n"/>
      <c r="H316" s="24" t="n"/>
      <c r="I316" s="24" t="n"/>
    </row>
    <row r="317">
      <c r="G317" s="24" t="n"/>
      <c r="H317" s="24" t="n"/>
      <c r="I317" s="24" t="n"/>
    </row>
    <row r="318">
      <c r="G318" s="24" t="n"/>
      <c r="H318" s="24" t="n"/>
      <c r="I318" s="24" t="n"/>
    </row>
    <row r="319">
      <c r="G319" s="24" t="n"/>
      <c r="H319" s="24" t="n"/>
      <c r="I319" s="24" t="n"/>
    </row>
    <row r="320">
      <c r="G320" s="24" t="n"/>
      <c r="H320" s="24" t="n"/>
      <c r="I320" s="24" t="n"/>
    </row>
    <row r="321">
      <c r="G321" s="24" t="n"/>
      <c r="H321" s="24" t="n"/>
      <c r="I321" s="24" t="n"/>
    </row>
    <row r="322">
      <c r="G322" s="24" t="n"/>
      <c r="H322" s="24" t="n"/>
      <c r="I322" s="24" t="n"/>
    </row>
    <row r="323">
      <c r="G323" s="24" t="n"/>
      <c r="H323" s="24" t="n"/>
      <c r="I323" s="24" t="n"/>
    </row>
    <row r="324">
      <c r="G324" s="24" t="n"/>
      <c r="H324" s="24" t="n"/>
      <c r="I324" s="24" t="n"/>
    </row>
    <row r="325">
      <c r="G325" s="24" t="n"/>
      <c r="H325" s="24" t="n"/>
      <c r="I325" s="24" t="n"/>
    </row>
    <row r="326">
      <c r="G326" s="24" t="n"/>
      <c r="H326" s="24" t="n"/>
      <c r="I326" s="24" t="n"/>
    </row>
    <row r="327">
      <c r="G327" s="24" t="n"/>
      <c r="H327" s="24" t="n"/>
      <c r="I327" s="24" t="n"/>
    </row>
    <row r="328">
      <c r="G328" s="24" t="n"/>
      <c r="H328" s="24" t="n"/>
      <c r="I328" s="24" t="n"/>
    </row>
    <row r="329">
      <c r="G329" s="24" t="n"/>
      <c r="H329" s="24" t="n"/>
      <c r="I329" s="24" t="n"/>
    </row>
    <row r="330">
      <c r="G330" s="24" t="n"/>
      <c r="H330" s="24" t="n"/>
      <c r="I330" s="24" t="n"/>
    </row>
    <row r="331">
      <c r="G331" s="24" t="n"/>
      <c r="H331" s="24" t="n"/>
      <c r="I331" s="24" t="n"/>
    </row>
    <row r="332">
      <c r="G332" s="24" t="n"/>
      <c r="H332" s="24" t="n"/>
      <c r="I332" s="24" t="n"/>
    </row>
    <row r="333">
      <c r="G333" s="24" t="n"/>
      <c r="H333" s="24" t="n"/>
      <c r="I333" s="24" t="n"/>
    </row>
    <row r="334">
      <c r="G334" s="24" t="n"/>
      <c r="H334" s="24" t="n"/>
      <c r="I334" s="24" t="n"/>
    </row>
    <row r="335">
      <c r="G335" s="24" t="n"/>
      <c r="H335" s="24" t="n"/>
      <c r="I335" s="24" t="n"/>
    </row>
    <row r="336">
      <c r="G336" s="24" t="n"/>
      <c r="H336" s="24" t="n"/>
      <c r="I336" s="24" t="n"/>
    </row>
    <row r="337">
      <c r="G337" s="24" t="n"/>
      <c r="H337" s="24" t="n"/>
      <c r="I337" s="24" t="n"/>
    </row>
    <row r="338">
      <c r="G338" s="24" t="n"/>
      <c r="H338" s="24" t="n"/>
      <c r="I338" s="24" t="n"/>
    </row>
    <row r="339">
      <c r="G339" s="24" t="n"/>
      <c r="H339" s="24" t="n"/>
      <c r="I339" s="24" t="n"/>
    </row>
    <row r="340">
      <c r="G340" s="24" t="n"/>
      <c r="H340" s="24" t="n"/>
      <c r="I340" s="24" t="n"/>
    </row>
    <row r="341">
      <c r="G341" s="24" t="n"/>
      <c r="H341" s="24" t="n"/>
      <c r="I341" s="24" t="n"/>
    </row>
    <row r="342">
      <c r="G342" s="24" t="n"/>
      <c r="H342" s="24" t="n"/>
      <c r="I342" s="24" t="n"/>
    </row>
    <row r="343">
      <c r="G343" s="24" t="n"/>
      <c r="H343" s="24" t="n"/>
      <c r="I343" s="24" t="n"/>
    </row>
    <row r="344">
      <c r="G344" s="24" t="n"/>
      <c r="H344" s="24" t="n"/>
      <c r="I344" s="24" t="n"/>
    </row>
    <row r="345">
      <c r="G345" s="24" t="n"/>
      <c r="H345" s="24" t="n"/>
      <c r="I345" s="24" t="n"/>
    </row>
    <row r="346">
      <c r="G346" s="24" t="n"/>
      <c r="H346" s="24" t="n"/>
      <c r="I346" s="24" t="n"/>
    </row>
    <row r="347">
      <c r="G347" s="24" t="n"/>
      <c r="H347" s="24" t="n"/>
      <c r="I347" s="24" t="n"/>
    </row>
    <row r="348">
      <c r="G348" s="24" t="n"/>
      <c r="H348" s="24" t="n"/>
      <c r="I348" s="24" t="n"/>
    </row>
    <row r="349">
      <c r="G349" s="24" t="n"/>
      <c r="H349" s="24" t="n"/>
      <c r="I349" s="24" t="n"/>
    </row>
    <row r="350">
      <c r="G350" s="24" t="n"/>
      <c r="H350" s="24" t="n"/>
      <c r="I350" s="24" t="n"/>
    </row>
    <row r="351">
      <c r="G351" s="24" t="n"/>
      <c r="H351" s="24" t="n"/>
      <c r="I351" s="24" t="n"/>
    </row>
    <row r="352">
      <c r="G352" s="24" t="n"/>
      <c r="H352" s="24" t="n"/>
      <c r="I352" s="24" t="n"/>
    </row>
    <row r="353">
      <c r="G353" s="24" t="n"/>
      <c r="H353" s="24" t="n"/>
      <c r="I353" s="24" t="n"/>
    </row>
    <row r="354">
      <c r="G354" s="24" t="n"/>
      <c r="H354" s="24" t="n"/>
      <c r="I354" s="24" t="n"/>
    </row>
    <row r="355">
      <c r="G355" s="24" t="n"/>
      <c r="H355" s="24" t="n"/>
      <c r="I355" s="24" t="n"/>
    </row>
    <row r="356">
      <c r="G356" s="24" t="n"/>
      <c r="H356" s="24" t="n"/>
      <c r="I356" s="24" t="n"/>
    </row>
    <row r="357">
      <c r="G357" s="24" t="n"/>
      <c r="H357" s="24" t="n"/>
      <c r="I357" s="24" t="n"/>
    </row>
    <row r="358">
      <c r="G358" s="24" t="n"/>
      <c r="H358" s="24" t="n"/>
      <c r="I358" s="24" t="n"/>
    </row>
    <row r="359">
      <c r="G359" s="24" t="n"/>
      <c r="H359" s="24" t="n"/>
      <c r="I359" s="24" t="n"/>
    </row>
    <row r="360">
      <c r="G360" s="24" t="n"/>
      <c r="H360" s="24" t="n"/>
      <c r="I360" s="24" t="n"/>
    </row>
    <row r="361">
      <c r="G361" s="24" t="n"/>
      <c r="H361" s="24" t="n"/>
      <c r="I361" s="24" t="n"/>
    </row>
    <row r="362">
      <c r="G362" s="24" t="n"/>
      <c r="H362" s="24" t="n"/>
      <c r="I362" s="24" t="n"/>
    </row>
    <row r="363">
      <c r="G363" s="24" t="n"/>
      <c r="H363" s="24" t="n"/>
      <c r="I363" s="24" t="n"/>
    </row>
    <row r="364">
      <c r="G364" s="24" t="n"/>
      <c r="H364" s="24" t="n"/>
      <c r="I364" s="24" t="n"/>
    </row>
    <row r="365">
      <c r="G365" s="24" t="n"/>
      <c r="H365" s="24" t="n"/>
      <c r="I365" s="24" t="n"/>
    </row>
    <row r="366">
      <c r="G366" s="24" t="n"/>
      <c r="H366" s="24" t="n"/>
      <c r="I366" s="24" t="n"/>
    </row>
    <row r="367">
      <c r="G367" s="24" t="n"/>
      <c r="H367" s="24" t="n"/>
      <c r="I367" s="24" t="n"/>
    </row>
    <row r="368">
      <c r="G368" s="24" t="n"/>
      <c r="H368" s="24" t="n"/>
      <c r="I368" s="24" t="n"/>
    </row>
    <row r="369">
      <c r="G369" s="24" t="n"/>
      <c r="H369" s="24" t="n"/>
      <c r="I369" s="24" t="n"/>
    </row>
    <row r="370">
      <c r="G370" s="24" t="n"/>
      <c r="H370" s="24" t="n"/>
      <c r="I370" s="24" t="n"/>
    </row>
    <row r="371">
      <c r="G371" s="24" t="n"/>
      <c r="H371" s="24" t="n"/>
      <c r="I371" s="24" t="n"/>
    </row>
    <row r="372">
      <c r="G372" s="24" t="n"/>
      <c r="H372" s="24" t="n"/>
      <c r="I372" s="24" t="n"/>
    </row>
    <row r="373">
      <c r="G373" s="24" t="n"/>
      <c r="H373" s="24" t="n"/>
      <c r="I373" s="24" t="n"/>
    </row>
    <row r="374">
      <c r="G374" s="24" t="n"/>
      <c r="H374" s="24" t="n"/>
      <c r="I374" s="24" t="n"/>
    </row>
    <row r="375">
      <c r="G375" s="24" t="n"/>
      <c r="H375" s="24" t="n"/>
      <c r="I375" s="24" t="n"/>
    </row>
    <row r="376">
      <c r="G376" s="24" t="n"/>
      <c r="H376" s="24" t="n"/>
      <c r="I376" s="24" t="n"/>
    </row>
    <row r="377">
      <c r="G377" s="24" t="n"/>
      <c r="H377" s="24" t="n"/>
      <c r="I377" s="24" t="n"/>
    </row>
    <row r="378">
      <c r="G378" s="24" t="n"/>
      <c r="H378" s="24" t="n"/>
      <c r="I378" s="24" t="n"/>
    </row>
    <row r="379">
      <c r="G379" s="24" t="n"/>
      <c r="H379" s="24" t="n"/>
      <c r="I379" s="24" t="n"/>
    </row>
    <row r="380">
      <c r="G380" s="24" t="n"/>
      <c r="H380" s="24" t="n"/>
      <c r="I380" s="24" t="n"/>
    </row>
    <row r="381">
      <c r="G381" s="24" t="n"/>
      <c r="H381" s="24" t="n"/>
      <c r="I381" s="24" t="n"/>
    </row>
    <row r="382">
      <c r="G382" s="24" t="n"/>
      <c r="H382" s="24" t="n"/>
      <c r="I382" s="24" t="n"/>
    </row>
    <row r="383">
      <c r="G383" s="24" t="n"/>
      <c r="H383" s="24" t="n"/>
      <c r="I383" s="24" t="n"/>
    </row>
    <row r="384">
      <c r="G384" s="24" t="n"/>
      <c r="H384" s="24" t="n"/>
      <c r="I384" s="24" t="n"/>
    </row>
    <row r="385">
      <c r="G385" s="24" t="n"/>
      <c r="H385" s="24" t="n"/>
      <c r="I385" s="24" t="n"/>
    </row>
    <row r="386">
      <c r="G386" s="24" t="n"/>
      <c r="H386" s="24" t="n"/>
      <c r="I386" s="24" t="n"/>
    </row>
    <row r="387">
      <c r="G387" s="24" t="n"/>
      <c r="H387" s="24" t="n"/>
      <c r="I387" s="24" t="n"/>
    </row>
    <row r="388">
      <c r="G388" s="24" t="n"/>
      <c r="H388" s="24" t="n"/>
      <c r="I388" s="24" t="n"/>
    </row>
    <row r="389">
      <c r="G389" s="24" t="n"/>
      <c r="H389" s="24" t="n"/>
      <c r="I389" s="24" t="n"/>
    </row>
    <row r="390">
      <c r="G390" s="24" t="n"/>
      <c r="H390" s="24" t="n"/>
      <c r="I390" s="24" t="n"/>
    </row>
    <row r="391">
      <c r="G391" s="24" t="n"/>
      <c r="H391" s="24" t="n"/>
      <c r="I391" s="24" t="n"/>
    </row>
    <row r="392">
      <c r="G392" s="24" t="n"/>
      <c r="H392" s="24" t="n"/>
      <c r="I392" s="24" t="n"/>
    </row>
    <row r="393">
      <c r="G393" s="24" t="n"/>
      <c r="H393" s="24" t="n"/>
      <c r="I393" s="24" t="n"/>
    </row>
    <row r="394">
      <c r="G394" s="24" t="n"/>
      <c r="H394" s="24" t="n"/>
      <c r="I394" s="24" t="n"/>
    </row>
    <row r="395">
      <c r="G395" s="24" t="n"/>
      <c r="H395" s="24" t="n"/>
      <c r="I395" s="24" t="n"/>
    </row>
    <row r="396">
      <c r="G396" s="24" t="n"/>
      <c r="H396" s="24" t="n"/>
      <c r="I396" s="24" t="n"/>
    </row>
    <row r="397">
      <c r="G397" s="24" t="n"/>
      <c r="H397" s="24" t="n"/>
      <c r="I397" s="24" t="n"/>
    </row>
    <row r="398">
      <c r="G398" s="24" t="n"/>
      <c r="H398" s="24" t="n"/>
      <c r="I398" s="24" t="n"/>
    </row>
    <row r="399">
      <c r="G399" s="24" t="n"/>
      <c r="H399" s="24" t="n"/>
      <c r="I399" s="24" t="n"/>
    </row>
    <row r="400">
      <c r="G400" s="24" t="n"/>
      <c r="H400" s="24" t="n"/>
      <c r="I400" s="24" t="n"/>
    </row>
    <row r="401">
      <c r="G401" s="24" t="n"/>
      <c r="H401" s="24" t="n"/>
      <c r="I401" s="24" t="n"/>
    </row>
    <row r="402">
      <c r="G402" s="24" t="n"/>
      <c r="H402" s="24" t="n"/>
      <c r="I402" s="24" t="n"/>
    </row>
    <row r="403">
      <c r="G403" s="24" t="n"/>
      <c r="H403" s="24" t="n"/>
      <c r="I403" s="24" t="n"/>
    </row>
    <row r="404">
      <c r="G404" s="24" t="n"/>
      <c r="H404" s="24" t="n"/>
      <c r="I404" s="24" t="n"/>
    </row>
    <row r="405">
      <c r="G405" s="24" t="n"/>
      <c r="H405" s="24" t="n"/>
      <c r="I405" s="24" t="n"/>
    </row>
    <row r="406">
      <c r="G406" s="24" t="n"/>
      <c r="H406" s="24" t="n"/>
      <c r="I406" s="24" t="n"/>
    </row>
    <row r="407">
      <c r="G407" s="24" t="n"/>
      <c r="H407" s="24" t="n"/>
      <c r="I407" s="24" t="n"/>
    </row>
    <row r="408">
      <c r="G408" s="24" t="n"/>
      <c r="H408" s="24" t="n"/>
      <c r="I408" s="24" t="n"/>
    </row>
    <row r="409">
      <c r="G409" s="24" t="n"/>
      <c r="H409" s="24" t="n"/>
      <c r="I409" s="24" t="n"/>
    </row>
    <row r="410">
      <c r="G410" s="24" t="n"/>
      <c r="H410" s="24" t="n"/>
      <c r="I410" s="24" t="n"/>
    </row>
    <row r="411">
      <c r="G411" s="24" t="n"/>
      <c r="H411" s="24" t="n"/>
      <c r="I411" s="24" t="n"/>
    </row>
    <row r="412">
      <c r="G412" s="24" t="n"/>
      <c r="H412" s="24" t="n"/>
      <c r="I412" s="24" t="n"/>
    </row>
    <row r="413">
      <c r="G413" s="24" t="n"/>
      <c r="H413" s="24" t="n"/>
      <c r="I413" s="24" t="n"/>
    </row>
    <row r="414">
      <c r="G414" s="24" t="n"/>
      <c r="H414" s="24" t="n"/>
      <c r="I414" s="24" t="n"/>
    </row>
    <row r="415">
      <c r="G415" s="24" t="n"/>
      <c r="H415" s="24" t="n"/>
      <c r="I415" s="24" t="n"/>
    </row>
    <row r="416">
      <c r="G416" s="24" t="n"/>
      <c r="H416" s="24" t="n"/>
      <c r="I416" s="24" t="n"/>
    </row>
    <row r="417">
      <c r="G417" s="24" t="n"/>
      <c r="H417" s="24" t="n"/>
      <c r="I417" s="24" t="n"/>
    </row>
    <row r="418">
      <c r="G418" s="24" t="n"/>
      <c r="H418" s="24" t="n"/>
      <c r="I418" s="24" t="n"/>
    </row>
    <row r="419">
      <c r="G419" s="24" t="n"/>
      <c r="H419" s="24" t="n"/>
      <c r="I419" s="24" t="n"/>
    </row>
    <row r="420">
      <c r="G420" s="24" t="n"/>
      <c r="H420" s="24" t="n"/>
      <c r="I420" s="24" t="n"/>
    </row>
    <row r="421">
      <c r="G421" s="24" t="n"/>
      <c r="H421" s="24" t="n"/>
      <c r="I421" s="24" t="n"/>
    </row>
    <row r="422">
      <c r="G422" s="24" t="n"/>
      <c r="H422" s="24" t="n"/>
      <c r="I422" s="24" t="n"/>
    </row>
    <row r="423">
      <c r="G423" s="24" t="n"/>
      <c r="H423" s="24" t="n"/>
      <c r="I423" s="24" t="n"/>
    </row>
    <row r="424">
      <c r="G424" s="24" t="n"/>
      <c r="H424" s="24" t="n"/>
      <c r="I424" s="24" t="n"/>
    </row>
    <row r="425">
      <c r="G425" s="24" t="n"/>
      <c r="H425" s="24" t="n"/>
      <c r="I425" s="24" t="n"/>
    </row>
    <row r="426">
      <c r="G426" s="24" t="n"/>
      <c r="H426" s="24" t="n"/>
      <c r="I426" s="24" t="n"/>
    </row>
    <row r="427">
      <c r="G427" s="24" t="n"/>
      <c r="H427" s="24" t="n"/>
      <c r="I427" s="24" t="n"/>
    </row>
    <row r="428">
      <c r="G428" s="24" t="n"/>
      <c r="H428" s="24" t="n"/>
      <c r="I428" s="24" t="n"/>
    </row>
    <row r="429">
      <c r="G429" s="24" t="n"/>
      <c r="H429" s="24" t="n"/>
      <c r="I429" s="24" t="n"/>
    </row>
    <row r="430">
      <c r="G430" s="24" t="n"/>
      <c r="H430" s="24" t="n"/>
      <c r="I430" s="24" t="n"/>
    </row>
    <row r="431">
      <c r="G431" s="24" t="n"/>
      <c r="H431" s="24" t="n"/>
      <c r="I431" s="24" t="n"/>
    </row>
    <row r="432">
      <c r="G432" s="24" t="n"/>
      <c r="H432" s="24" t="n"/>
      <c r="I432" s="24" t="n"/>
    </row>
    <row r="433">
      <c r="G433" s="24" t="n"/>
      <c r="H433" s="24" t="n"/>
      <c r="I433" s="24" t="n"/>
    </row>
    <row r="434">
      <c r="G434" s="24" t="n"/>
      <c r="H434" s="24" t="n"/>
      <c r="I434" s="24" t="n"/>
    </row>
    <row r="435">
      <c r="G435" s="24" t="n"/>
      <c r="H435" s="24" t="n"/>
      <c r="I435" s="24" t="n"/>
    </row>
    <row r="436">
      <c r="G436" s="24" t="n"/>
      <c r="H436" s="24" t="n"/>
      <c r="I436" s="24" t="n"/>
    </row>
    <row r="437">
      <c r="G437" s="24" t="n"/>
      <c r="H437" s="24" t="n"/>
      <c r="I437" s="24" t="n"/>
    </row>
    <row r="438">
      <c r="G438" s="24" t="n"/>
      <c r="H438" s="24" t="n"/>
      <c r="I438" s="24" t="n"/>
    </row>
    <row r="439">
      <c r="G439" s="24" t="n"/>
      <c r="H439" s="24" t="n"/>
      <c r="I439" s="24" t="n"/>
    </row>
    <row r="440">
      <c r="G440" s="24" t="n"/>
      <c r="H440" s="24" t="n"/>
      <c r="I440" s="24" t="n"/>
    </row>
    <row r="441">
      <c r="G441" s="24" t="n"/>
      <c r="H441" s="24" t="n"/>
      <c r="I441" s="24" t="n"/>
    </row>
    <row r="442">
      <c r="G442" s="24" t="n"/>
      <c r="H442" s="24" t="n"/>
      <c r="I442" s="24" t="n"/>
    </row>
    <row r="443">
      <c r="G443" s="24" t="n"/>
      <c r="H443" s="24" t="n"/>
      <c r="I443" s="24" t="n"/>
    </row>
    <row r="444">
      <c r="G444" s="24" t="n"/>
      <c r="H444" s="24" t="n"/>
      <c r="I444" s="24" t="n"/>
    </row>
    <row r="445">
      <c r="G445" s="24" t="n"/>
      <c r="H445" s="24" t="n"/>
      <c r="I445" s="24" t="n"/>
    </row>
    <row r="446">
      <c r="G446" s="24" t="n"/>
      <c r="H446" s="24" t="n"/>
      <c r="I446" s="24" t="n"/>
    </row>
    <row r="447">
      <c r="G447" s="24" t="n"/>
      <c r="H447" s="24" t="n"/>
      <c r="I447" s="24" t="n"/>
    </row>
    <row r="448">
      <c r="G448" s="24" t="n"/>
      <c r="H448" s="24" t="n"/>
      <c r="I448" s="24" t="n"/>
    </row>
    <row r="449">
      <c r="G449" s="24" t="n"/>
      <c r="H449" s="24" t="n"/>
      <c r="I449" s="24" t="n"/>
    </row>
    <row r="450">
      <c r="G450" s="24" t="n"/>
      <c r="H450" s="24" t="n"/>
      <c r="I450" s="24" t="n"/>
    </row>
    <row r="451">
      <c r="G451" s="24" t="n"/>
      <c r="H451" s="24" t="n"/>
      <c r="I451" s="24" t="n"/>
    </row>
    <row r="452">
      <c r="G452" s="24" t="n"/>
      <c r="H452" s="24" t="n"/>
      <c r="I452" s="24" t="n"/>
    </row>
    <row r="453">
      <c r="G453" s="24" t="n"/>
      <c r="H453" s="24" t="n"/>
      <c r="I453" s="24" t="n"/>
    </row>
    <row r="454">
      <c r="G454" s="24" t="n"/>
      <c r="H454" s="24" t="n"/>
      <c r="I454" s="24" t="n"/>
    </row>
    <row r="455">
      <c r="G455" s="24" t="n"/>
      <c r="H455" s="24" t="n"/>
      <c r="I455" s="24" t="n"/>
    </row>
    <row r="456">
      <c r="G456" s="24" t="n"/>
      <c r="H456" s="24" t="n"/>
      <c r="I456" s="24" t="n"/>
    </row>
    <row r="457">
      <c r="G457" s="24" t="n"/>
      <c r="H457" s="24" t="n"/>
      <c r="I457" s="24" t="n"/>
    </row>
    <row r="458">
      <c r="G458" s="24" t="n"/>
      <c r="H458" s="24" t="n"/>
      <c r="I458" s="24" t="n"/>
    </row>
    <row r="459">
      <c r="G459" s="24" t="n"/>
      <c r="H459" s="24" t="n"/>
      <c r="I459" s="24" t="n"/>
    </row>
    <row r="460">
      <c r="G460" s="24" t="n"/>
      <c r="H460" s="24" t="n"/>
      <c r="I460" s="24" t="n"/>
    </row>
    <row r="461">
      <c r="G461" s="24" t="n"/>
      <c r="H461" s="24" t="n"/>
      <c r="I461" s="24" t="n"/>
    </row>
    <row r="462">
      <c r="G462" s="24" t="n"/>
      <c r="H462" s="24" t="n"/>
      <c r="I462" s="24" t="n"/>
    </row>
    <row r="463">
      <c r="G463" s="24" t="n"/>
      <c r="H463" s="24" t="n"/>
      <c r="I463" s="24" t="n"/>
    </row>
    <row r="464">
      <c r="G464" s="24" t="n"/>
      <c r="H464" s="24" t="n"/>
      <c r="I464" s="24" t="n"/>
    </row>
    <row r="465">
      <c r="G465" s="24" t="n"/>
      <c r="H465" s="24" t="n"/>
      <c r="I465" s="24" t="n"/>
    </row>
    <row r="466">
      <c r="G466" s="24" t="n"/>
      <c r="H466" s="24" t="n"/>
      <c r="I466" s="24" t="n"/>
    </row>
    <row r="467">
      <c r="G467" s="24" t="n"/>
      <c r="H467" s="24" t="n"/>
      <c r="I467" s="24" t="n"/>
    </row>
    <row r="468">
      <c r="G468" s="24" t="n"/>
      <c r="H468" s="24" t="n"/>
      <c r="I468" s="24" t="n"/>
    </row>
    <row r="469">
      <c r="G469" s="24" t="n"/>
      <c r="H469" s="24" t="n"/>
      <c r="I469" s="24" t="n"/>
    </row>
    <row r="470">
      <c r="G470" s="24" t="n"/>
      <c r="H470" s="24" t="n"/>
      <c r="I470" s="24" t="n"/>
    </row>
    <row r="471">
      <c r="G471" s="24" t="n"/>
      <c r="H471" s="24" t="n"/>
      <c r="I471" s="24" t="n"/>
    </row>
    <row r="472">
      <c r="G472" s="24" t="n"/>
      <c r="H472" s="24" t="n"/>
      <c r="I472" s="24" t="n"/>
    </row>
    <row r="473">
      <c r="G473" s="24" t="n"/>
      <c r="H473" s="24" t="n"/>
      <c r="I473" s="24" t="n"/>
    </row>
    <row r="474">
      <c r="G474" s="24" t="n"/>
      <c r="H474" s="24" t="n"/>
      <c r="I474" s="24" t="n"/>
    </row>
    <row r="475">
      <c r="G475" s="24" t="n"/>
      <c r="H475" s="24" t="n"/>
      <c r="I475" s="24" t="n"/>
    </row>
    <row r="476">
      <c r="G476" s="24" t="n"/>
      <c r="H476" s="24" t="n"/>
      <c r="I476" s="24" t="n"/>
    </row>
    <row r="477">
      <c r="G477" s="24" t="n"/>
      <c r="H477" s="24" t="n"/>
      <c r="I477" s="24" t="n"/>
    </row>
    <row r="478">
      <c r="G478" s="24" t="n"/>
      <c r="H478" s="24" t="n"/>
      <c r="I478" s="24" t="n"/>
    </row>
    <row r="479">
      <c r="G479" s="24" t="n"/>
      <c r="H479" s="24" t="n"/>
      <c r="I479" s="24" t="n"/>
    </row>
    <row r="480">
      <c r="G480" s="24" t="n"/>
      <c r="H480" s="24" t="n"/>
      <c r="I480" s="24" t="n"/>
    </row>
    <row r="481">
      <c r="G481" s="24" t="n"/>
      <c r="H481" s="24" t="n"/>
      <c r="I481" s="24" t="n"/>
    </row>
    <row r="482">
      <c r="G482" s="24" t="n"/>
      <c r="H482" s="24" t="n"/>
      <c r="I482" s="24" t="n"/>
    </row>
    <row r="483">
      <c r="G483" s="24" t="n"/>
      <c r="H483" s="24" t="n"/>
      <c r="I483" s="24" t="n"/>
    </row>
    <row r="484">
      <c r="G484" s="24" t="n"/>
      <c r="H484" s="24" t="n"/>
      <c r="I484" s="24" t="n"/>
    </row>
    <row r="485">
      <c r="G485" s="24" t="n"/>
      <c r="H485" s="24" t="n"/>
      <c r="I485" s="24" t="n"/>
    </row>
    <row r="486">
      <c r="G486" s="24" t="n"/>
      <c r="H486" s="24" t="n"/>
      <c r="I486" s="24" t="n"/>
    </row>
    <row r="487">
      <c r="G487" s="24" t="n"/>
      <c r="H487" s="24" t="n"/>
      <c r="I487" s="24" t="n"/>
    </row>
    <row r="488">
      <c r="G488" s="24" t="n"/>
      <c r="H488" s="24" t="n"/>
      <c r="I488" s="24" t="n"/>
    </row>
    <row r="489">
      <c r="G489" s="24" t="n"/>
      <c r="H489" s="24" t="n"/>
      <c r="I489" s="24" t="n"/>
    </row>
    <row r="490">
      <c r="G490" s="24" t="n"/>
      <c r="H490" s="24" t="n"/>
      <c r="I490" s="24" t="n"/>
    </row>
    <row r="491">
      <c r="G491" s="24" t="n"/>
      <c r="H491" s="24" t="n"/>
      <c r="I491" s="24" t="n"/>
    </row>
    <row r="492">
      <c r="G492" s="24" t="n"/>
      <c r="H492" s="24" t="n"/>
      <c r="I492" s="24" t="n"/>
    </row>
    <row r="493">
      <c r="G493" s="24" t="n"/>
      <c r="H493" s="24" t="n"/>
      <c r="I493" s="24" t="n"/>
    </row>
    <row r="494">
      <c r="G494" s="24" t="n"/>
      <c r="H494" s="24" t="n"/>
      <c r="I494" s="24" t="n"/>
    </row>
    <row r="495">
      <c r="G495" s="24" t="n"/>
      <c r="H495" s="24" t="n"/>
      <c r="I495" s="24" t="n"/>
    </row>
    <row r="496">
      <c r="G496" s="24" t="n"/>
      <c r="H496" s="24" t="n"/>
      <c r="I496" s="24" t="n"/>
    </row>
    <row r="497">
      <c r="G497" s="24" t="n"/>
      <c r="H497" s="24" t="n"/>
      <c r="I497" s="24" t="n"/>
    </row>
    <row r="498">
      <c r="G498" s="24" t="n"/>
      <c r="H498" s="24" t="n"/>
      <c r="I498" s="24" t="n"/>
    </row>
    <row r="499">
      <c r="G499" s="24" t="n"/>
      <c r="H499" s="24" t="n"/>
      <c r="I499" s="24" t="n"/>
    </row>
    <row r="500">
      <c r="G500" s="24" t="n"/>
      <c r="H500" s="24" t="n"/>
      <c r="I500" s="24" t="n"/>
    </row>
    <row r="501">
      <c r="G501" s="24" t="n"/>
      <c r="H501" s="24" t="n"/>
      <c r="I501" s="24" t="n"/>
    </row>
    <row r="502">
      <c r="G502" s="24" t="n"/>
      <c r="H502" s="24" t="n"/>
      <c r="I502" s="24" t="n"/>
    </row>
    <row r="503">
      <c r="G503" s="24" t="n"/>
      <c r="H503" s="24" t="n"/>
      <c r="I503" s="24" t="n"/>
    </row>
    <row r="504">
      <c r="G504" s="24" t="n"/>
      <c r="H504" s="24" t="n"/>
      <c r="I504" s="24" t="n"/>
    </row>
    <row r="505">
      <c r="G505" s="24" t="n"/>
      <c r="H505" s="24" t="n"/>
      <c r="I505" s="24" t="n"/>
    </row>
    <row r="506">
      <c r="G506" s="24" t="n"/>
      <c r="H506" s="24" t="n"/>
      <c r="I506" s="24" t="n"/>
    </row>
    <row r="507">
      <c r="G507" s="24" t="n"/>
      <c r="H507" s="24" t="n"/>
      <c r="I507" s="24" t="n"/>
    </row>
    <row r="508">
      <c r="G508" s="24" t="n"/>
      <c r="H508" s="24" t="n"/>
      <c r="I508" s="24" t="n"/>
    </row>
    <row r="509">
      <c r="G509" s="24" t="n"/>
      <c r="H509" s="24" t="n"/>
      <c r="I509" s="24" t="n"/>
    </row>
    <row r="510">
      <c r="G510" s="24" t="n"/>
      <c r="H510" s="24" t="n"/>
      <c r="I510" s="24" t="n"/>
    </row>
    <row r="511">
      <c r="G511" s="24" t="n"/>
      <c r="H511" s="24" t="n"/>
      <c r="I511" s="24" t="n"/>
    </row>
    <row r="512">
      <c r="G512" s="24" t="n"/>
      <c r="H512" s="24" t="n"/>
      <c r="I512" s="24" t="n"/>
    </row>
    <row r="513">
      <c r="G513" s="24" t="n"/>
      <c r="H513" s="24" t="n"/>
      <c r="I513" s="24" t="n"/>
    </row>
    <row r="514">
      <c r="G514" s="24" t="n"/>
      <c r="H514" s="24" t="n"/>
      <c r="I514" s="24" t="n"/>
    </row>
    <row r="515">
      <c r="G515" s="24" t="n"/>
      <c r="H515" s="24" t="n"/>
      <c r="I515" s="24" t="n"/>
    </row>
    <row r="516">
      <c r="G516" s="24" t="n"/>
      <c r="H516" s="24" t="n"/>
      <c r="I516" s="24" t="n"/>
    </row>
    <row r="517">
      <c r="G517" s="24" t="n"/>
      <c r="H517" s="24" t="n"/>
      <c r="I517" s="24" t="n"/>
    </row>
    <row r="518">
      <c r="G518" s="24" t="n"/>
      <c r="H518" s="24" t="n"/>
      <c r="I518" s="24" t="n"/>
    </row>
    <row r="519">
      <c r="G519" s="24" t="n"/>
      <c r="H519" s="24" t="n"/>
      <c r="I519" s="24" t="n"/>
    </row>
    <row r="520">
      <c r="G520" s="24" t="n"/>
      <c r="H520" s="24" t="n"/>
      <c r="I520" s="24" t="n"/>
    </row>
    <row r="521">
      <c r="G521" s="24" t="n"/>
      <c r="H521" s="24" t="n"/>
      <c r="I521" s="24" t="n"/>
    </row>
    <row r="522">
      <c r="G522" s="24" t="n"/>
      <c r="H522" s="24" t="n"/>
      <c r="I522" s="24" t="n"/>
    </row>
    <row r="523">
      <c r="G523" s="24" t="n"/>
      <c r="H523" s="24" t="n"/>
      <c r="I523" s="24" t="n"/>
    </row>
    <row r="524">
      <c r="G524" s="24" t="n"/>
      <c r="H524" s="24" t="n"/>
      <c r="I524" s="24" t="n"/>
    </row>
    <row r="525">
      <c r="G525" s="24" t="n"/>
      <c r="H525" s="24" t="n"/>
      <c r="I525" s="24" t="n"/>
    </row>
    <row r="526">
      <c r="G526" s="24" t="n"/>
      <c r="H526" s="24" t="n"/>
      <c r="I526" s="24" t="n"/>
    </row>
    <row r="527">
      <c r="G527" s="24" t="n"/>
      <c r="H527" s="24" t="n"/>
      <c r="I527" s="24" t="n"/>
    </row>
    <row r="528">
      <c r="G528" s="24" t="n"/>
      <c r="H528" s="24" t="n"/>
      <c r="I528" s="24" t="n"/>
    </row>
    <row r="529">
      <c r="G529" s="24" t="n"/>
      <c r="H529" s="24" t="n"/>
      <c r="I529" s="24" t="n"/>
    </row>
    <row r="530">
      <c r="G530" s="24" t="n"/>
      <c r="H530" s="24" t="n"/>
      <c r="I530" s="24" t="n"/>
    </row>
    <row r="531">
      <c r="G531" s="24" t="n"/>
      <c r="H531" s="24" t="n"/>
      <c r="I531" s="24" t="n"/>
    </row>
    <row r="532">
      <c r="G532" s="24" t="n"/>
      <c r="H532" s="24" t="n"/>
      <c r="I532" s="24" t="n"/>
    </row>
    <row r="533">
      <c r="G533" s="24" t="n"/>
      <c r="H533" s="24" t="n"/>
      <c r="I533" s="24" t="n"/>
    </row>
    <row r="534">
      <c r="G534" s="24" t="n"/>
      <c r="H534" s="24" t="n"/>
      <c r="I534" s="24" t="n"/>
    </row>
    <row r="535">
      <c r="G535" s="24" t="n"/>
      <c r="H535" s="24" t="n"/>
      <c r="I535" s="24" t="n"/>
    </row>
    <row r="536">
      <c r="G536" s="24" t="n"/>
      <c r="H536" s="24" t="n"/>
      <c r="I536" s="24" t="n"/>
    </row>
    <row r="537">
      <c r="G537" s="24" t="n"/>
      <c r="H537" s="24" t="n"/>
      <c r="I537" s="24" t="n"/>
    </row>
    <row r="538">
      <c r="G538" s="24" t="n"/>
      <c r="H538" s="24" t="n"/>
      <c r="I538" s="24" t="n"/>
    </row>
    <row r="539">
      <c r="G539" s="24" t="n"/>
      <c r="H539" s="24" t="n"/>
      <c r="I539" s="24" t="n"/>
    </row>
    <row r="540">
      <c r="G540" s="24" t="n"/>
      <c r="H540" s="24" t="n"/>
      <c r="I540" s="24" t="n"/>
    </row>
    <row r="541">
      <c r="G541" s="24" t="n"/>
      <c r="H541" s="24" t="n"/>
      <c r="I541" s="24" t="n"/>
    </row>
    <row r="542">
      <c r="G542" s="24" t="n"/>
      <c r="H542" s="24" t="n"/>
      <c r="I542" s="24" t="n"/>
    </row>
    <row r="543">
      <c r="G543" s="24" t="n"/>
      <c r="H543" s="24" t="n"/>
      <c r="I543" s="24" t="n"/>
    </row>
    <row r="544">
      <c r="G544" s="24" t="n"/>
      <c r="H544" s="24" t="n"/>
      <c r="I544" s="24" t="n"/>
    </row>
    <row r="545">
      <c r="G545" s="24" t="n"/>
      <c r="H545" s="24" t="n"/>
      <c r="I545" s="24" t="n"/>
    </row>
    <row r="546">
      <c r="G546" s="24" t="n"/>
      <c r="H546" s="24" t="n"/>
      <c r="I546" s="24" t="n"/>
    </row>
    <row r="547">
      <c r="G547" s="24" t="n"/>
      <c r="H547" s="24" t="n"/>
      <c r="I547" s="24" t="n"/>
    </row>
    <row r="548">
      <c r="G548" s="24" t="n"/>
      <c r="H548" s="24" t="n"/>
      <c r="I548" s="24" t="n"/>
    </row>
    <row r="549">
      <c r="G549" s="24" t="n"/>
      <c r="H549" s="24" t="n"/>
      <c r="I549" s="24" t="n"/>
    </row>
    <row r="550">
      <c r="G550" s="24" t="n"/>
      <c r="H550" s="24" t="n"/>
      <c r="I550" s="24" t="n"/>
    </row>
    <row r="551">
      <c r="G551" s="24" t="n"/>
      <c r="H551" s="24" t="n"/>
      <c r="I551" s="24" t="n"/>
    </row>
    <row r="552">
      <c r="G552" s="24" t="n"/>
      <c r="H552" s="24" t="n"/>
      <c r="I552" s="24" t="n"/>
    </row>
    <row r="553">
      <c r="G553" s="24" t="n"/>
      <c r="H553" s="24" t="n"/>
      <c r="I553" s="24" t="n"/>
    </row>
    <row r="554">
      <c r="G554" s="24" t="n"/>
      <c r="H554" s="24" t="n"/>
      <c r="I554" s="24" t="n"/>
    </row>
    <row r="555">
      <c r="G555" s="24" t="n"/>
      <c r="H555" s="24" t="n"/>
      <c r="I555" s="24" t="n"/>
    </row>
    <row r="556">
      <c r="G556" s="24" t="n"/>
      <c r="H556" s="24" t="n"/>
      <c r="I556" s="24" t="n"/>
    </row>
    <row r="557">
      <c r="G557" s="24" t="n"/>
      <c r="H557" s="24" t="n"/>
      <c r="I557" s="24" t="n"/>
    </row>
    <row r="558">
      <c r="G558" s="24" t="n"/>
      <c r="H558" s="24" t="n"/>
      <c r="I558" s="24" t="n"/>
    </row>
    <row r="559">
      <c r="G559" s="24" t="n"/>
      <c r="H559" s="24" t="n"/>
      <c r="I559" s="24" t="n"/>
    </row>
    <row r="560">
      <c r="G560" s="24" t="n"/>
      <c r="H560" s="24" t="n"/>
      <c r="I560" s="24" t="n"/>
    </row>
    <row r="561">
      <c r="G561" s="24" t="n"/>
      <c r="H561" s="24" t="n"/>
      <c r="I561" s="24" t="n"/>
    </row>
    <row r="562">
      <c r="G562" s="24" t="n"/>
      <c r="H562" s="24" t="n"/>
      <c r="I562" s="24" t="n"/>
    </row>
    <row r="563">
      <c r="G563" s="24" t="n"/>
      <c r="H563" s="24" t="n"/>
      <c r="I563" s="24" t="n"/>
    </row>
    <row r="564">
      <c r="G564" s="24" t="n"/>
      <c r="H564" s="24" t="n"/>
      <c r="I564" s="24" t="n"/>
    </row>
    <row r="565">
      <c r="G565" s="24" t="n"/>
      <c r="H565" s="24" t="n"/>
      <c r="I565" s="24" t="n"/>
    </row>
    <row r="566">
      <c r="G566" s="24" t="n"/>
      <c r="H566" s="24" t="n"/>
      <c r="I566" s="24" t="n"/>
    </row>
    <row r="567">
      <c r="G567" s="24" t="n"/>
      <c r="H567" s="24" t="n"/>
      <c r="I567" s="24" t="n"/>
    </row>
    <row r="568">
      <c r="G568" s="24" t="n"/>
      <c r="H568" s="24" t="n"/>
      <c r="I568" s="24" t="n"/>
    </row>
    <row r="569">
      <c r="G569" s="24" t="n"/>
      <c r="H569" s="24" t="n"/>
      <c r="I569" s="24" t="n"/>
    </row>
    <row r="570">
      <c r="G570" s="24" t="n"/>
      <c r="H570" s="24" t="n"/>
      <c r="I570" s="24" t="n"/>
    </row>
    <row r="571">
      <c r="G571" s="24" t="n"/>
      <c r="H571" s="24" t="n"/>
      <c r="I571" s="24" t="n"/>
    </row>
    <row r="572">
      <c r="G572" s="24" t="n"/>
      <c r="H572" s="24" t="n"/>
      <c r="I572" s="24" t="n"/>
    </row>
    <row r="573">
      <c r="G573" s="24" t="n"/>
      <c r="H573" s="24" t="n"/>
      <c r="I573" s="24" t="n"/>
    </row>
    <row r="574">
      <c r="G574" s="24" t="n"/>
      <c r="H574" s="24" t="n"/>
      <c r="I574" s="24" t="n"/>
    </row>
    <row r="575">
      <c r="G575" s="24" t="n"/>
      <c r="H575" s="24" t="n"/>
      <c r="I575" s="24" t="n"/>
    </row>
    <row r="576">
      <c r="G576" s="24" t="n"/>
      <c r="H576" s="24" t="n"/>
      <c r="I576" s="24" t="n"/>
    </row>
    <row r="577">
      <c r="G577" s="24" t="n"/>
      <c r="H577" s="24" t="n"/>
      <c r="I577" s="24" t="n"/>
    </row>
    <row r="578">
      <c r="G578" s="24" t="n"/>
      <c r="H578" s="24" t="n"/>
      <c r="I578" s="24" t="n"/>
    </row>
    <row r="579">
      <c r="G579" s="24" t="n"/>
      <c r="H579" s="24" t="n"/>
      <c r="I579" s="24" t="n"/>
    </row>
    <row r="580">
      <c r="G580" s="24" t="n"/>
      <c r="H580" s="24" t="n"/>
      <c r="I580" s="24" t="n"/>
    </row>
    <row r="581">
      <c r="G581" s="24" t="n"/>
      <c r="H581" s="24" t="n"/>
      <c r="I581" s="24" t="n"/>
    </row>
    <row r="582">
      <c r="G582" s="24" t="n"/>
      <c r="H582" s="24" t="n"/>
      <c r="I582" s="24" t="n"/>
    </row>
    <row r="583">
      <c r="G583" s="24" t="n"/>
      <c r="H583" s="24" t="n"/>
      <c r="I583" s="24" t="n"/>
    </row>
    <row r="584">
      <c r="G584" s="24" t="n"/>
      <c r="H584" s="24" t="n"/>
      <c r="I584" s="24" t="n"/>
    </row>
    <row r="585">
      <c r="G585" s="24" t="n"/>
      <c r="H585" s="24" t="n"/>
      <c r="I585" s="24" t="n"/>
    </row>
    <row r="586">
      <c r="G586" s="24" t="n"/>
      <c r="H586" s="24" t="n"/>
      <c r="I586" s="24" t="n"/>
    </row>
    <row r="587">
      <c r="G587" s="24" t="n"/>
      <c r="H587" s="24" t="n"/>
      <c r="I587" s="24" t="n"/>
    </row>
    <row r="588">
      <c r="G588" s="24" t="n"/>
      <c r="H588" s="24" t="n"/>
      <c r="I588" s="24" t="n"/>
    </row>
    <row r="589">
      <c r="G589" s="24" t="n"/>
      <c r="H589" s="24" t="n"/>
      <c r="I589" s="24" t="n"/>
    </row>
    <row r="590">
      <c r="G590" s="24" t="n"/>
      <c r="H590" s="24" t="n"/>
      <c r="I590" s="24" t="n"/>
    </row>
    <row r="591">
      <c r="G591" s="24" t="n"/>
      <c r="H591" s="24" t="n"/>
      <c r="I591" s="24" t="n"/>
    </row>
    <row r="592">
      <c r="G592" s="24" t="n"/>
      <c r="H592" s="24" t="n"/>
      <c r="I592" s="24" t="n"/>
    </row>
    <row r="593">
      <c r="G593" s="24" t="n"/>
      <c r="H593" s="24" t="n"/>
      <c r="I593" s="24" t="n"/>
    </row>
    <row r="594">
      <c r="G594" s="24" t="n"/>
      <c r="H594" s="24" t="n"/>
      <c r="I594" s="24" t="n"/>
    </row>
    <row r="595">
      <c r="G595" s="24" t="n"/>
      <c r="H595" s="24" t="n"/>
      <c r="I595" s="24" t="n"/>
    </row>
    <row r="596">
      <c r="G596" s="24" t="n"/>
      <c r="H596" s="24" t="n"/>
      <c r="I596" s="24" t="n"/>
    </row>
    <row r="597">
      <c r="G597" s="24" t="n"/>
      <c r="H597" s="24" t="n"/>
      <c r="I597" s="24" t="n"/>
    </row>
    <row r="598">
      <c r="G598" s="24" t="n"/>
      <c r="H598" s="24" t="n"/>
      <c r="I598" s="24" t="n"/>
    </row>
    <row r="599">
      <c r="G599" s="24" t="n"/>
      <c r="H599" s="24" t="n"/>
      <c r="I599" s="24" t="n"/>
    </row>
    <row r="600">
      <c r="G600" s="24" t="n"/>
      <c r="H600" s="24" t="n"/>
      <c r="I600" s="24" t="n"/>
    </row>
    <row r="601">
      <c r="G601" s="24" t="n"/>
      <c r="H601" s="24" t="n"/>
      <c r="I601" s="24" t="n"/>
    </row>
    <row r="602">
      <c r="G602" s="24" t="n"/>
      <c r="H602" s="24" t="n"/>
      <c r="I602" s="24" t="n"/>
    </row>
    <row r="603">
      <c r="G603" s="24" t="n"/>
      <c r="H603" s="24" t="n"/>
      <c r="I603" s="24" t="n"/>
    </row>
    <row r="604">
      <c r="G604" s="24" t="n"/>
      <c r="H604" s="24" t="n"/>
      <c r="I604" s="24" t="n"/>
    </row>
    <row r="605">
      <c r="G605" s="24" t="n"/>
      <c r="H605" s="24" t="n"/>
      <c r="I605" s="24" t="n"/>
    </row>
    <row r="606">
      <c r="G606" s="24" t="n"/>
      <c r="H606" s="24" t="n"/>
      <c r="I606" s="24" t="n"/>
    </row>
    <row r="607">
      <c r="G607" s="24" t="n"/>
      <c r="H607" s="24" t="n"/>
      <c r="I607" s="24" t="n"/>
    </row>
    <row r="608">
      <c r="G608" s="24" t="n"/>
      <c r="H608" s="24" t="n"/>
      <c r="I608" s="24" t="n"/>
    </row>
    <row r="609">
      <c r="G609" s="24" t="n"/>
      <c r="H609" s="24" t="n"/>
      <c r="I609" s="24" t="n"/>
    </row>
    <row r="610">
      <c r="G610" s="24" t="n"/>
      <c r="H610" s="24" t="n"/>
      <c r="I610" s="24" t="n"/>
    </row>
    <row r="611">
      <c r="G611" s="24" t="n"/>
      <c r="H611" s="24" t="n"/>
      <c r="I611" s="24" t="n"/>
    </row>
    <row r="612">
      <c r="G612" s="24" t="n"/>
      <c r="H612" s="24" t="n"/>
      <c r="I612" s="24" t="n"/>
    </row>
    <row r="613">
      <c r="G613" s="24" t="n"/>
      <c r="H613" s="24" t="n"/>
      <c r="I613" s="24" t="n"/>
    </row>
    <row r="614">
      <c r="G614" s="24" t="n"/>
      <c r="H614" s="24" t="n"/>
      <c r="I614" s="24" t="n"/>
    </row>
    <row r="615">
      <c r="G615" s="24" t="n"/>
      <c r="H615" s="24" t="n"/>
      <c r="I615" s="24" t="n"/>
    </row>
    <row r="616">
      <c r="G616" s="24" t="n"/>
      <c r="H616" s="24" t="n"/>
      <c r="I616" s="24" t="n"/>
    </row>
    <row r="617">
      <c r="G617" s="24" t="n"/>
      <c r="H617" s="24" t="n"/>
      <c r="I617" s="24" t="n"/>
    </row>
    <row r="618">
      <c r="G618" s="24" t="n"/>
      <c r="H618" s="24" t="n"/>
      <c r="I618" s="24" t="n"/>
    </row>
    <row r="619">
      <c r="G619" s="24" t="n"/>
      <c r="H619" s="24" t="n"/>
      <c r="I619" s="24" t="n"/>
    </row>
    <row r="620">
      <c r="G620" s="24" t="n"/>
      <c r="H620" s="24" t="n"/>
      <c r="I620" s="24" t="n"/>
    </row>
    <row r="621">
      <c r="G621" s="24" t="n"/>
      <c r="H621" s="24" t="n"/>
      <c r="I621" s="24" t="n"/>
    </row>
    <row r="622">
      <c r="G622" s="24" t="n"/>
      <c r="H622" s="24" t="n"/>
      <c r="I622" s="24" t="n"/>
    </row>
    <row r="623">
      <c r="G623" s="24" t="n"/>
      <c r="H623" s="24" t="n"/>
      <c r="I623" s="24" t="n"/>
    </row>
    <row r="624">
      <c r="G624" s="24" t="n"/>
      <c r="H624" s="24" t="n"/>
      <c r="I624" s="24" t="n"/>
    </row>
    <row r="625">
      <c r="G625" s="24" t="n"/>
      <c r="H625" s="24" t="n"/>
      <c r="I625" s="24" t="n"/>
    </row>
    <row r="626">
      <c r="G626" s="24" t="n"/>
      <c r="H626" s="24" t="n"/>
      <c r="I626" s="24" t="n"/>
    </row>
    <row r="627">
      <c r="G627" s="24" t="n"/>
      <c r="H627" s="24" t="n"/>
      <c r="I627" s="24" t="n"/>
    </row>
    <row r="628">
      <c r="G628" s="24" t="n"/>
      <c r="H628" s="24" t="n"/>
      <c r="I628" s="24" t="n"/>
    </row>
    <row r="629">
      <c r="G629" s="24" t="n"/>
      <c r="H629" s="24" t="n"/>
      <c r="I629" s="24" t="n"/>
    </row>
    <row r="630">
      <c r="G630" s="24" t="n"/>
      <c r="H630" s="24" t="n"/>
      <c r="I630" s="24" t="n"/>
    </row>
    <row r="631">
      <c r="G631" s="24" t="n"/>
      <c r="H631" s="24" t="n"/>
      <c r="I631" s="24" t="n"/>
    </row>
    <row r="632">
      <c r="G632" s="24" t="n"/>
      <c r="H632" s="24" t="n"/>
      <c r="I632" s="24" t="n"/>
    </row>
    <row r="633">
      <c r="G633" s="24" t="n"/>
      <c r="H633" s="24" t="n"/>
      <c r="I633" s="24" t="n"/>
    </row>
    <row r="634">
      <c r="G634" s="24" t="n"/>
      <c r="H634" s="24" t="n"/>
      <c r="I634" s="24" t="n"/>
    </row>
    <row r="635">
      <c r="G635" s="24" t="n"/>
      <c r="H635" s="24" t="n"/>
      <c r="I635" s="24" t="n"/>
    </row>
    <row r="636">
      <c r="G636" s="24" t="n"/>
      <c r="H636" s="24" t="n"/>
      <c r="I636" s="24" t="n"/>
    </row>
    <row r="637">
      <c r="G637" s="24" t="n"/>
      <c r="H637" s="24" t="n"/>
      <c r="I637" s="24" t="n"/>
    </row>
    <row r="638">
      <c r="G638" s="24" t="n"/>
      <c r="H638" s="24" t="n"/>
      <c r="I638" s="24" t="n"/>
    </row>
    <row r="639">
      <c r="G639" s="24" t="n"/>
      <c r="H639" s="24" t="n"/>
      <c r="I639" s="24" t="n"/>
    </row>
    <row r="640">
      <c r="G640" s="24" t="n"/>
      <c r="H640" s="24" t="n"/>
      <c r="I640" s="24" t="n"/>
    </row>
    <row r="641">
      <c r="G641" s="24" t="n"/>
      <c r="H641" s="24" t="n"/>
      <c r="I641" s="24" t="n"/>
    </row>
    <row r="642">
      <c r="G642" s="24" t="n"/>
      <c r="H642" s="24" t="n"/>
      <c r="I642" s="24" t="n"/>
    </row>
    <row r="643">
      <c r="G643" s="24" t="n"/>
      <c r="H643" s="24" t="n"/>
      <c r="I643" s="24" t="n"/>
    </row>
    <row r="644">
      <c r="G644" s="24" t="n"/>
      <c r="H644" s="24" t="n"/>
      <c r="I644" s="24" t="n"/>
    </row>
    <row r="645">
      <c r="G645" s="24" t="n"/>
      <c r="H645" s="24" t="n"/>
      <c r="I645" s="24" t="n"/>
    </row>
    <row r="646">
      <c r="G646" s="24" t="n"/>
      <c r="H646" s="24" t="n"/>
      <c r="I646" s="24" t="n"/>
    </row>
    <row r="647">
      <c r="G647" s="24" t="n"/>
      <c r="H647" s="24" t="n"/>
      <c r="I647" s="24" t="n"/>
    </row>
    <row r="648">
      <c r="G648" s="24" t="n"/>
      <c r="H648" s="24" t="n"/>
      <c r="I648" s="24" t="n"/>
    </row>
    <row r="649">
      <c r="G649" s="24" t="n"/>
      <c r="H649" s="24" t="n"/>
      <c r="I649" s="24" t="n"/>
    </row>
    <row r="650">
      <c r="G650" s="24" t="n"/>
      <c r="H650" s="24" t="n"/>
      <c r="I650" s="24" t="n"/>
    </row>
    <row r="651">
      <c r="G651" s="24" t="n"/>
      <c r="H651" s="24" t="n"/>
      <c r="I651" s="24" t="n"/>
    </row>
    <row r="652">
      <c r="G652" s="24" t="n"/>
      <c r="H652" s="24" t="n"/>
      <c r="I652" s="24" t="n"/>
    </row>
    <row r="653">
      <c r="G653" s="24" t="n"/>
      <c r="H653" s="24" t="n"/>
      <c r="I653" s="24" t="n"/>
    </row>
    <row r="654">
      <c r="G654" s="24" t="n"/>
      <c r="H654" s="24" t="n"/>
      <c r="I654" s="24" t="n"/>
    </row>
    <row r="655">
      <c r="G655" s="24" t="n"/>
      <c r="H655" s="24" t="n"/>
      <c r="I655" s="24" t="n"/>
    </row>
    <row r="656">
      <c r="G656" s="24" t="n"/>
      <c r="H656" s="24" t="n"/>
      <c r="I656" s="24" t="n"/>
    </row>
    <row r="657">
      <c r="G657" s="24" t="n"/>
      <c r="H657" s="24" t="n"/>
      <c r="I657" s="24" t="n"/>
    </row>
    <row r="658">
      <c r="G658" s="24" t="n"/>
      <c r="H658" s="24" t="n"/>
      <c r="I658" s="24" t="n"/>
    </row>
    <row r="659">
      <c r="G659" s="24" t="n"/>
      <c r="H659" s="24" t="n"/>
      <c r="I659" s="24" t="n"/>
    </row>
    <row r="660">
      <c r="G660" s="24" t="n"/>
      <c r="H660" s="24" t="n"/>
      <c r="I660" s="24" t="n"/>
    </row>
    <row r="661">
      <c r="G661" s="24" t="n"/>
      <c r="H661" s="24" t="n"/>
      <c r="I661" s="24" t="n"/>
    </row>
    <row r="662">
      <c r="G662" s="24" t="n"/>
      <c r="H662" s="24" t="n"/>
      <c r="I662" s="24" t="n"/>
    </row>
    <row r="663">
      <c r="G663" s="24" t="n"/>
      <c r="H663" s="24" t="n"/>
      <c r="I663" s="24" t="n"/>
    </row>
    <row r="664">
      <c r="G664" s="24" t="n"/>
      <c r="H664" s="24" t="n"/>
      <c r="I664" s="24" t="n"/>
    </row>
    <row r="665">
      <c r="G665" s="24" t="n"/>
      <c r="H665" s="24" t="n"/>
      <c r="I665" s="24" t="n"/>
    </row>
    <row r="666">
      <c r="G666" s="24" t="n"/>
      <c r="H666" s="24" t="n"/>
      <c r="I666" s="24" t="n"/>
    </row>
    <row r="667">
      <c r="G667" s="24" t="n"/>
      <c r="H667" s="24" t="n"/>
      <c r="I667" s="24" t="n"/>
    </row>
    <row r="668">
      <c r="G668" s="24" t="n"/>
      <c r="H668" s="24" t="n"/>
      <c r="I668" s="24" t="n"/>
    </row>
    <row r="669">
      <c r="G669" s="24" t="n"/>
      <c r="H669" s="24" t="n"/>
      <c r="I669" s="24" t="n"/>
    </row>
    <row r="670">
      <c r="G670" s="24" t="n"/>
      <c r="H670" s="24" t="n"/>
      <c r="I670" s="24" t="n"/>
    </row>
    <row r="671">
      <c r="G671" s="24" t="n"/>
      <c r="H671" s="24" t="n"/>
      <c r="I671" s="24" t="n"/>
    </row>
    <row r="672">
      <c r="G672" s="24" t="n"/>
      <c r="H672" s="24" t="n"/>
      <c r="I672" s="24" t="n"/>
    </row>
    <row r="673">
      <c r="G673" s="24" t="n"/>
      <c r="H673" s="24" t="n"/>
      <c r="I673" s="24" t="n"/>
    </row>
    <row r="674">
      <c r="G674" s="24" t="n"/>
      <c r="H674" s="24" t="n"/>
      <c r="I674" s="24" t="n"/>
    </row>
    <row r="675">
      <c r="G675" s="24" t="n"/>
      <c r="H675" s="24" t="n"/>
      <c r="I675" s="24" t="n"/>
    </row>
    <row r="676">
      <c r="G676" s="24" t="n"/>
      <c r="H676" s="24" t="n"/>
      <c r="I676" s="24" t="n"/>
    </row>
    <row r="677">
      <c r="G677" s="24" t="n"/>
      <c r="H677" s="24" t="n"/>
      <c r="I677" s="24" t="n"/>
    </row>
    <row r="678">
      <c r="G678" s="24" t="n"/>
      <c r="H678" s="24" t="n"/>
      <c r="I678" s="24" t="n"/>
    </row>
    <row r="679">
      <c r="G679" s="24" t="n"/>
      <c r="H679" s="24" t="n"/>
      <c r="I679" s="24" t="n"/>
    </row>
    <row r="680">
      <c r="G680" s="24" t="n"/>
      <c r="H680" s="24" t="n"/>
      <c r="I680" s="24" t="n"/>
    </row>
    <row r="681">
      <c r="G681" s="24" t="n"/>
      <c r="H681" s="24" t="n"/>
      <c r="I681" s="24" t="n"/>
    </row>
    <row r="682">
      <c r="G682" s="24" t="n"/>
      <c r="H682" s="24" t="n"/>
      <c r="I682" s="24" t="n"/>
    </row>
    <row r="683">
      <c r="G683" s="24" t="n"/>
      <c r="H683" s="24" t="n"/>
      <c r="I683" s="24" t="n"/>
    </row>
    <row r="684">
      <c r="G684" s="24" t="n"/>
      <c r="H684" s="24" t="n"/>
      <c r="I684" s="24" t="n"/>
    </row>
    <row r="685">
      <c r="G685" s="24" t="n"/>
      <c r="H685" s="24" t="n"/>
      <c r="I685" s="24" t="n"/>
    </row>
    <row r="686">
      <c r="G686" s="24" t="n"/>
      <c r="H686" s="24" t="n"/>
      <c r="I686" s="24" t="n"/>
    </row>
    <row r="687">
      <c r="G687" s="24" t="n"/>
      <c r="H687" s="24" t="n"/>
      <c r="I687" s="24" t="n"/>
    </row>
    <row r="688">
      <c r="G688" s="24" t="n"/>
      <c r="H688" s="24" t="n"/>
      <c r="I688" s="24" t="n"/>
    </row>
    <row r="689">
      <c r="G689" s="24" t="n"/>
      <c r="H689" s="24" t="n"/>
      <c r="I689" s="24" t="n"/>
    </row>
    <row r="690">
      <c r="G690" s="24" t="n"/>
      <c r="H690" s="24" t="n"/>
      <c r="I690" s="24" t="n"/>
    </row>
    <row r="691">
      <c r="G691" s="24" t="n"/>
      <c r="H691" s="24" t="n"/>
      <c r="I691" s="24" t="n"/>
    </row>
    <row r="692">
      <c r="G692" s="24" t="n"/>
      <c r="H692" s="24" t="n"/>
      <c r="I692" s="24" t="n"/>
    </row>
    <row r="693">
      <c r="G693" s="24" t="n"/>
      <c r="H693" s="24" t="n"/>
      <c r="I693" s="24" t="n"/>
    </row>
    <row r="694">
      <c r="G694" s="24" t="n"/>
      <c r="H694" s="24" t="n"/>
      <c r="I694" s="24" t="n"/>
    </row>
    <row r="695">
      <c r="G695" s="24" t="n"/>
      <c r="H695" s="24" t="n"/>
      <c r="I695" s="24" t="n"/>
    </row>
    <row r="696">
      <c r="G696" s="24" t="n"/>
      <c r="H696" s="24" t="n"/>
      <c r="I696" s="24" t="n"/>
    </row>
    <row r="697">
      <c r="G697" s="24" t="n"/>
      <c r="H697" s="24" t="n"/>
      <c r="I697" s="24" t="n"/>
    </row>
    <row r="698">
      <c r="G698" s="24" t="n"/>
      <c r="H698" s="24" t="n"/>
      <c r="I698" s="24" t="n"/>
    </row>
    <row r="699">
      <c r="G699" s="24" t="n"/>
      <c r="H699" s="24" t="n"/>
      <c r="I699" s="24" t="n"/>
    </row>
    <row r="700">
      <c r="G700" s="24" t="n"/>
      <c r="H700" s="24" t="n"/>
      <c r="I700" s="24" t="n"/>
    </row>
    <row r="701">
      <c r="G701" s="24" t="n"/>
      <c r="H701" s="24" t="n"/>
      <c r="I701" s="24" t="n"/>
    </row>
    <row r="702">
      <c r="G702" s="24" t="n"/>
      <c r="H702" s="24" t="n"/>
      <c r="I702" s="24" t="n"/>
    </row>
    <row r="703">
      <c r="G703" s="24" t="n"/>
      <c r="H703" s="24" t="n"/>
      <c r="I703" s="24" t="n"/>
    </row>
    <row r="704">
      <c r="G704" s="24" t="n"/>
      <c r="H704" s="24" t="n"/>
      <c r="I704" s="24" t="n"/>
    </row>
    <row r="705">
      <c r="G705" s="24" t="n"/>
      <c r="H705" s="24" t="n"/>
      <c r="I705" s="24" t="n"/>
    </row>
    <row r="706">
      <c r="G706" s="24" t="n"/>
      <c r="H706" s="24" t="n"/>
      <c r="I706" s="24" t="n"/>
    </row>
    <row r="707">
      <c r="G707" s="24" t="n"/>
      <c r="H707" s="24" t="n"/>
      <c r="I707" s="24" t="n"/>
    </row>
    <row r="708">
      <c r="G708" s="24" t="n"/>
      <c r="H708" s="24" t="n"/>
      <c r="I708" s="24" t="n"/>
    </row>
    <row r="709">
      <c r="G709" s="24" t="n"/>
      <c r="H709" s="24" t="n"/>
      <c r="I709" s="24" t="n"/>
    </row>
    <row r="710">
      <c r="G710" s="24" t="n"/>
      <c r="H710" s="24" t="n"/>
      <c r="I710" s="24" t="n"/>
    </row>
    <row r="711">
      <c r="G711" s="24" t="n"/>
      <c r="H711" s="24" t="n"/>
      <c r="I711" s="24" t="n"/>
    </row>
    <row r="712">
      <c r="G712" s="24" t="n"/>
      <c r="H712" s="24" t="n"/>
      <c r="I712" s="24" t="n"/>
    </row>
    <row r="713">
      <c r="G713" s="24" t="n"/>
      <c r="H713" s="24" t="n"/>
      <c r="I713" s="24" t="n"/>
    </row>
    <row r="714">
      <c r="G714" s="24" t="n"/>
      <c r="H714" s="24" t="n"/>
      <c r="I714" s="24" t="n"/>
    </row>
    <row r="715">
      <c r="G715" s="24" t="n"/>
      <c r="H715" s="24" t="n"/>
      <c r="I715" s="24" t="n"/>
    </row>
    <row r="716">
      <c r="G716" s="24" t="n"/>
      <c r="H716" s="24" t="n"/>
      <c r="I716" s="24" t="n"/>
    </row>
    <row r="717">
      <c r="G717" s="24" t="n"/>
      <c r="H717" s="24" t="n"/>
      <c r="I717" s="24" t="n"/>
    </row>
    <row r="718">
      <c r="G718" s="24" t="n"/>
      <c r="H718" s="24" t="n"/>
      <c r="I718" s="24" t="n"/>
    </row>
    <row r="719">
      <c r="G719" s="24" t="n"/>
      <c r="H719" s="24" t="n"/>
      <c r="I719" s="24" t="n"/>
    </row>
    <row r="720">
      <c r="G720" s="24" t="n"/>
      <c r="H720" s="24" t="n"/>
      <c r="I720" s="24" t="n"/>
    </row>
    <row r="721">
      <c r="G721" s="24" t="n"/>
      <c r="H721" s="24" t="n"/>
      <c r="I721" s="24" t="n"/>
    </row>
    <row r="722">
      <c r="G722" s="24" t="n"/>
      <c r="H722" s="24" t="n"/>
      <c r="I722" s="24" t="n"/>
    </row>
    <row r="723">
      <c r="G723" s="24" t="n"/>
      <c r="H723" s="24" t="n"/>
      <c r="I723" s="24" t="n"/>
    </row>
    <row r="724">
      <c r="G724" s="24" t="n"/>
      <c r="H724" s="24" t="n"/>
      <c r="I724" s="24" t="n"/>
    </row>
    <row r="725">
      <c r="G725" s="24" t="n"/>
      <c r="H725" s="24" t="n"/>
      <c r="I725" s="24" t="n"/>
    </row>
    <row r="726">
      <c r="G726" s="24" t="n"/>
      <c r="H726" s="24" t="n"/>
      <c r="I726" s="24" t="n"/>
    </row>
    <row r="727">
      <c r="G727" s="24" t="n"/>
      <c r="H727" s="24" t="n"/>
      <c r="I727" s="24" t="n"/>
    </row>
    <row r="728">
      <c r="G728" s="24" t="n"/>
      <c r="H728" s="24" t="n"/>
      <c r="I728" s="24" t="n"/>
    </row>
    <row r="729">
      <c r="G729" s="24" t="n"/>
      <c r="H729" s="24" t="n"/>
      <c r="I729" s="24" t="n"/>
    </row>
    <row r="730">
      <c r="G730" s="24" t="n"/>
      <c r="H730" s="24" t="n"/>
      <c r="I730" s="24" t="n"/>
    </row>
    <row r="731">
      <c r="G731" s="24" t="n"/>
      <c r="H731" s="24" t="n"/>
      <c r="I731" s="24" t="n"/>
    </row>
    <row r="732">
      <c r="G732" s="24" t="n"/>
      <c r="H732" s="24" t="n"/>
      <c r="I732" s="24" t="n"/>
    </row>
    <row r="733">
      <c r="G733" s="24" t="n"/>
      <c r="H733" s="24" t="n"/>
      <c r="I733" s="24" t="n"/>
    </row>
    <row r="734">
      <c r="G734" s="24" t="n"/>
      <c r="H734" s="24" t="n"/>
      <c r="I734" s="24" t="n"/>
    </row>
    <row r="735">
      <c r="G735" s="24" t="n"/>
      <c r="H735" s="24" t="n"/>
      <c r="I735" s="24" t="n"/>
    </row>
    <row r="736">
      <c r="G736" s="24" t="n"/>
      <c r="H736" s="24" t="n"/>
      <c r="I736" s="24" t="n"/>
    </row>
    <row r="737">
      <c r="G737" s="24" t="n"/>
      <c r="H737" s="24" t="n"/>
      <c r="I737" s="24" t="n"/>
    </row>
    <row r="738">
      <c r="G738" s="24" t="n"/>
      <c r="H738" s="24" t="n"/>
      <c r="I738" s="24" t="n"/>
    </row>
    <row r="739">
      <c r="G739" s="24" t="n"/>
      <c r="H739" s="24" t="n"/>
      <c r="I739" s="24" t="n"/>
    </row>
    <row r="740">
      <c r="G740" s="24" t="n"/>
      <c r="H740" s="24" t="n"/>
      <c r="I740" s="24" t="n"/>
    </row>
    <row r="741">
      <c r="G741" s="24" t="n"/>
      <c r="H741" s="24" t="n"/>
      <c r="I741" s="24" t="n"/>
    </row>
    <row r="742">
      <c r="G742" s="24" t="n"/>
      <c r="H742" s="24" t="n"/>
      <c r="I742" s="24" t="n"/>
    </row>
    <row r="743">
      <c r="G743" s="24" t="n"/>
      <c r="H743" s="24" t="n"/>
      <c r="I743" s="24" t="n"/>
    </row>
    <row r="744">
      <c r="G744" s="24" t="n"/>
      <c r="H744" s="24" t="n"/>
      <c r="I744" s="24" t="n"/>
    </row>
    <row r="745">
      <c r="G745" s="24" t="n"/>
      <c r="H745" s="24" t="n"/>
      <c r="I745" s="24" t="n"/>
    </row>
    <row r="746">
      <c r="G746" s="24" t="n"/>
      <c r="H746" s="24" t="n"/>
      <c r="I746" s="24" t="n"/>
    </row>
    <row r="747">
      <c r="G747" s="24" t="n"/>
      <c r="H747" s="24" t="n"/>
      <c r="I747" s="24" t="n"/>
    </row>
    <row r="748">
      <c r="G748" s="24" t="n"/>
      <c r="H748" s="24" t="n"/>
      <c r="I748" s="24" t="n"/>
    </row>
    <row r="749">
      <c r="G749" s="24" t="n"/>
      <c r="H749" s="24" t="n"/>
      <c r="I749" s="24" t="n"/>
    </row>
    <row r="750">
      <c r="G750" s="24" t="n"/>
      <c r="H750" s="24" t="n"/>
      <c r="I750" s="24" t="n"/>
    </row>
    <row r="751">
      <c r="G751" s="24" t="n"/>
      <c r="H751" s="24" t="n"/>
      <c r="I751" s="24" t="n"/>
    </row>
    <row r="752">
      <c r="G752" s="24" t="n"/>
      <c r="H752" s="24" t="n"/>
      <c r="I752" s="24" t="n"/>
    </row>
    <row r="753">
      <c r="G753" s="24" t="n"/>
      <c r="H753" s="24" t="n"/>
      <c r="I753" s="24" t="n"/>
    </row>
    <row r="754">
      <c r="G754" s="24" t="n"/>
      <c r="H754" s="24" t="n"/>
      <c r="I754" s="24" t="n"/>
    </row>
    <row r="755">
      <c r="G755" s="24" t="n"/>
      <c r="H755" s="24" t="n"/>
      <c r="I755" s="24" t="n"/>
    </row>
    <row r="756">
      <c r="G756" s="24" t="n"/>
      <c r="H756" s="24" t="n"/>
      <c r="I756" s="24" t="n"/>
    </row>
    <row r="757">
      <c r="G757" s="24" t="n"/>
      <c r="H757" s="24" t="n"/>
      <c r="I757" s="24" t="n"/>
    </row>
    <row r="758">
      <c r="G758" s="24" t="n"/>
      <c r="H758" s="24" t="n"/>
      <c r="I758" s="24" t="n"/>
    </row>
    <row r="759">
      <c r="G759" s="24" t="n"/>
      <c r="H759" s="24" t="n"/>
      <c r="I759" s="24" t="n"/>
    </row>
    <row r="760">
      <c r="G760" s="24" t="n"/>
      <c r="H760" s="24" t="n"/>
      <c r="I760" s="24" t="n"/>
    </row>
    <row r="761">
      <c r="G761" s="24" t="n"/>
      <c r="H761" s="24" t="n"/>
      <c r="I761" s="24" t="n"/>
    </row>
    <row r="762">
      <c r="G762" s="24" t="n"/>
      <c r="H762" s="24" t="n"/>
      <c r="I762" s="24" t="n"/>
    </row>
    <row r="763">
      <c r="G763" s="24" t="n"/>
      <c r="H763" s="24" t="n"/>
      <c r="I763" s="24" t="n"/>
    </row>
    <row r="764">
      <c r="G764" s="24" t="n"/>
      <c r="H764" s="24" t="n"/>
      <c r="I764" s="24" t="n"/>
    </row>
    <row r="765">
      <c r="G765" s="24" t="n"/>
      <c r="H765" s="24" t="n"/>
      <c r="I765" s="24" t="n"/>
    </row>
    <row r="766">
      <c r="G766" s="24" t="n"/>
      <c r="H766" s="24" t="n"/>
      <c r="I766" s="24" t="n"/>
    </row>
    <row r="767">
      <c r="G767" s="24" t="n"/>
      <c r="H767" s="24" t="n"/>
      <c r="I767" s="24" t="n"/>
    </row>
    <row r="768">
      <c r="G768" s="24" t="n"/>
      <c r="H768" s="24" t="n"/>
      <c r="I768" s="24" t="n"/>
    </row>
    <row r="769">
      <c r="G769" s="24" t="n"/>
      <c r="H769" s="24" t="n"/>
      <c r="I769" s="24" t="n"/>
    </row>
    <row r="770">
      <c r="G770" s="24" t="n"/>
      <c r="H770" s="24" t="n"/>
      <c r="I770" s="24" t="n"/>
    </row>
    <row r="771">
      <c r="G771" s="24" t="n"/>
      <c r="H771" s="24" t="n"/>
      <c r="I771" s="24" t="n"/>
    </row>
    <row r="772">
      <c r="G772" s="24" t="n"/>
      <c r="H772" s="24" t="n"/>
      <c r="I772" s="24" t="n"/>
    </row>
    <row r="773">
      <c r="G773" s="24" t="n"/>
      <c r="H773" s="24" t="n"/>
      <c r="I773" s="24" t="n"/>
    </row>
    <row r="774">
      <c r="G774" s="24" t="n"/>
      <c r="H774" s="24" t="n"/>
      <c r="I774" s="24" t="n"/>
    </row>
    <row r="775">
      <c r="G775" s="24" t="n"/>
      <c r="H775" s="24" t="n"/>
      <c r="I775" s="24" t="n"/>
    </row>
    <row r="776">
      <c r="G776" s="24" t="n"/>
      <c r="H776" s="24" t="n"/>
      <c r="I776" s="24" t="n"/>
    </row>
    <row r="777">
      <c r="G777" s="24" t="n"/>
      <c r="H777" s="24" t="n"/>
      <c r="I777" s="24" t="n"/>
    </row>
    <row r="778">
      <c r="G778" s="24" t="n"/>
      <c r="H778" s="24" t="n"/>
      <c r="I778" s="24" t="n"/>
    </row>
    <row r="779">
      <c r="G779" s="24" t="n"/>
      <c r="H779" s="24" t="n"/>
      <c r="I779" s="24" t="n"/>
    </row>
    <row r="780">
      <c r="G780" s="24" t="n"/>
      <c r="H780" s="24" t="n"/>
      <c r="I780" s="24" t="n"/>
    </row>
    <row r="781">
      <c r="G781" s="24" t="n"/>
      <c r="H781" s="24" t="n"/>
      <c r="I781" s="24" t="n"/>
    </row>
    <row r="782">
      <c r="G782" s="24" t="n"/>
      <c r="H782" s="24" t="n"/>
      <c r="I782" s="24" t="n"/>
    </row>
    <row r="783">
      <c r="G783" s="24" t="n"/>
      <c r="H783" s="24" t="n"/>
      <c r="I783" s="24" t="n"/>
    </row>
    <row r="784">
      <c r="G784" s="24" t="n"/>
      <c r="H784" s="24" t="n"/>
      <c r="I784" s="24" t="n"/>
    </row>
    <row r="785">
      <c r="G785" s="24" t="n"/>
      <c r="H785" s="24" t="n"/>
      <c r="I785" s="24" t="n"/>
    </row>
    <row r="786">
      <c r="G786" s="24" t="n"/>
      <c r="H786" s="24" t="n"/>
      <c r="I786" s="24" t="n"/>
    </row>
    <row r="787">
      <c r="G787" s="24" t="n"/>
      <c r="H787" s="24" t="n"/>
      <c r="I787" s="24" t="n"/>
    </row>
    <row r="788">
      <c r="G788" s="24" t="n"/>
      <c r="H788" s="24" t="n"/>
      <c r="I788" s="24" t="n"/>
    </row>
    <row r="789">
      <c r="G789" s="24" t="n"/>
      <c r="H789" s="24" t="n"/>
      <c r="I789" s="24" t="n"/>
    </row>
    <row r="790">
      <c r="G790" s="24" t="n"/>
      <c r="H790" s="24" t="n"/>
      <c r="I790" s="24" t="n"/>
    </row>
    <row r="791">
      <c r="G791" s="24" t="n"/>
      <c r="H791" s="24" t="n"/>
      <c r="I791" s="24" t="n"/>
    </row>
    <row r="792">
      <c r="G792" s="24" t="n"/>
      <c r="H792" s="24" t="n"/>
      <c r="I792" s="24" t="n"/>
    </row>
    <row r="793">
      <c r="G793" s="24" t="n"/>
      <c r="H793" s="24" t="n"/>
      <c r="I793" s="24" t="n"/>
    </row>
    <row r="794">
      <c r="G794" s="24" t="n"/>
      <c r="H794" s="24" t="n"/>
      <c r="I794" s="24" t="n"/>
    </row>
    <row r="795">
      <c r="G795" s="24" t="n"/>
      <c r="H795" s="24" t="n"/>
      <c r="I795" s="24" t="n"/>
    </row>
    <row r="796">
      <c r="G796" s="24" t="n"/>
      <c r="H796" s="24" t="n"/>
      <c r="I796" s="24" t="n"/>
    </row>
    <row r="797">
      <c r="G797" s="24" t="n"/>
      <c r="H797" s="24" t="n"/>
      <c r="I797" s="24" t="n"/>
    </row>
    <row r="798">
      <c r="G798" s="24" t="n"/>
      <c r="H798" s="24" t="n"/>
      <c r="I798" s="24" t="n"/>
    </row>
    <row r="799">
      <c r="G799" s="24" t="n"/>
      <c r="H799" s="24" t="n"/>
      <c r="I799" s="24" t="n"/>
    </row>
    <row r="800">
      <c r="G800" s="24" t="n"/>
      <c r="H800" s="24" t="n"/>
      <c r="I800" s="24" t="n"/>
    </row>
    <row r="801">
      <c r="G801" s="24" t="n"/>
      <c r="H801" s="24" t="n"/>
      <c r="I801" s="24" t="n"/>
    </row>
    <row r="802">
      <c r="G802" s="24" t="n"/>
      <c r="H802" s="24" t="n"/>
      <c r="I802" s="24" t="n"/>
    </row>
    <row r="803">
      <c r="G803" s="24" t="n"/>
      <c r="H803" s="24" t="n"/>
      <c r="I803" s="24" t="n"/>
    </row>
    <row r="804">
      <c r="G804" s="24" t="n"/>
      <c r="H804" s="24" t="n"/>
      <c r="I804" s="24" t="n"/>
    </row>
    <row r="805">
      <c r="G805" s="24" t="n"/>
      <c r="H805" s="24" t="n"/>
      <c r="I805" s="24" t="n"/>
    </row>
    <row r="806">
      <c r="G806" s="24" t="n"/>
      <c r="H806" s="24" t="n"/>
      <c r="I806" s="24" t="n"/>
    </row>
    <row r="807">
      <c r="G807" s="24" t="n"/>
      <c r="H807" s="24" t="n"/>
      <c r="I807" s="24" t="n"/>
    </row>
    <row r="808">
      <c r="G808" s="24" t="n"/>
      <c r="H808" s="24" t="n"/>
      <c r="I808" s="24" t="n"/>
    </row>
    <row r="809">
      <c r="G809" s="24" t="n"/>
      <c r="H809" s="24" t="n"/>
      <c r="I809" s="24" t="n"/>
    </row>
    <row r="810">
      <c r="G810" s="24" t="n"/>
      <c r="H810" s="24" t="n"/>
      <c r="I810" s="24" t="n"/>
    </row>
    <row r="811">
      <c r="G811" s="24" t="n"/>
      <c r="H811" s="24" t="n"/>
      <c r="I811" s="24" t="n"/>
    </row>
    <row r="812">
      <c r="G812" s="24" t="n"/>
      <c r="H812" s="24" t="n"/>
      <c r="I812" s="24" t="n"/>
    </row>
    <row r="813">
      <c r="G813" s="24" t="n"/>
      <c r="H813" s="24" t="n"/>
      <c r="I813" s="24" t="n"/>
    </row>
    <row r="814">
      <c r="G814" s="24" t="n"/>
      <c r="H814" s="24" t="n"/>
      <c r="I814" s="24" t="n"/>
    </row>
    <row r="815">
      <c r="G815" s="24" t="n"/>
      <c r="H815" s="24" t="n"/>
      <c r="I815" s="24" t="n"/>
    </row>
    <row r="816">
      <c r="G816" s="24" t="n"/>
      <c r="H816" s="24" t="n"/>
      <c r="I816" s="24" t="n"/>
    </row>
    <row r="817">
      <c r="G817" s="24" t="n"/>
      <c r="H817" s="24" t="n"/>
      <c r="I817" s="24" t="n"/>
    </row>
    <row r="818">
      <c r="G818" s="24" t="n"/>
      <c r="H818" s="24" t="n"/>
      <c r="I818" s="24" t="n"/>
    </row>
    <row r="819">
      <c r="G819" s="24" t="n"/>
      <c r="H819" s="24" t="n"/>
      <c r="I819" s="24" t="n"/>
    </row>
    <row r="820">
      <c r="G820" s="24" t="n"/>
      <c r="H820" s="24" t="n"/>
      <c r="I820" s="24" t="n"/>
    </row>
    <row r="821">
      <c r="G821" s="24" t="n"/>
      <c r="H821" s="24" t="n"/>
      <c r="I821" s="24" t="n"/>
    </row>
    <row r="822">
      <c r="G822" s="24" t="n"/>
      <c r="H822" s="24" t="n"/>
      <c r="I822" s="24" t="n"/>
    </row>
    <row r="823">
      <c r="G823" s="24" t="n"/>
      <c r="H823" s="24" t="n"/>
      <c r="I823" s="24" t="n"/>
    </row>
    <row r="824">
      <c r="G824" s="24" t="n"/>
      <c r="H824" s="24" t="n"/>
      <c r="I824" s="24" t="n"/>
    </row>
    <row r="825">
      <c r="G825" s="24" t="n"/>
      <c r="H825" s="24" t="n"/>
      <c r="I825" s="24" t="n"/>
    </row>
    <row r="826">
      <c r="G826" s="24" t="n"/>
      <c r="H826" s="24" t="n"/>
      <c r="I826" s="24" t="n"/>
    </row>
    <row r="827">
      <c r="G827" s="24" t="n"/>
      <c r="H827" s="24" t="n"/>
      <c r="I827" s="24" t="n"/>
    </row>
    <row r="828">
      <c r="G828" s="24" t="n"/>
      <c r="H828" s="24" t="n"/>
      <c r="I828" s="24" t="n"/>
    </row>
    <row r="829">
      <c r="G829" s="24" t="n"/>
      <c r="H829" s="24" t="n"/>
      <c r="I829" s="24" t="n"/>
    </row>
    <row r="830">
      <c r="G830" s="24" t="n"/>
      <c r="H830" s="24" t="n"/>
      <c r="I830" s="24" t="n"/>
    </row>
    <row r="831">
      <c r="G831" s="24" t="n"/>
      <c r="H831" s="24" t="n"/>
      <c r="I831" s="24" t="n"/>
    </row>
    <row r="832">
      <c r="G832" s="24" t="n"/>
      <c r="H832" s="24" t="n"/>
      <c r="I832" s="24" t="n"/>
    </row>
    <row r="833">
      <c r="G833" s="24" t="n"/>
      <c r="H833" s="24" t="n"/>
      <c r="I833" s="24" t="n"/>
    </row>
    <row r="834">
      <c r="G834" s="24" t="n"/>
      <c r="H834" s="24" t="n"/>
      <c r="I834" s="24" t="n"/>
    </row>
    <row r="835">
      <c r="G835" s="24" t="n"/>
      <c r="H835" s="24" t="n"/>
      <c r="I835" s="24" t="n"/>
    </row>
    <row r="836">
      <c r="G836" s="24" t="n"/>
      <c r="H836" s="24" t="n"/>
      <c r="I836" s="24" t="n"/>
    </row>
    <row r="837">
      <c r="G837" s="24" t="n"/>
      <c r="H837" s="24" t="n"/>
      <c r="I837" s="24" t="n"/>
    </row>
    <row r="838">
      <c r="G838" s="24" t="n"/>
      <c r="H838" s="24" t="n"/>
      <c r="I838" s="24" t="n"/>
    </row>
    <row r="839">
      <c r="G839" s="24" t="n"/>
      <c r="H839" s="24" t="n"/>
      <c r="I839" s="24" t="n"/>
    </row>
    <row r="840">
      <c r="G840" s="24" t="n"/>
      <c r="H840" s="24" t="n"/>
      <c r="I840" s="24" t="n"/>
    </row>
    <row r="841">
      <c r="G841" s="24" t="n"/>
      <c r="H841" s="24" t="n"/>
      <c r="I841" s="24" t="n"/>
    </row>
    <row r="842">
      <c r="G842" s="24" t="n"/>
      <c r="H842" s="24" t="n"/>
      <c r="I842" s="24" t="n"/>
    </row>
    <row r="843">
      <c r="G843" s="24" t="n"/>
      <c r="H843" s="24" t="n"/>
      <c r="I843" s="24" t="n"/>
    </row>
    <row r="844">
      <c r="G844" s="24" t="n"/>
      <c r="H844" s="24" t="n"/>
      <c r="I844" s="24" t="n"/>
    </row>
    <row r="845">
      <c r="G845" s="24" t="n"/>
      <c r="H845" s="24" t="n"/>
      <c r="I845" s="24" t="n"/>
    </row>
    <row r="846">
      <c r="G846" s="24" t="n"/>
      <c r="H846" s="24" t="n"/>
      <c r="I846" s="24" t="n"/>
    </row>
    <row r="847">
      <c r="G847" s="24" t="n"/>
      <c r="H847" s="24" t="n"/>
      <c r="I847" s="24" t="n"/>
    </row>
    <row r="848">
      <c r="G848" s="24" t="n"/>
      <c r="H848" s="24" t="n"/>
      <c r="I848" s="24" t="n"/>
    </row>
    <row r="849">
      <c r="G849" s="24" t="n"/>
      <c r="H849" s="24" t="n"/>
      <c r="I849" s="24" t="n"/>
    </row>
    <row r="850">
      <c r="G850" s="24" t="n"/>
      <c r="H850" s="24" t="n"/>
      <c r="I850" s="24" t="n"/>
    </row>
    <row r="851">
      <c r="G851" s="24" t="n"/>
      <c r="H851" s="24" t="n"/>
      <c r="I851" s="24" t="n"/>
    </row>
    <row r="852">
      <c r="G852" s="24" t="n"/>
      <c r="H852" s="24" t="n"/>
      <c r="I852" s="24" t="n"/>
    </row>
    <row r="853">
      <c r="G853" s="24" t="n"/>
      <c r="H853" s="24" t="n"/>
      <c r="I853" s="24" t="n"/>
    </row>
    <row r="854">
      <c r="G854" s="24" t="n"/>
      <c r="H854" s="24" t="n"/>
      <c r="I854" s="24" t="n"/>
    </row>
    <row r="855">
      <c r="G855" s="24" t="n"/>
      <c r="H855" s="24" t="n"/>
      <c r="I855" s="24" t="n"/>
    </row>
    <row r="856">
      <c r="G856" s="24" t="n"/>
      <c r="H856" s="24" t="n"/>
      <c r="I856" s="24" t="n"/>
    </row>
    <row r="857">
      <c r="G857" s="24" t="n"/>
      <c r="H857" s="24" t="n"/>
      <c r="I857" s="24" t="n"/>
    </row>
    <row r="858">
      <c r="G858" s="24" t="n"/>
      <c r="H858" s="24" t="n"/>
      <c r="I858" s="24" t="n"/>
    </row>
    <row r="859">
      <c r="G859" s="24" t="n"/>
      <c r="H859" s="24" t="n"/>
      <c r="I859" s="24" t="n"/>
    </row>
    <row r="860">
      <c r="G860" s="24" t="n"/>
      <c r="H860" s="24" t="n"/>
      <c r="I860" s="24" t="n"/>
    </row>
    <row r="861">
      <c r="G861" s="24" t="n"/>
      <c r="H861" s="24" t="n"/>
      <c r="I861" s="24" t="n"/>
    </row>
    <row r="862">
      <c r="G862" s="24" t="n"/>
      <c r="H862" s="24" t="n"/>
      <c r="I862" s="24" t="n"/>
    </row>
    <row r="863">
      <c r="G863" s="24" t="n"/>
      <c r="H863" s="24" t="n"/>
      <c r="I863" s="24" t="n"/>
    </row>
    <row r="864">
      <c r="G864" s="24" t="n"/>
      <c r="H864" s="24" t="n"/>
      <c r="I864" s="24" t="n"/>
    </row>
    <row r="865">
      <c r="G865" s="24" t="n"/>
      <c r="H865" s="24" t="n"/>
      <c r="I865" s="24" t="n"/>
    </row>
    <row r="866">
      <c r="G866" s="24" t="n"/>
      <c r="H866" s="24" t="n"/>
      <c r="I866" s="24" t="n"/>
    </row>
    <row r="867">
      <c r="G867" s="24" t="n"/>
      <c r="H867" s="24" t="n"/>
      <c r="I867" s="24" t="n"/>
    </row>
    <row r="868">
      <c r="G868" s="24" t="n"/>
      <c r="H868" s="24" t="n"/>
      <c r="I868" s="24" t="n"/>
    </row>
    <row r="869">
      <c r="G869" s="24" t="n"/>
      <c r="H869" s="24" t="n"/>
      <c r="I869" s="24" t="n"/>
    </row>
    <row r="870">
      <c r="G870" s="24" t="n"/>
      <c r="H870" s="24" t="n"/>
      <c r="I870" s="24" t="n"/>
    </row>
    <row r="871">
      <c r="G871" s="24" t="n"/>
      <c r="H871" s="24" t="n"/>
      <c r="I871" s="24" t="n"/>
    </row>
    <row r="872">
      <c r="G872" s="24" t="n"/>
      <c r="H872" s="24" t="n"/>
      <c r="I872" s="24" t="n"/>
    </row>
    <row r="873">
      <c r="G873" s="24" t="n"/>
      <c r="H873" s="24" t="n"/>
      <c r="I873" s="24" t="n"/>
    </row>
    <row r="874">
      <c r="G874" s="24" t="n"/>
      <c r="H874" s="24" t="n"/>
      <c r="I874" s="24" t="n"/>
    </row>
    <row r="875">
      <c r="G875" s="24" t="n"/>
      <c r="H875" s="24" t="n"/>
      <c r="I875" s="24" t="n"/>
    </row>
    <row r="876">
      <c r="G876" s="24" t="n"/>
      <c r="H876" s="24" t="n"/>
      <c r="I876" s="24" t="n"/>
    </row>
    <row r="877">
      <c r="G877" s="24" t="n"/>
      <c r="H877" s="24" t="n"/>
      <c r="I877" s="24" t="n"/>
    </row>
    <row r="878">
      <c r="G878" s="24" t="n"/>
      <c r="H878" s="24" t="n"/>
      <c r="I878" s="24" t="n"/>
    </row>
    <row r="879">
      <c r="G879" s="24" t="n"/>
      <c r="H879" s="24" t="n"/>
      <c r="I879" s="24" t="n"/>
    </row>
    <row r="880">
      <c r="G880" s="24" t="n"/>
      <c r="H880" s="24" t="n"/>
      <c r="I880" s="24" t="n"/>
    </row>
    <row r="881">
      <c r="G881" s="24" t="n"/>
      <c r="H881" s="24" t="n"/>
      <c r="I881" s="24" t="n"/>
    </row>
    <row r="882">
      <c r="G882" s="24" t="n"/>
      <c r="H882" s="24" t="n"/>
      <c r="I882" s="24" t="n"/>
    </row>
    <row r="883">
      <c r="G883" s="24" t="n"/>
      <c r="H883" s="24" t="n"/>
      <c r="I883" s="24" t="n"/>
    </row>
    <row r="884">
      <c r="G884" s="24" t="n"/>
      <c r="H884" s="24" t="n"/>
      <c r="I884" s="24" t="n"/>
    </row>
    <row r="885">
      <c r="G885" s="24" t="n"/>
      <c r="H885" s="24" t="n"/>
      <c r="I885" s="24" t="n"/>
    </row>
    <row r="886">
      <c r="G886" s="24" t="n"/>
      <c r="H886" s="24" t="n"/>
      <c r="I886" s="24" t="n"/>
    </row>
    <row r="887">
      <c r="G887" s="24" t="n"/>
      <c r="H887" s="24" t="n"/>
      <c r="I887" s="24" t="n"/>
    </row>
    <row r="888">
      <c r="G888" s="24" t="n"/>
      <c r="H888" s="24" t="n"/>
      <c r="I888" s="24" t="n"/>
    </row>
    <row r="889">
      <c r="G889" s="24" t="n"/>
      <c r="H889" s="24" t="n"/>
      <c r="I889" s="24" t="n"/>
    </row>
    <row r="890">
      <c r="G890" s="24" t="n"/>
      <c r="H890" s="24" t="n"/>
      <c r="I890" s="24" t="n"/>
    </row>
    <row r="891">
      <c r="G891" s="24" t="n"/>
      <c r="H891" s="24" t="n"/>
      <c r="I891" s="24" t="n"/>
    </row>
    <row r="892">
      <c r="G892" s="24" t="n"/>
      <c r="H892" s="24" t="n"/>
      <c r="I892" s="24" t="n"/>
    </row>
    <row r="893">
      <c r="G893" s="24" t="n"/>
      <c r="H893" s="24" t="n"/>
      <c r="I893" s="24" t="n"/>
    </row>
    <row r="894">
      <c r="G894" s="24" t="n"/>
      <c r="H894" s="24" t="n"/>
      <c r="I894" s="24" t="n"/>
    </row>
    <row r="895">
      <c r="G895" s="24" t="n"/>
      <c r="H895" s="24" t="n"/>
      <c r="I895" s="24" t="n"/>
    </row>
    <row r="896">
      <c r="G896" s="24" t="n"/>
      <c r="H896" s="24" t="n"/>
      <c r="I896" s="24" t="n"/>
    </row>
    <row r="897">
      <c r="G897" s="24" t="n"/>
      <c r="H897" s="24" t="n"/>
      <c r="I897" s="24" t="n"/>
    </row>
    <row r="898">
      <c r="G898" s="24" t="n"/>
      <c r="H898" s="24" t="n"/>
      <c r="I898" s="24" t="n"/>
    </row>
    <row r="899">
      <c r="G899" s="24" t="n"/>
      <c r="H899" s="24" t="n"/>
      <c r="I899" s="24" t="n"/>
    </row>
    <row r="900">
      <c r="G900" s="24" t="n"/>
      <c r="H900" s="24" t="n"/>
      <c r="I900" s="24" t="n"/>
    </row>
    <row r="901">
      <c r="G901" s="24" t="n"/>
      <c r="H901" s="24" t="n"/>
      <c r="I901" s="24" t="n"/>
    </row>
    <row r="902">
      <c r="G902" s="24" t="n"/>
      <c r="H902" s="24" t="n"/>
      <c r="I902" s="24" t="n"/>
    </row>
    <row r="903">
      <c r="G903" s="24" t="n"/>
      <c r="H903" s="24" t="n"/>
      <c r="I903" s="24" t="n"/>
    </row>
    <row r="904">
      <c r="G904" s="24" t="n"/>
      <c r="H904" s="24" t="n"/>
      <c r="I904" s="24" t="n"/>
    </row>
    <row r="905">
      <c r="G905" s="24" t="n"/>
      <c r="H905" s="24" t="n"/>
      <c r="I905" s="24" t="n"/>
    </row>
    <row r="906">
      <c r="G906" s="24" t="n"/>
      <c r="H906" s="24" t="n"/>
      <c r="I906" s="24" t="n"/>
    </row>
    <row r="907">
      <c r="G907" s="24" t="n"/>
      <c r="H907" s="24" t="n"/>
      <c r="I907" s="24" t="n"/>
    </row>
    <row r="908">
      <c r="G908" s="24" t="n"/>
      <c r="H908" s="24" t="n"/>
      <c r="I908" s="24" t="n"/>
    </row>
    <row r="909">
      <c r="G909" s="24" t="n"/>
      <c r="H909" s="24" t="n"/>
      <c r="I909" s="24" t="n"/>
    </row>
    <row r="910">
      <c r="G910" s="24" t="n"/>
      <c r="H910" s="24" t="n"/>
      <c r="I910" s="24" t="n"/>
    </row>
    <row r="911">
      <c r="G911" s="24" t="n"/>
      <c r="H911" s="24" t="n"/>
      <c r="I911" s="24" t="n"/>
    </row>
    <row r="912">
      <c r="G912" s="24" t="n"/>
      <c r="H912" s="24" t="n"/>
      <c r="I912" s="24" t="n"/>
    </row>
    <row r="913">
      <c r="G913" s="24" t="n"/>
      <c r="H913" s="24" t="n"/>
      <c r="I913" s="24" t="n"/>
    </row>
    <row r="914">
      <c r="G914" s="24" t="n"/>
      <c r="H914" s="24" t="n"/>
      <c r="I914" s="24" t="n"/>
    </row>
    <row r="915">
      <c r="G915" s="24" t="n"/>
      <c r="H915" s="24" t="n"/>
      <c r="I915" s="24" t="n"/>
    </row>
    <row r="916">
      <c r="G916" s="24" t="n"/>
      <c r="H916" s="24" t="n"/>
      <c r="I916" s="24" t="n"/>
    </row>
    <row r="917">
      <c r="G917" s="24" t="n"/>
      <c r="H917" s="24" t="n"/>
      <c r="I917" s="24" t="n"/>
    </row>
    <row r="918">
      <c r="G918" s="24" t="n"/>
      <c r="H918" s="24" t="n"/>
      <c r="I918" s="24" t="n"/>
    </row>
    <row r="919">
      <c r="G919" s="24" t="n"/>
      <c r="H919" s="24" t="n"/>
      <c r="I919" s="24" t="n"/>
    </row>
    <row r="920">
      <c r="G920" s="24" t="n"/>
      <c r="H920" s="24" t="n"/>
      <c r="I920" s="24" t="n"/>
    </row>
    <row r="921">
      <c r="G921" s="24" t="n"/>
      <c r="H921" s="24" t="n"/>
      <c r="I921" s="24" t="n"/>
    </row>
    <row r="922">
      <c r="G922" s="24" t="n"/>
      <c r="H922" s="24" t="n"/>
      <c r="I922" s="24" t="n"/>
    </row>
    <row r="923">
      <c r="G923" s="24" t="n"/>
      <c r="H923" s="24" t="n"/>
      <c r="I923" s="24" t="n"/>
    </row>
    <row r="924">
      <c r="G924" s="24" t="n"/>
      <c r="H924" s="24" t="n"/>
      <c r="I924" s="24" t="n"/>
    </row>
    <row r="925">
      <c r="G925" s="24" t="n"/>
      <c r="H925" s="24" t="n"/>
      <c r="I925" s="24" t="n"/>
    </row>
    <row r="926">
      <c r="G926" s="24" t="n"/>
      <c r="H926" s="24" t="n"/>
      <c r="I926" s="24" t="n"/>
    </row>
    <row r="927">
      <c r="G927" s="24" t="n"/>
      <c r="H927" s="24" t="n"/>
      <c r="I927" s="24" t="n"/>
    </row>
    <row r="928">
      <c r="G928" s="24" t="n"/>
      <c r="H928" s="24" t="n"/>
      <c r="I928" s="24" t="n"/>
    </row>
    <row r="929">
      <c r="G929" s="24" t="n"/>
      <c r="H929" s="24" t="n"/>
      <c r="I929" s="24" t="n"/>
    </row>
    <row r="930">
      <c r="G930" s="24" t="n"/>
      <c r="H930" s="24" t="n"/>
      <c r="I930" s="24" t="n"/>
    </row>
    <row r="931">
      <c r="G931" s="24" t="n"/>
      <c r="H931" s="24" t="n"/>
      <c r="I931" s="24" t="n"/>
    </row>
    <row r="932">
      <c r="G932" s="24" t="n"/>
      <c r="H932" s="24" t="n"/>
      <c r="I932" s="24" t="n"/>
    </row>
    <row r="933">
      <c r="G933" s="24" t="n"/>
      <c r="H933" s="24" t="n"/>
      <c r="I933" s="24" t="n"/>
    </row>
    <row r="934">
      <c r="G934" s="24" t="n"/>
      <c r="H934" s="24" t="n"/>
      <c r="I934" s="24" t="n"/>
    </row>
    <row r="935">
      <c r="G935" s="24" t="n"/>
      <c r="H935" s="24" t="n"/>
      <c r="I935" s="24" t="n"/>
    </row>
    <row r="936">
      <c r="G936" s="24" t="n"/>
      <c r="H936" s="24" t="n"/>
      <c r="I936" s="24" t="n"/>
    </row>
    <row r="937">
      <c r="G937" s="24" t="n"/>
      <c r="H937" s="24" t="n"/>
      <c r="I937" s="24" t="n"/>
    </row>
    <row r="938">
      <c r="G938" s="24" t="n"/>
      <c r="H938" s="24" t="n"/>
      <c r="I938" s="24" t="n"/>
    </row>
    <row r="939">
      <c r="G939" s="24" t="n"/>
      <c r="H939" s="24" t="n"/>
      <c r="I939" s="24" t="n"/>
    </row>
    <row r="940">
      <c r="G940" s="24" t="n"/>
      <c r="H940" s="24" t="n"/>
      <c r="I940" s="24" t="n"/>
    </row>
    <row r="941">
      <c r="G941" s="24" t="n"/>
      <c r="H941" s="24" t="n"/>
      <c r="I941" s="24" t="n"/>
    </row>
    <row r="942">
      <c r="G942" s="24" t="n"/>
      <c r="H942" s="24" t="n"/>
      <c r="I942" s="24" t="n"/>
    </row>
    <row r="943">
      <c r="G943" s="24" t="n"/>
      <c r="H943" s="24" t="n"/>
      <c r="I943" s="24" t="n"/>
    </row>
    <row r="944">
      <c r="G944" s="24" t="n"/>
      <c r="H944" s="24" t="n"/>
      <c r="I944" s="24" t="n"/>
    </row>
    <row r="945">
      <c r="G945" s="24" t="n"/>
      <c r="H945" s="24" t="n"/>
      <c r="I945" s="24" t="n"/>
    </row>
    <row r="946">
      <c r="G946" s="24" t="n"/>
      <c r="H946" s="24" t="n"/>
      <c r="I946" s="24" t="n"/>
    </row>
    <row r="947">
      <c r="G947" s="24" t="n"/>
      <c r="H947" s="24" t="n"/>
      <c r="I947" s="24" t="n"/>
    </row>
    <row r="948">
      <c r="G948" s="24" t="n"/>
      <c r="H948" s="24" t="n"/>
      <c r="I948" s="24" t="n"/>
    </row>
    <row r="949">
      <c r="G949" s="24" t="n"/>
      <c r="H949" s="24" t="n"/>
      <c r="I949" s="24" t="n"/>
    </row>
    <row r="950">
      <c r="G950" s="24" t="n"/>
      <c r="H950" s="24" t="n"/>
      <c r="I950" s="24" t="n"/>
    </row>
    <row r="951">
      <c r="G951" s="24" t="n"/>
      <c r="H951" s="24" t="n"/>
      <c r="I951" s="24" t="n"/>
    </row>
    <row r="952">
      <c r="G952" s="24" t="n"/>
      <c r="H952" s="24" t="n"/>
      <c r="I952" s="24" t="n"/>
    </row>
    <row r="953">
      <c r="G953" s="24" t="n"/>
      <c r="H953" s="24" t="n"/>
      <c r="I953" s="24" t="n"/>
    </row>
    <row r="954">
      <c r="G954" s="24" t="n"/>
      <c r="H954" s="24" t="n"/>
      <c r="I954" s="24" t="n"/>
    </row>
    <row r="955">
      <c r="G955" s="24" t="n"/>
      <c r="H955" s="24" t="n"/>
      <c r="I955" s="24" t="n"/>
    </row>
    <row r="956">
      <c r="G956" s="24" t="n"/>
      <c r="H956" s="24" t="n"/>
      <c r="I956" s="24" t="n"/>
    </row>
    <row r="957">
      <c r="G957" s="24" t="n"/>
      <c r="H957" s="24" t="n"/>
      <c r="I957" s="24" t="n"/>
    </row>
    <row r="958">
      <c r="G958" s="24" t="n"/>
      <c r="H958" s="24" t="n"/>
      <c r="I958" s="24" t="n"/>
    </row>
    <row r="959">
      <c r="G959" s="24" t="n"/>
      <c r="H959" s="24" t="n"/>
      <c r="I959" s="24" t="n"/>
    </row>
    <row r="960">
      <c r="G960" s="24" t="n"/>
      <c r="H960" s="24" t="n"/>
      <c r="I960" s="24" t="n"/>
    </row>
    <row r="961">
      <c r="G961" s="24" t="n"/>
      <c r="H961" s="24" t="n"/>
      <c r="I961" s="24" t="n"/>
    </row>
    <row r="962">
      <c r="G962" s="24" t="n"/>
      <c r="H962" s="24" t="n"/>
      <c r="I962" s="24" t="n"/>
    </row>
    <row r="963">
      <c r="G963" s="24" t="n"/>
      <c r="H963" s="24" t="n"/>
      <c r="I963" s="24" t="n"/>
    </row>
    <row r="964">
      <c r="G964" s="24" t="n"/>
      <c r="H964" s="24" t="n"/>
      <c r="I964" s="24" t="n"/>
    </row>
    <row r="965">
      <c r="G965" s="24" t="n"/>
      <c r="H965" s="24" t="n"/>
      <c r="I965" s="24" t="n"/>
    </row>
    <row r="966">
      <c r="G966" s="24" t="n"/>
      <c r="H966" s="24" t="n"/>
      <c r="I966" s="24" t="n"/>
    </row>
    <row r="967">
      <c r="G967" s="24" t="n"/>
      <c r="H967" s="24" t="n"/>
      <c r="I967" s="24" t="n"/>
    </row>
    <row r="968">
      <c r="G968" s="24" t="n"/>
      <c r="H968" s="24" t="n"/>
      <c r="I968" s="24" t="n"/>
    </row>
    <row r="969">
      <c r="G969" s="24" t="n"/>
      <c r="H969" s="24" t="n"/>
      <c r="I969" s="24" t="n"/>
    </row>
    <row r="970">
      <c r="G970" s="24" t="n"/>
      <c r="H970" s="24" t="n"/>
      <c r="I970" s="24" t="n"/>
    </row>
    <row r="971">
      <c r="G971" s="24" t="n"/>
      <c r="H971" s="24" t="n"/>
      <c r="I971" s="24" t="n"/>
    </row>
    <row r="972">
      <c r="G972" s="24" t="n"/>
      <c r="H972" s="24" t="n"/>
      <c r="I972" s="24" t="n"/>
    </row>
    <row r="973">
      <c r="G973" s="24" t="n"/>
      <c r="H973" s="24" t="n"/>
      <c r="I973" s="24" t="n"/>
    </row>
    <row r="974">
      <c r="G974" s="24" t="n"/>
      <c r="H974" s="24" t="n"/>
      <c r="I974" s="24" t="n"/>
    </row>
    <row r="975">
      <c r="G975" s="24" t="n"/>
      <c r="H975" s="24" t="n"/>
      <c r="I975" s="24" t="n"/>
    </row>
    <row r="976">
      <c r="G976" s="24" t="n"/>
      <c r="H976" s="24" t="n"/>
      <c r="I976" s="24" t="n"/>
    </row>
    <row r="977">
      <c r="G977" s="24" t="n"/>
      <c r="H977" s="24" t="n"/>
      <c r="I977" s="24" t="n"/>
    </row>
    <row r="978">
      <c r="G978" s="24" t="n"/>
      <c r="H978" s="24" t="n"/>
      <c r="I978" s="24" t="n"/>
    </row>
    <row r="979">
      <c r="G979" s="24" t="n"/>
      <c r="H979" s="24" t="n"/>
      <c r="I979" s="24" t="n"/>
    </row>
    <row r="980">
      <c r="G980" s="24" t="n"/>
      <c r="H980" s="24" t="n"/>
      <c r="I980" s="24" t="n"/>
    </row>
    <row r="981">
      <c r="G981" s="24" t="n"/>
      <c r="H981" s="24" t="n"/>
      <c r="I981" s="24" t="n"/>
    </row>
    <row r="982">
      <c r="G982" s="24" t="n"/>
      <c r="H982" s="24" t="n"/>
      <c r="I982" s="24" t="n"/>
    </row>
    <row r="983">
      <c r="G983" s="24" t="n"/>
      <c r="H983" s="24" t="n"/>
      <c r="I983" s="24" t="n"/>
    </row>
    <row r="984">
      <c r="G984" s="24" t="n"/>
      <c r="H984" s="24" t="n"/>
      <c r="I984" s="24" t="n"/>
    </row>
    <row r="985">
      <c r="G985" s="24" t="n"/>
      <c r="H985" s="24" t="n"/>
      <c r="I985" s="24" t="n"/>
    </row>
    <row r="986">
      <c r="G986" s="24" t="n"/>
      <c r="H986" s="24" t="n"/>
      <c r="I986" s="24" t="n"/>
    </row>
    <row r="987">
      <c r="G987" s="24" t="n"/>
      <c r="H987" s="24" t="n"/>
      <c r="I987" s="24" t="n"/>
    </row>
    <row r="988">
      <c r="G988" s="24" t="n"/>
      <c r="H988" s="24" t="n"/>
      <c r="I988" s="24" t="n"/>
    </row>
    <row r="989">
      <c r="G989" s="24" t="n"/>
      <c r="H989" s="24" t="n"/>
      <c r="I989" s="24" t="n"/>
    </row>
    <row r="990">
      <c r="G990" s="24" t="n"/>
      <c r="H990" s="24" t="n"/>
      <c r="I990" s="24" t="n"/>
    </row>
    <row r="991">
      <c r="G991" s="24" t="n"/>
      <c r="H991" s="24" t="n"/>
      <c r="I991" s="24" t="n"/>
    </row>
    <row r="992">
      <c r="G992" s="24" t="n"/>
      <c r="H992" s="24" t="n"/>
      <c r="I992" s="24" t="n"/>
    </row>
    <row r="993">
      <c r="G993" s="24" t="n"/>
      <c r="H993" s="24" t="n"/>
      <c r="I993" s="24" t="n"/>
    </row>
    <row r="994">
      <c r="G994" s="24" t="n"/>
      <c r="H994" s="24" t="n"/>
      <c r="I994" s="24" t="n"/>
    </row>
    <row r="995">
      <c r="G995" s="24" t="n"/>
      <c r="H995" s="24" t="n"/>
      <c r="I995" s="24" t="n"/>
    </row>
    <row r="996">
      <c r="G996" s="24" t="n"/>
      <c r="H996" s="24" t="n"/>
      <c r="I996" s="24" t="n"/>
    </row>
    <row r="997">
      <c r="G997" s="24" t="n"/>
      <c r="H997" s="24" t="n"/>
      <c r="I997" s="24" t="n"/>
    </row>
    <row r="998">
      <c r="G998" s="24" t="n"/>
      <c r="H998" s="24" t="n"/>
      <c r="I998" s="24" t="n"/>
    </row>
    <row r="999">
      <c r="G999" s="24" t="n"/>
      <c r="H999" s="24" t="n"/>
      <c r="I999" s="24" t="n"/>
    </row>
    <row r="1000">
      <c r="G1000" s="24" t="n"/>
      <c r="H1000" s="24" t="n"/>
      <c r="I1000" s="24" t="n"/>
    </row>
  </sheetData>
  <autoFilter ref="$A$1:$D$112"/>
  <mergeCells count="4">
    <mergeCell ref="F3:F12"/>
    <mergeCell ref="G2:H2"/>
    <mergeCell ref="F23:F25"/>
    <mergeCell ref="F13:F22"/>
  </mergeCells>
  <conditionalFormatting sqref="G23:H25">
    <cfRule type="cellIs" priority="1" operator="equal" dxfId="14">
      <formula>"GR"</formula>
    </cfRule>
  </conditionalFormatting>
  <conditionalFormatting sqref="G2:H1000">
    <cfRule type="containsText" priority="2" operator="containsText" dxfId="2" text="A m">
      <formula>NOT(ISERROR(SEARCH(("A m"),(G2))))</formula>
    </cfRule>
    <cfRule type="containsText" priority="3" operator="containsText" dxfId="3" text="A v">
      <formula>NOT(ISERROR(SEARCH(("A v"),(G2))))</formula>
    </cfRule>
    <cfRule type="containsText" priority="4" operator="containsText" dxfId="4" text="B1 m">
      <formula>NOT(ISERROR(SEARCH(("B1 m"),(G2))))</formula>
    </cfRule>
    <cfRule type="containsText" priority="5" operator="containsText" dxfId="5" text="B1 v">
      <formula>NOT(ISERROR(SEARCH(("B1 v"),(G2))))</formula>
    </cfRule>
    <cfRule type="containsText" priority="6" operator="containsText" dxfId="6" text="B2 m">
      <formula>NOT(ISERROR(SEARCH(("B2 m"),(G2))))</formula>
    </cfRule>
    <cfRule type="containsText" priority="7" operator="containsText" dxfId="7" text="B2 v">
      <formula>NOT(ISERROR(SEARCH(("B2 v"),(G2))))</formula>
    </cfRule>
    <cfRule type="containsText" priority="8" operator="containsText" dxfId="8" text="C m">
      <formula>NOT(ISERROR(SEARCH(("C m"),(G2))))</formula>
    </cfRule>
    <cfRule type="containsText" priority="9" operator="containsText" dxfId="9" text="C v">
      <formula>NOT(ISERROR(SEARCH(("C v"),(G2))))</formula>
    </cfRule>
    <cfRule type="containsText" priority="10" operator="containsText" dxfId="10" text="D v">
      <formula>NOT(ISERROR(SEARCH(("D v"),(G2))))</formula>
    </cfRule>
    <cfRule type="containsText" priority="11" operator="containsText" dxfId="11" text="D m">
      <formula>NOT(ISERROR(SEARCH(("D m"),(G2))))</formula>
    </cfRule>
    <cfRule type="containsText" priority="12" operator="containsText" dxfId="12" text="E m">
      <formula>NOT(ISERROR(SEARCH(("E m"),(G2))))</formula>
    </cfRule>
    <cfRule type="containsText" priority="13" operator="containsText" dxfId="13" text="E v">
      <formula>NOT(ISERROR(SEARCH(("E v"),(G2))))</formula>
    </cfRule>
  </conditionalFormatting>
  <dataValidations count="1">
    <dataValidation sqref="D2:D112" showDropDown="0" showInputMessage="0" showErrorMessage="1" allowBlank="1" type="list">
      <formula1>"Veio,Não Veio"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40.13" customWidth="1" style="128" min="1" max="1"/>
    <col width="28.5" customWidth="1" style="128" min="11" max="11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F1" s="69" t="inlineStr">
        <is>
          <t>CONFRONTOS</t>
        </is>
      </c>
      <c r="G1" s="70" t="n"/>
      <c r="H1" s="70" t="n"/>
      <c r="I1" s="71" t="n"/>
    </row>
    <row r="2">
      <c r="A2" s="34">
        <f>IFERROR(__xludf.DUMMYFUNCTION("FILTER(Alunos!A:A, Alunos!$F:$F = ""Participa"")"),"ADILSON EVÊNCIO DA SILVA JUNIOR")</f>
        <v/>
      </c>
      <c r="B2" s="34">
        <f>IFERROR(__xludf.DUMMYFUNCTION("FILTER(Alunos!B:B, Alunos!$F:$F = ""Participa"")"),"Turma E")</f>
        <v/>
      </c>
      <c r="C2" s="34">
        <f>IFERROR(__xludf.DUMMYFUNCTION("FILTER(Alunos!C:C, Alunos!$F:$F = ""Participa"")"),"Matutino")</f>
        <v/>
      </c>
      <c r="D2" s="34" t="inlineStr">
        <is>
          <t>Veio</t>
        </is>
      </c>
      <c r="F2" s="61" t="inlineStr">
        <is>
          <t>Categoria</t>
        </is>
      </c>
      <c r="G2" s="61" t="inlineStr">
        <is>
          <t>Turmas</t>
        </is>
      </c>
      <c r="H2" s="131" t="n"/>
      <c r="I2" s="61" t="inlineStr">
        <is>
          <t>Resultados</t>
        </is>
      </c>
    </row>
    <row r="3">
      <c r="A3" s="34">
        <f>IFERROR(__xludf.DUMMYFUNCTION("""COMPUTED_VALUE"""),"Ágatha Sophhie Da Silva Basílio")</f>
        <v/>
      </c>
      <c r="B3" s="34">
        <f>IFERROR(__xludf.DUMMYFUNCTION("""COMPUTED_VALUE"""),"Turma A")</f>
        <v/>
      </c>
      <c r="C3" s="34">
        <f>IFERROR(__xludf.DUMMYFUNCTION("""COMPUTED_VALUE"""),"Matutino")</f>
        <v/>
      </c>
      <c r="D3" s="34" t="inlineStr">
        <is>
          <t>Veio</t>
        </is>
      </c>
      <c r="F3" s="67" t="inlineStr">
        <is>
          <t>Infantil</t>
        </is>
      </c>
      <c r="G3" s="114" t="inlineStr">
        <is>
          <t>A v</t>
        </is>
      </c>
      <c r="H3" s="114" t="inlineStr">
        <is>
          <t>B2 m</t>
        </is>
      </c>
      <c r="I3" s="65" t="inlineStr">
        <is>
          <t>A v</t>
        </is>
      </c>
    </row>
    <row r="4">
      <c r="A4" s="34">
        <f>IFERROR(__xludf.DUMMYFUNCTION("""COMPUTED_VALUE"""),"ALLAN ALVES RIBEIRO")</f>
        <v/>
      </c>
      <c r="B4" s="34">
        <f>IFERROR(__xludf.DUMMYFUNCTION("""COMPUTED_VALUE"""),"Turma E")</f>
        <v/>
      </c>
      <c r="C4" s="34">
        <f>IFERROR(__xludf.DUMMYFUNCTION("""COMPUTED_VALUE"""),"Vespertino")</f>
        <v/>
      </c>
      <c r="D4" s="34" t="inlineStr">
        <is>
          <t>Veio</t>
        </is>
      </c>
      <c r="F4" s="134" t="n"/>
      <c r="G4" s="114" t="inlineStr">
        <is>
          <t>B1 m</t>
        </is>
      </c>
      <c r="H4" s="114" t="inlineStr">
        <is>
          <t>B1 v</t>
        </is>
      </c>
      <c r="I4" s="65" t="inlineStr">
        <is>
          <t>Empate</t>
        </is>
      </c>
      <c r="K4" s="4" t="n"/>
    </row>
    <row r="5">
      <c r="A5" s="34">
        <f>IFERROR(__xludf.DUMMYFUNCTION("""COMPUTED_VALUE"""),"ALLANA FERREIRA DA SILVA")</f>
        <v/>
      </c>
      <c r="B5" s="34">
        <f>IFERROR(__xludf.DUMMYFUNCTION("""COMPUTED_VALUE"""),"Turma B1")</f>
        <v/>
      </c>
      <c r="C5" s="34">
        <f>IFERROR(__xludf.DUMMYFUNCTION("""COMPUTED_VALUE"""),"Vespertino")</f>
        <v/>
      </c>
      <c r="D5" s="34" t="inlineStr">
        <is>
          <t>Veio</t>
        </is>
      </c>
      <c r="F5" s="134" t="n"/>
      <c r="G5" s="114" t="inlineStr">
        <is>
          <t>A m</t>
        </is>
      </c>
      <c r="H5" s="114" t="inlineStr">
        <is>
          <t>B2 m</t>
        </is>
      </c>
      <c r="I5" s="65" t="inlineStr">
        <is>
          <t>A m</t>
        </is>
      </c>
    </row>
    <row r="6">
      <c r="A6" s="34">
        <f>IFERROR(__xludf.DUMMYFUNCTION("""COMPUTED_VALUE"""),"Allana Gonçalves Da Silva")</f>
        <v/>
      </c>
      <c r="B6" s="34">
        <f>IFERROR(__xludf.DUMMYFUNCTION("""COMPUTED_VALUE"""),"Turma C")</f>
        <v/>
      </c>
      <c r="C6" s="34">
        <f>IFERROR(__xludf.DUMMYFUNCTION("""COMPUTED_VALUE"""),"Matutino")</f>
        <v/>
      </c>
      <c r="D6" s="34" t="inlineStr">
        <is>
          <t>Veio</t>
        </is>
      </c>
      <c r="F6" s="134" t="n"/>
      <c r="G6" s="114" t="inlineStr">
        <is>
          <t>A v</t>
        </is>
      </c>
      <c r="H6" s="114" t="inlineStr">
        <is>
          <t>B1 m</t>
        </is>
      </c>
      <c r="I6" s="65" t="inlineStr">
        <is>
          <t>B1 m</t>
        </is>
      </c>
    </row>
    <row r="7">
      <c r="A7" s="34">
        <f>IFERROR(__xludf.DUMMYFUNCTION("""COMPUTED_VALUE"""),"ANA BEATRIZ FLAUZINO DOS SANTOS")</f>
        <v/>
      </c>
      <c r="B7" s="34">
        <f>IFERROR(__xludf.DUMMYFUNCTION("""COMPUTED_VALUE"""),"Turma A")</f>
        <v/>
      </c>
      <c r="C7" s="34">
        <f>IFERROR(__xludf.DUMMYFUNCTION("""COMPUTED_VALUE"""),"Vespertino")</f>
        <v/>
      </c>
      <c r="D7" s="34" t="inlineStr">
        <is>
          <t>Veio</t>
        </is>
      </c>
      <c r="F7" s="134" t="n"/>
      <c r="G7" s="114" t="inlineStr">
        <is>
          <t>A m</t>
        </is>
      </c>
      <c r="H7" s="114" t="inlineStr">
        <is>
          <t>B1 v</t>
        </is>
      </c>
      <c r="I7" s="65" t="inlineStr">
        <is>
          <t>B1 v</t>
        </is>
      </c>
    </row>
    <row r="8">
      <c r="A8" s="34">
        <f>IFERROR(__xludf.DUMMYFUNCTION("""COMPUTED_VALUE"""),"ANA CLARA DE FREITAS TEIXEIRA")</f>
        <v/>
      </c>
      <c r="B8" s="34">
        <f>IFERROR(__xludf.DUMMYFUNCTION("""COMPUTED_VALUE"""),"Turma GR")</f>
        <v/>
      </c>
      <c r="C8" s="34">
        <f>IFERROR(__xludf.DUMMYFUNCTION("""COMPUTED_VALUE"""),"Vespertino")</f>
        <v/>
      </c>
      <c r="D8" s="34" t="inlineStr">
        <is>
          <t>Veio</t>
        </is>
      </c>
      <c r="F8" s="134" t="n"/>
      <c r="G8" s="114" t="inlineStr">
        <is>
          <t>B2 m</t>
        </is>
      </c>
      <c r="H8" s="114" t="inlineStr">
        <is>
          <t>B1 m</t>
        </is>
      </c>
      <c r="I8" s="65" t="inlineStr">
        <is>
          <t>B1 m</t>
        </is>
      </c>
    </row>
    <row r="9">
      <c r="A9" s="34">
        <f>IFERROR(__xludf.DUMMYFUNCTION("""COMPUTED_VALUE"""),"Ana Julia Da Cruz Oliveira")</f>
        <v/>
      </c>
      <c r="B9" s="34">
        <f>IFERROR(__xludf.DUMMYFUNCTION("""COMPUTED_VALUE"""),"Turma A")</f>
        <v/>
      </c>
      <c r="C9" s="34">
        <f>IFERROR(__xludf.DUMMYFUNCTION("""COMPUTED_VALUE"""),"Matutino")</f>
        <v/>
      </c>
      <c r="D9" s="34" t="inlineStr">
        <is>
          <t>Veio</t>
        </is>
      </c>
      <c r="F9" s="134" t="n"/>
      <c r="G9" s="114" t="inlineStr">
        <is>
          <t>A m</t>
        </is>
      </c>
      <c r="H9" s="114" t="inlineStr">
        <is>
          <t>B1 m</t>
        </is>
      </c>
      <c r="I9" s="65" t="inlineStr">
        <is>
          <t>B1 m</t>
        </is>
      </c>
    </row>
    <row r="10">
      <c r="A10" s="34">
        <f>IFERROR(__xludf.DUMMYFUNCTION("""COMPUTED_VALUE"""),"ANA LUIZA DA SILVA BORGES")</f>
        <v/>
      </c>
      <c r="B10" s="34">
        <f>IFERROR(__xludf.DUMMYFUNCTION("""COMPUTED_VALUE"""),"Turma E")</f>
        <v/>
      </c>
      <c r="C10" s="34">
        <f>IFERROR(__xludf.DUMMYFUNCTION("""COMPUTED_VALUE"""),"Matutino")</f>
        <v/>
      </c>
      <c r="D10" s="34" t="inlineStr">
        <is>
          <t>Veio</t>
        </is>
      </c>
      <c r="F10" s="134" t="n"/>
      <c r="G10" s="114" t="inlineStr">
        <is>
          <t>B1 v</t>
        </is>
      </c>
      <c r="H10" s="114" t="inlineStr">
        <is>
          <t>A v</t>
        </is>
      </c>
      <c r="I10" s="65" t="inlineStr">
        <is>
          <t>A v</t>
        </is>
      </c>
    </row>
    <row r="11">
      <c r="A11" s="34">
        <f>IFERROR(__xludf.DUMMYFUNCTION("""COMPUTED_VALUE"""),"Ana Vitória Santana Oliveira Da Silva")</f>
        <v/>
      </c>
      <c r="B11" s="34">
        <f>IFERROR(__xludf.DUMMYFUNCTION("""COMPUTED_VALUE"""),"Turma A")</f>
        <v/>
      </c>
      <c r="C11" s="34">
        <f>IFERROR(__xludf.DUMMYFUNCTION("""COMPUTED_VALUE"""),"Matutino")</f>
        <v/>
      </c>
      <c r="D11" s="34" t="inlineStr">
        <is>
          <t>Veio</t>
        </is>
      </c>
      <c r="F11" s="134" t="n"/>
      <c r="G11" s="114" t="inlineStr">
        <is>
          <t>A m</t>
        </is>
      </c>
      <c r="H11" s="114" t="inlineStr">
        <is>
          <t>A v</t>
        </is>
      </c>
      <c r="I11" s="65" t="inlineStr">
        <is>
          <t>A v</t>
        </is>
      </c>
    </row>
    <row r="12">
      <c r="A12" s="34">
        <f>IFERROR(__xludf.DUMMYFUNCTION("""COMPUTED_VALUE"""),"Andressa Campos De Barros")</f>
        <v/>
      </c>
      <c r="B12" s="34">
        <f>IFERROR(__xludf.DUMMYFUNCTION("""COMPUTED_VALUE"""),"Turma D")</f>
        <v/>
      </c>
      <c r="C12" s="34">
        <f>IFERROR(__xludf.DUMMYFUNCTION("""COMPUTED_VALUE"""),"Vespertino")</f>
        <v/>
      </c>
      <c r="D12" s="34" t="inlineStr">
        <is>
          <t>Veio</t>
        </is>
      </c>
      <c r="F12" s="134" t="n"/>
      <c r="G12" s="114" t="inlineStr">
        <is>
          <t>B1 v</t>
        </is>
      </c>
      <c r="H12" s="114" t="inlineStr">
        <is>
          <t>B2 m</t>
        </is>
      </c>
      <c r="I12" s="65" t="inlineStr">
        <is>
          <t>B1 v</t>
        </is>
      </c>
    </row>
    <row r="13">
      <c r="A13" s="34">
        <f>IFERROR(__xludf.DUMMYFUNCTION("""COMPUTED_VALUE"""),"ANNY HELOISE OLIVEIRA DA SILVA")</f>
        <v/>
      </c>
      <c r="B13" s="34">
        <f>IFERROR(__xludf.DUMMYFUNCTION("""COMPUTED_VALUE"""),"Turma B2")</f>
        <v/>
      </c>
      <c r="C13" s="34">
        <f>IFERROR(__xludf.DUMMYFUNCTION("""COMPUTED_VALUE"""),"Vespertino")</f>
        <v/>
      </c>
      <c r="D13" s="34" t="inlineStr">
        <is>
          <t>Veio</t>
        </is>
      </c>
      <c r="F13" s="67" t="inlineStr">
        <is>
          <t>Juvenil</t>
        </is>
      </c>
      <c r="G13" s="114" t="inlineStr">
        <is>
          <t>C m</t>
        </is>
      </c>
      <c r="H13" s="114" t="inlineStr">
        <is>
          <t>D v</t>
        </is>
      </c>
      <c r="I13" s="65" t="inlineStr">
        <is>
          <t>D v</t>
        </is>
      </c>
    </row>
    <row r="14">
      <c r="A14" s="34">
        <f>IFERROR(__xludf.DUMMYFUNCTION("""COMPUTED_VALUE"""),"ANY GABRIELLY DE ALMEIDA OLIVEIRA")</f>
        <v/>
      </c>
      <c r="B14" s="34">
        <f>IFERROR(__xludf.DUMMYFUNCTION("""COMPUTED_VALUE"""),"Turma E")</f>
        <v/>
      </c>
      <c r="C14" s="34">
        <f>IFERROR(__xludf.DUMMYFUNCTION("""COMPUTED_VALUE"""),"Vespertino")</f>
        <v/>
      </c>
      <c r="D14" s="34" t="inlineStr">
        <is>
          <t>Veio</t>
        </is>
      </c>
      <c r="F14" s="134" t="n"/>
      <c r="G14" s="114" t="inlineStr">
        <is>
          <t>C v</t>
        </is>
      </c>
      <c r="H14" s="114" t="inlineStr">
        <is>
          <t>D m</t>
        </is>
      </c>
      <c r="I14" s="65" t="inlineStr">
        <is>
          <t>D m</t>
        </is>
      </c>
    </row>
    <row r="15">
      <c r="A15" s="34">
        <f>IFERROR(__xludf.DUMMYFUNCTION("""COMPUTED_VALUE"""),"AQUIRIZ ARAUJO DE FREITAS")</f>
        <v/>
      </c>
      <c r="B15" s="34">
        <f>IFERROR(__xludf.DUMMYFUNCTION("""COMPUTED_VALUE"""),"Turma C")</f>
        <v/>
      </c>
      <c r="C15" s="34">
        <f>IFERROR(__xludf.DUMMYFUNCTION("""COMPUTED_VALUE"""),"Vespertino")</f>
        <v/>
      </c>
      <c r="D15" s="34" t="inlineStr">
        <is>
          <t>Veio</t>
        </is>
      </c>
      <c r="F15" s="134" t="n"/>
      <c r="G15" s="114" t="inlineStr">
        <is>
          <t>B2 v</t>
        </is>
      </c>
      <c r="H15" s="114" t="inlineStr">
        <is>
          <t>D v</t>
        </is>
      </c>
      <c r="I15" s="65" t="inlineStr">
        <is>
          <t>D v</t>
        </is>
      </c>
    </row>
    <row r="16">
      <c r="A16" s="34">
        <f>IFERROR(__xludf.DUMMYFUNCTION("""COMPUTED_VALUE"""),"ARTHUR FERREIRA NAPOLEÃO")</f>
        <v/>
      </c>
      <c r="B16" s="34">
        <f>IFERROR(__xludf.DUMMYFUNCTION("""COMPUTED_VALUE"""),"Turma D")</f>
        <v/>
      </c>
      <c r="C16" s="34">
        <f>IFERROR(__xludf.DUMMYFUNCTION("""COMPUTED_VALUE"""),"Matutino")</f>
        <v/>
      </c>
      <c r="D16" s="34" t="inlineStr">
        <is>
          <t>Veio</t>
        </is>
      </c>
      <c r="F16" s="134" t="n"/>
      <c r="G16" s="114" t="inlineStr">
        <is>
          <t>C m</t>
        </is>
      </c>
      <c r="H16" s="114" t="inlineStr">
        <is>
          <t>C v</t>
        </is>
      </c>
      <c r="I16" s="65" t="inlineStr">
        <is>
          <t>C m</t>
        </is>
      </c>
    </row>
    <row r="17">
      <c r="A17" s="34">
        <f>IFERROR(__xludf.DUMMYFUNCTION("""COMPUTED_VALUE"""),"ARTHUR LOPES RODRIGUES NEVES")</f>
        <v/>
      </c>
      <c r="B17" s="34">
        <f>IFERROR(__xludf.DUMMYFUNCTION("""COMPUTED_VALUE"""),"Turma B2")</f>
        <v/>
      </c>
      <c r="C17" s="34">
        <f>IFERROR(__xludf.DUMMYFUNCTION("""COMPUTED_VALUE"""),"Vespertino")</f>
        <v/>
      </c>
      <c r="D17" s="34" t="inlineStr">
        <is>
          <t>Veio</t>
        </is>
      </c>
      <c r="F17" s="134" t="n"/>
      <c r="G17" s="114" t="inlineStr">
        <is>
          <t>B2 v</t>
        </is>
      </c>
      <c r="H17" s="114" t="inlineStr">
        <is>
          <t>D m</t>
        </is>
      </c>
      <c r="I17" s="65" t="inlineStr">
        <is>
          <t>D m</t>
        </is>
      </c>
    </row>
    <row r="18">
      <c r="A18" s="34">
        <f>IFERROR(__xludf.DUMMYFUNCTION("""COMPUTED_VALUE"""),"ARTHUR SANTANA BARBOSA")</f>
        <v/>
      </c>
      <c r="B18" s="34">
        <f>IFERROR(__xludf.DUMMYFUNCTION("""COMPUTED_VALUE"""),"Turma A")</f>
        <v/>
      </c>
      <c r="C18" s="34">
        <f>IFERROR(__xludf.DUMMYFUNCTION("""COMPUTED_VALUE"""),"Vespertino")</f>
        <v/>
      </c>
      <c r="D18" s="34" t="inlineStr">
        <is>
          <t>Veio</t>
        </is>
      </c>
      <c r="F18" s="134" t="n"/>
      <c r="G18" s="24" t="inlineStr">
        <is>
          <t>D v</t>
        </is>
      </c>
      <c r="H18" s="24" t="inlineStr">
        <is>
          <t>C v</t>
        </is>
      </c>
      <c r="I18" s="65" t="inlineStr">
        <is>
          <t>D v</t>
        </is>
      </c>
    </row>
    <row r="19">
      <c r="A19" s="34">
        <f>IFERROR(__xludf.DUMMYFUNCTION("""COMPUTED_VALUE"""),"ASAPH GABRIEL SALES ANICETO")</f>
        <v/>
      </c>
      <c r="B19" s="34">
        <f>IFERROR(__xludf.DUMMYFUNCTION("""COMPUTED_VALUE"""),"Turma B2")</f>
        <v/>
      </c>
      <c r="C19" s="34">
        <f>IFERROR(__xludf.DUMMYFUNCTION("""COMPUTED_VALUE"""),"Matutino")</f>
        <v/>
      </c>
      <c r="D19" s="34" t="inlineStr">
        <is>
          <t>Veio</t>
        </is>
      </c>
      <c r="F19" s="134" t="n"/>
      <c r="G19" s="24" t="inlineStr">
        <is>
          <t>B2 v</t>
        </is>
      </c>
      <c r="H19" s="24" t="inlineStr">
        <is>
          <t>C v</t>
        </is>
      </c>
      <c r="I19" s="65" t="inlineStr">
        <is>
          <t>B2 v</t>
        </is>
      </c>
    </row>
    <row r="20">
      <c r="A20" s="34">
        <f>IFERROR(__xludf.DUMMYFUNCTION("""COMPUTED_VALUE"""),"BEATRIZ COSTA ARAGÃO")</f>
        <v/>
      </c>
      <c r="B20" s="34">
        <f>IFERROR(__xludf.DUMMYFUNCTION("""COMPUTED_VALUE"""),"Turma GR")</f>
        <v/>
      </c>
      <c r="C20" s="34">
        <f>IFERROR(__xludf.DUMMYFUNCTION("""COMPUTED_VALUE"""),"Vespertino")</f>
        <v/>
      </c>
      <c r="D20" s="34" t="inlineStr">
        <is>
          <t>Veio</t>
        </is>
      </c>
      <c r="F20" s="134" t="n"/>
      <c r="G20" s="24" t="inlineStr">
        <is>
          <t>D m</t>
        </is>
      </c>
      <c r="H20" s="24" t="inlineStr">
        <is>
          <t>C m</t>
        </is>
      </c>
      <c r="I20" s="65" t="inlineStr">
        <is>
          <t xml:space="preserve">C m </t>
        </is>
      </c>
    </row>
    <row r="21">
      <c r="A21" s="34">
        <f>IFERROR(__xludf.DUMMYFUNCTION("""COMPUTED_VALUE"""),"CAIO RUAN GERÔNIMO OLIVEIRA")</f>
        <v/>
      </c>
      <c r="B21" s="34">
        <f>IFERROR(__xludf.DUMMYFUNCTION("""COMPUTED_VALUE"""),"Turma E")</f>
        <v/>
      </c>
      <c r="C21" s="34">
        <f>IFERROR(__xludf.DUMMYFUNCTION("""COMPUTED_VALUE"""),"Matutino")</f>
        <v/>
      </c>
      <c r="D21" s="34" t="inlineStr">
        <is>
          <t>Veio</t>
        </is>
      </c>
      <c r="F21" s="134" t="n"/>
      <c r="G21" s="24" t="inlineStr">
        <is>
          <t>B2 v</t>
        </is>
      </c>
      <c r="H21" s="24" t="inlineStr">
        <is>
          <t>C m</t>
        </is>
      </c>
      <c r="I21" s="65" t="inlineStr">
        <is>
          <t>C m</t>
        </is>
      </c>
    </row>
    <row r="22">
      <c r="A22" s="34">
        <f>IFERROR(__xludf.DUMMYFUNCTION("""COMPUTED_VALUE"""),"CAIO SOUZA PRÓCÓPIO DA SILVA")</f>
        <v/>
      </c>
      <c r="B22" s="34">
        <f>IFERROR(__xludf.DUMMYFUNCTION("""COMPUTED_VALUE"""),"Turma E")</f>
        <v/>
      </c>
      <c r="C22" s="34">
        <f>IFERROR(__xludf.DUMMYFUNCTION("""COMPUTED_VALUE"""),"Matutino")</f>
        <v/>
      </c>
      <c r="D22" s="34" t="inlineStr">
        <is>
          <t>Veio</t>
        </is>
      </c>
      <c r="F22" s="134" t="n"/>
      <c r="G22" s="24" t="inlineStr">
        <is>
          <t>D m</t>
        </is>
      </c>
      <c r="H22" s="24" t="inlineStr">
        <is>
          <t>D v</t>
        </is>
      </c>
      <c r="I22" s="65" t="inlineStr">
        <is>
          <t>D v</t>
        </is>
      </c>
    </row>
    <row r="23">
      <c r="A23" s="34">
        <f>IFERROR(__xludf.DUMMYFUNCTION("""COMPUTED_VALUE"""),"CAMILA BARROSO FERREIRA")</f>
        <v/>
      </c>
      <c r="B23" s="34">
        <f>IFERROR(__xludf.DUMMYFUNCTION("""COMPUTED_VALUE"""),"Turma B2")</f>
        <v/>
      </c>
      <c r="C23" s="34">
        <f>IFERROR(__xludf.DUMMYFUNCTION("""COMPUTED_VALUE"""),"Vespertino")</f>
        <v/>
      </c>
      <c r="D23" s="34" t="inlineStr">
        <is>
          <t>Veio</t>
        </is>
      </c>
      <c r="F23" s="137" t="inlineStr">
        <is>
          <t>Júnior</t>
        </is>
      </c>
      <c r="G23" s="114" t="inlineStr">
        <is>
          <t>E m</t>
        </is>
      </c>
      <c r="H23" s="114" t="inlineStr">
        <is>
          <t>E v</t>
        </is>
      </c>
      <c r="I23" s="65" t="inlineStr">
        <is>
          <t>E v</t>
        </is>
      </c>
    </row>
    <row r="24">
      <c r="A24" s="34">
        <f>IFERROR(__xludf.DUMMYFUNCTION("""COMPUTED_VALUE"""),"CARLOS DANIEL BARROSO FERREIRA")</f>
        <v/>
      </c>
      <c r="B24" s="34">
        <f>IFERROR(__xludf.DUMMYFUNCTION("""COMPUTED_VALUE"""),"Turma C")</f>
        <v/>
      </c>
      <c r="C24" s="34">
        <f>IFERROR(__xludf.DUMMYFUNCTION("""COMPUTED_VALUE"""),"Vespertino")</f>
        <v/>
      </c>
      <c r="D24" s="34" t="inlineStr">
        <is>
          <t>Veio</t>
        </is>
      </c>
      <c r="F24" s="134" t="n"/>
      <c r="G24" s="114" t="inlineStr">
        <is>
          <t>GR</t>
        </is>
      </c>
      <c r="H24" s="114" t="inlineStr">
        <is>
          <t>E m</t>
        </is>
      </c>
      <c r="I24" s="65" t="inlineStr">
        <is>
          <t>E m</t>
        </is>
      </c>
      <c r="J24" s="24" t="n"/>
    </row>
    <row r="25">
      <c r="A25" s="34">
        <f>IFERROR(__xludf.DUMMYFUNCTION("""COMPUTED_VALUE"""),"CARLOS EDUARDO GENUINO DE ALENCAR")</f>
        <v/>
      </c>
      <c r="B25" s="34">
        <f>IFERROR(__xludf.DUMMYFUNCTION("""COMPUTED_VALUE"""),"Turma C")</f>
        <v/>
      </c>
      <c r="C25" s="34">
        <f>IFERROR(__xludf.DUMMYFUNCTION("""COMPUTED_VALUE"""),"Vespertino")</f>
        <v/>
      </c>
      <c r="D25" s="34" t="inlineStr">
        <is>
          <t>Veio</t>
        </is>
      </c>
      <c r="F25" s="135" t="n"/>
      <c r="G25" s="114" t="inlineStr">
        <is>
          <t>E v</t>
        </is>
      </c>
      <c r="H25" s="114" t="inlineStr">
        <is>
          <t>GR</t>
        </is>
      </c>
      <c r="I25" s="65" t="inlineStr">
        <is>
          <t>E v</t>
        </is>
      </c>
      <c r="J25" s="24" t="n"/>
    </row>
    <row r="26">
      <c r="A26" s="34">
        <f>IFERROR(__xludf.DUMMYFUNCTION("""COMPUTED_VALUE"""),"CARLOS EDUARDO VILLA NOVA DOS SANTOS")</f>
        <v/>
      </c>
      <c r="B26" s="34">
        <f>IFERROR(__xludf.DUMMYFUNCTION("""COMPUTED_VALUE"""),"Turma D")</f>
        <v/>
      </c>
      <c r="C26" s="34">
        <f>IFERROR(__xludf.DUMMYFUNCTION("""COMPUTED_VALUE"""),"Matutino")</f>
        <v/>
      </c>
      <c r="D26" s="34" t="inlineStr">
        <is>
          <t>Veio</t>
        </is>
      </c>
      <c r="F26" s="59" t="n"/>
      <c r="G26" s="24" t="n"/>
      <c r="H26" s="24" t="n"/>
      <c r="I26" s="24" t="n"/>
    </row>
    <row r="27">
      <c r="A27" s="34">
        <f>IFERROR(__xludf.DUMMYFUNCTION("""COMPUTED_VALUE"""),"CAUÃ SOUZA PROCÓPIO DA SILVA")</f>
        <v/>
      </c>
      <c r="B27" s="34">
        <f>IFERROR(__xludf.DUMMYFUNCTION("""COMPUTED_VALUE"""),"Turma A")</f>
        <v/>
      </c>
      <c r="C27" s="34">
        <f>IFERROR(__xludf.DUMMYFUNCTION("""COMPUTED_VALUE"""),"Vespertino")</f>
        <v/>
      </c>
      <c r="D27" s="34" t="inlineStr">
        <is>
          <t>Veio</t>
        </is>
      </c>
      <c r="F27" s="59" t="n"/>
      <c r="G27" s="24" t="n"/>
      <c r="H27" s="24" t="n"/>
      <c r="I27" s="24" t="n"/>
    </row>
    <row r="28">
      <c r="A28" s="34">
        <f>IFERROR(__xludf.DUMMYFUNCTION("""COMPUTED_VALUE"""),"CAUÃ VITORINO HOTTS DA SILVA")</f>
        <v/>
      </c>
      <c r="B28" s="34">
        <f>IFERROR(__xludf.DUMMYFUNCTION("""COMPUTED_VALUE"""),"Turma E")</f>
        <v/>
      </c>
      <c r="C28" s="34">
        <f>IFERROR(__xludf.DUMMYFUNCTION("""COMPUTED_VALUE"""),"Vespertino")</f>
        <v/>
      </c>
      <c r="D28" s="34" t="inlineStr">
        <is>
          <t>Veio</t>
        </is>
      </c>
      <c r="F28" s="59" t="n"/>
      <c r="G28" s="24" t="n"/>
      <c r="H28" s="24" t="n"/>
      <c r="I28" s="24" t="n"/>
    </row>
    <row r="29">
      <c r="A29" s="34">
        <f>IFERROR(__xludf.DUMMYFUNCTION("""COMPUTED_VALUE"""),"CLAUDIA GABRIELY CAMARGO MOREIRA")</f>
        <v/>
      </c>
      <c r="B29" s="34">
        <f>IFERROR(__xludf.DUMMYFUNCTION("""COMPUTED_VALUE"""),"Turma D")</f>
        <v/>
      </c>
      <c r="C29" s="34">
        <f>IFERROR(__xludf.DUMMYFUNCTION("""COMPUTED_VALUE"""),"Matutino")</f>
        <v/>
      </c>
      <c r="D29" s="34" t="inlineStr">
        <is>
          <t>Veio</t>
        </is>
      </c>
      <c r="F29" s="59" t="n"/>
      <c r="G29" s="24" t="n"/>
      <c r="H29" s="24" t="n"/>
      <c r="I29" s="24" t="n"/>
    </row>
    <row r="30">
      <c r="A30" s="34">
        <f>IFERROR(__xludf.DUMMYFUNCTION("""COMPUTED_VALUE"""),"Daffiny De Jesus Silva")</f>
        <v/>
      </c>
      <c r="B30" s="34">
        <f>IFERROR(__xludf.DUMMYFUNCTION("""COMPUTED_VALUE"""),"Turma A")</f>
        <v/>
      </c>
      <c r="C30" s="34">
        <f>IFERROR(__xludf.DUMMYFUNCTION("""COMPUTED_VALUE"""),"Matutino")</f>
        <v/>
      </c>
      <c r="D30" s="34" t="inlineStr">
        <is>
          <t>Veio</t>
        </is>
      </c>
      <c r="F30" s="59" t="n"/>
      <c r="G30" s="24" t="n"/>
      <c r="H30" s="24" t="n"/>
      <c r="I30" s="24" t="n"/>
    </row>
    <row r="31">
      <c r="A31" s="34">
        <f>IFERROR(__xludf.DUMMYFUNCTION("""COMPUTED_VALUE"""),"DANIEL VIEIRA MARTINS")</f>
        <v/>
      </c>
      <c r="B31" s="34">
        <f>IFERROR(__xludf.DUMMYFUNCTION("""COMPUTED_VALUE"""),"Turma B1")</f>
        <v/>
      </c>
      <c r="C31" s="34">
        <f>IFERROR(__xludf.DUMMYFUNCTION("""COMPUTED_VALUE"""),"Matutino")</f>
        <v/>
      </c>
      <c r="D31" s="34" t="inlineStr">
        <is>
          <t>Veio</t>
        </is>
      </c>
      <c r="F31" s="59" t="n"/>
      <c r="G31" s="24" t="n"/>
      <c r="H31" s="24" t="n"/>
      <c r="I31" s="24" t="n"/>
    </row>
    <row r="32">
      <c r="A32" s="34">
        <f>IFERROR(__xludf.DUMMYFUNCTION("""COMPUTED_VALUE"""),"DAVI LORENZO BARBOSA MOREIRA")</f>
        <v/>
      </c>
      <c r="B32" s="34">
        <f>IFERROR(__xludf.DUMMYFUNCTION("""COMPUTED_VALUE"""),"Turma C")</f>
        <v/>
      </c>
      <c r="C32" s="34">
        <f>IFERROR(__xludf.DUMMYFUNCTION("""COMPUTED_VALUE"""),"Vespertino")</f>
        <v/>
      </c>
      <c r="D32" s="34" t="inlineStr">
        <is>
          <t>Veio</t>
        </is>
      </c>
      <c r="F32" s="59" t="n"/>
      <c r="G32" s="24" t="n"/>
      <c r="H32" s="24" t="n"/>
      <c r="I32" s="24" t="n"/>
    </row>
    <row r="33">
      <c r="A33" s="34">
        <f>IFERROR(__xludf.DUMMYFUNCTION("""COMPUTED_VALUE"""),"DAVI LUCAS ALVES DE SOUZA")</f>
        <v/>
      </c>
      <c r="B33" s="34">
        <f>IFERROR(__xludf.DUMMYFUNCTION("""COMPUTED_VALUE"""),"Turma B1")</f>
        <v/>
      </c>
      <c r="C33" s="34">
        <f>IFERROR(__xludf.DUMMYFUNCTION("""COMPUTED_VALUE"""),"Matutino")</f>
        <v/>
      </c>
      <c r="D33" s="34" t="inlineStr">
        <is>
          <t>Veio</t>
        </is>
      </c>
      <c r="G33" s="24" t="n"/>
      <c r="H33" s="24" t="n"/>
      <c r="I33" s="24" t="n"/>
    </row>
    <row r="34">
      <c r="A34" s="34">
        <f>IFERROR(__xludf.DUMMYFUNCTION("""COMPUTED_VALUE"""),"DAVI LUCAS DE LIMA TRINDADE")</f>
        <v/>
      </c>
      <c r="B34" s="34">
        <f>IFERROR(__xludf.DUMMYFUNCTION("""COMPUTED_VALUE"""),"Turma C")</f>
        <v/>
      </c>
      <c r="C34" s="34">
        <f>IFERROR(__xludf.DUMMYFUNCTION("""COMPUTED_VALUE"""),"Vespertino")</f>
        <v/>
      </c>
      <c r="D34" s="34" t="inlineStr">
        <is>
          <t>Não Veio</t>
        </is>
      </c>
      <c r="G34" s="24" t="n"/>
      <c r="H34" s="24" t="n"/>
      <c r="I34" s="24" t="n"/>
    </row>
    <row r="35">
      <c r="A35" s="34">
        <f>IFERROR(__xludf.DUMMYFUNCTION("""COMPUTED_VALUE"""),"David William Pimenta Menezes")</f>
        <v/>
      </c>
      <c r="B35" s="34">
        <f>IFERROR(__xludf.DUMMYFUNCTION("""COMPUTED_VALUE"""),"Turma D")</f>
        <v/>
      </c>
      <c r="C35" s="34">
        <f>IFERROR(__xludf.DUMMYFUNCTION("""COMPUTED_VALUE"""),"Vespertino")</f>
        <v/>
      </c>
      <c r="D35" s="34" t="inlineStr">
        <is>
          <t>Veio</t>
        </is>
      </c>
      <c r="G35" s="24" t="n"/>
      <c r="H35" s="24" t="n"/>
      <c r="I35" s="24" t="n"/>
    </row>
    <row r="36">
      <c r="A36" s="34">
        <f>IFERROR(__xludf.DUMMYFUNCTION("""COMPUTED_VALUE"""),"DAVY CAMPOS BARROS")</f>
        <v/>
      </c>
      <c r="B36" s="34">
        <f>IFERROR(__xludf.DUMMYFUNCTION("""COMPUTED_VALUE"""),"Turma A")</f>
        <v/>
      </c>
      <c r="C36" s="34">
        <f>IFERROR(__xludf.DUMMYFUNCTION("""COMPUTED_VALUE"""),"Vespertino")</f>
        <v/>
      </c>
      <c r="D36" s="34" t="inlineStr">
        <is>
          <t>Veio</t>
        </is>
      </c>
      <c r="G36" s="24" t="n"/>
      <c r="H36" s="24" t="n"/>
      <c r="I36" s="24" t="n"/>
    </row>
    <row r="37">
      <c r="A37" s="34">
        <f>IFERROR(__xludf.DUMMYFUNCTION("""COMPUTED_VALUE"""),"DAVY THAYLOM OLIVEIRA DOS SANTOS")</f>
        <v/>
      </c>
      <c r="B37" s="34">
        <f>IFERROR(__xludf.DUMMYFUNCTION("""COMPUTED_VALUE"""),"Turma A")</f>
        <v/>
      </c>
      <c r="C37" s="34">
        <f>IFERROR(__xludf.DUMMYFUNCTION("""COMPUTED_VALUE"""),"Vespertino")</f>
        <v/>
      </c>
      <c r="D37" s="34" t="inlineStr">
        <is>
          <t>Veio</t>
        </is>
      </c>
      <c r="G37" s="24" t="n"/>
      <c r="H37" s="24" t="n"/>
      <c r="I37" s="24" t="n"/>
    </row>
    <row r="38">
      <c r="A38" s="34">
        <f>IFERROR(__xludf.DUMMYFUNCTION("""COMPUTED_VALUE"""),"DERIK PEREIRA VIANA")</f>
        <v/>
      </c>
      <c r="B38" s="34">
        <f>IFERROR(__xludf.DUMMYFUNCTION("""COMPUTED_VALUE"""),"Turma B2")</f>
        <v/>
      </c>
      <c r="C38" s="34">
        <f>IFERROR(__xludf.DUMMYFUNCTION("""COMPUTED_VALUE"""),"Vespertino")</f>
        <v/>
      </c>
      <c r="D38" s="34" t="inlineStr">
        <is>
          <t>Veio</t>
        </is>
      </c>
      <c r="G38" s="24" t="n"/>
      <c r="H38" s="24" t="n"/>
      <c r="I38" s="24" t="n"/>
    </row>
    <row r="39">
      <c r="A39" s="34">
        <f>IFERROR(__xludf.DUMMYFUNCTION("""COMPUTED_VALUE"""),"DIEGO MARQUES SOUZA DA SILVA")</f>
        <v/>
      </c>
      <c r="B39" s="34">
        <f>IFERROR(__xludf.DUMMYFUNCTION("""COMPUTED_VALUE"""),"Turma E")</f>
        <v/>
      </c>
      <c r="C39" s="34">
        <f>IFERROR(__xludf.DUMMYFUNCTION("""COMPUTED_VALUE"""),"Matutino")</f>
        <v/>
      </c>
      <c r="D39" s="34" t="inlineStr">
        <is>
          <t>Não Veio</t>
        </is>
      </c>
      <c r="G39" s="24" t="n"/>
      <c r="H39" s="24" t="n"/>
      <c r="I39" s="24" t="n"/>
    </row>
    <row r="40">
      <c r="A40" s="34">
        <f>IFERROR(__xludf.DUMMYFUNCTION("""COMPUTED_VALUE"""),"DIEGO RENAN OLIVEIRA DA SILVA")</f>
        <v/>
      </c>
      <c r="B40" s="34">
        <f>IFERROR(__xludf.DUMMYFUNCTION("""COMPUTED_VALUE"""),"Turma E")</f>
        <v/>
      </c>
      <c r="C40" s="34">
        <f>IFERROR(__xludf.DUMMYFUNCTION("""COMPUTED_VALUE"""),"Vespertino")</f>
        <v/>
      </c>
      <c r="D40" s="34" t="inlineStr">
        <is>
          <t>Veio</t>
        </is>
      </c>
      <c r="G40" s="24" t="n"/>
      <c r="H40" s="24" t="n"/>
      <c r="I40" s="24" t="n"/>
    </row>
    <row r="41">
      <c r="A41" s="34">
        <f>IFERROR(__xludf.DUMMYFUNCTION("""COMPUTED_VALUE"""),"ELIZEU MURILO JATOBÁ TRINDADE")</f>
        <v/>
      </c>
      <c r="B41" s="34">
        <f>IFERROR(__xludf.DUMMYFUNCTION("""COMPUTED_VALUE"""),"Turma B2")</f>
        <v/>
      </c>
      <c r="C41" s="34">
        <f>IFERROR(__xludf.DUMMYFUNCTION("""COMPUTED_VALUE"""),"Vespertino")</f>
        <v/>
      </c>
      <c r="D41" s="34" t="inlineStr">
        <is>
          <t>Veio</t>
        </is>
      </c>
      <c r="G41" s="24" t="n"/>
      <c r="H41" s="24" t="n"/>
      <c r="I41" s="24" t="n"/>
    </row>
    <row r="42">
      <c r="A42" s="34">
        <f>IFERROR(__xludf.DUMMYFUNCTION("""COMPUTED_VALUE"""),"EMANIELLY VITÓRIA PORTUGAL DE ALMEIDA")</f>
        <v/>
      </c>
      <c r="B42" s="34">
        <f>IFERROR(__xludf.DUMMYFUNCTION("""COMPUTED_VALUE"""),"Turma C")</f>
        <v/>
      </c>
      <c r="C42" s="34">
        <f>IFERROR(__xludf.DUMMYFUNCTION("""COMPUTED_VALUE"""),"Vespertino")</f>
        <v/>
      </c>
      <c r="D42" s="34" t="inlineStr">
        <is>
          <t>Veio</t>
        </is>
      </c>
      <c r="G42" s="24" t="n"/>
      <c r="H42" s="24" t="n"/>
      <c r="I42" s="24" t="n"/>
    </row>
    <row r="43">
      <c r="A43" s="34">
        <f>IFERROR(__xludf.DUMMYFUNCTION("""COMPUTED_VALUE"""),"EMANUELLY DA SILVA SANTOS")</f>
        <v/>
      </c>
      <c r="B43" s="34">
        <f>IFERROR(__xludf.DUMMYFUNCTION("""COMPUTED_VALUE"""),"Turma B1")</f>
        <v/>
      </c>
      <c r="C43" s="34">
        <f>IFERROR(__xludf.DUMMYFUNCTION("""COMPUTED_VALUE"""),"Matutino")</f>
        <v/>
      </c>
      <c r="D43" s="34" t="inlineStr">
        <is>
          <t>Veio</t>
        </is>
      </c>
      <c r="G43" s="24" t="n"/>
      <c r="H43" s="24" t="n"/>
      <c r="I43" s="24" t="n"/>
    </row>
    <row r="44">
      <c r="A44" s="34">
        <f>IFERROR(__xludf.DUMMYFUNCTION("""COMPUTED_VALUE"""),"EMANUELY VITORIA BRITO DOS SANTOS")</f>
        <v/>
      </c>
      <c r="B44" s="34">
        <f>IFERROR(__xludf.DUMMYFUNCTION("""COMPUTED_VALUE"""),"Turma A")</f>
        <v/>
      </c>
      <c r="C44" s="34">
        <f>IFERROR(__xludf.DUMMYFUNCTION("""COMPUTED_VALUE"""),"Vespertino")</f>
        <v/>
      </c>
      <c r="D44" s="34" t="inlineStr">
        <is>
          <t>Não Veio</t>
        </is>
      </c>
      <c r="G44" s="24" t="n"/>
      <c r="H44" s="24" t="n"/>
      <c r="I44" s="24" t="n"/>
    </row>
    <row r="45">
      <c r="A45" s="34">
        <f>IFERROR(__xludf.DUMMYFUNCTION("""COMPUTED_VALUE"""),"EMILLY VICTÓRIA DO NASCIMENTO BEZERRA")</f>
        <v/>
      </c>
      <c r="B45" s="34">
        <f>IFERROR(__xludf.DUMMYFUNCTION("""COMPUTED_VALUE"""),"Turma B2")</f>
        <v/>
      </c>
      <c r="C45" s="34">
        <f>IFERROR(__xludf.DUMMYFUNCTION("""COMPUTED_VALUE"""),"Vespertino")</f>
        <v/>
      </c>
      <c r="D45" s="34" t="inlineStr">
        <is>
          <t>Veio</t>
        </is>
      </c>
      <c r="G45" s="24" t="n"/>
      <c r="H45" s="24" t="n"/>
      <c r="I45" s="24" t="n"/>
    </row>
    <row r="46">
      <c r="A46" s="34">
        <f>IFERROR(__xludf.DUMMYFUNCTION("""COMPUTED_VALUE"""),"EMILY VITÓRIA DA SILVA SANTOS")</f>
        <v/>
      </c>
      <c r="B46" s="34">
        <f>IFERROR(__xludf.DUMMYFUNCTION("""COMPUTED_VALUE"""),"Turma GR")</f>
        <v/>
      </c>
      <c r="C46" s="34">
        <f>IFERROR(__xludf.DUMMYFUNCTION("""COMPUTED_VALUE"""),"Vespertino")</f>
        <v/>
      </c>
      <c r="D46" s="34" t="inlineStr">
        <is>
          <t>Veio</t>
        </is>
      </c>
      <c r="G46" s="24" t="n"/>
      <c r="H46" s="24" t="n"/>
      <c r="I46" s="24" t="n"/>
    </row>
    <row r="47">
      <c r="A47" s="34">
        <f>IFERROR(__xludf.DUMMYFUNCTION("""COMPUTED_VALUE"""),"ENZO GABRIEL ALVES RIBEIRO")</f>
        <v/>
      </c>
      <c r="B47" s="34">
        <f>IFERROR(__xludf.DUMMYFUNCTION("""COMPUTED_VALUE"""),"Turma B1")</f>
        <v/>
      </c>
      <c r="C47" s="34">
        <f>IFERROR(__xludf.DUMMYFUNCTION("""COMPUTED_VALUE"""),"Matutino")</f>
        <v/>
      </c>
      <c r="D47" s="34" t="inlineStr">
        <is>
          <t>Veio</t>
        </is>
      </c>
      <c r="G47" s="24" t="n"/>
      <c r="H47" s="24" t="n"/>
      <c r="I47" s="24" t="n"/>
    </row>
    <row r="48">
      <c r="A48" s="34">
        <f>IFERROR(__xludf.DUMMYFUNCTION("""COMPUTED_VALUE"""),"ENZO GABRIEL BARBOZA DOS SANTOS")</f>
        <v/>
      </c>
      <c r="B48" s="34">
        <f>IFERROR(__xludf.DUMMYFUNCTION("""COMPUTED_VALUE"""),"Turma B2")</f>
        <v/>
      </c>
      <c r="C48" s="34">
        <f>IFERROR(__xludf.DUMMYFUNCTION("""COMPUTED_VALUE"""),"Matutino")</f>
        <v/>
      </c>
      <c r="D48" s="34" t="inlineStr">
        <is>
          <t>Veio</t>
        </is>
      </c>
      <c r="G48" s="24" t="n"/>
      <c r="H48" s="24" t="n"/>
      <c r="I48" s="24" t="n"/>
    </row>
    <row r="49">
      <c r="A49" s="34">
        <f>IFERROR(__xludf.DUMMYFUNCTION("""COMPUTED_VALUE"""),"ENZO GABRIEL FERREIRA DOS SANTOS")</f>
        <v/>
      </c>
      <c r="B49" s="34">
        <f>IFERROR(__xludf.DUMMYFUNCTION("""COMPUTED_VALUE"""),"Turma B2")</f>
        <v/>
      </c>
      <c r="C49" s="34">
        <f>IFERROR(__xludf.DUMMYFUNCTION("""COMPUTED_VALUE"""),"Vespertino")</f>
        <v/>
      </c>
      <c r="D49" s="34" t="inlineStr">
        <is>
          <t>Veio</t>
        </is>
      </c>
      <c r="G49" s="24" t="n"/>
      <c r="H49" s="24" t="n"/>
      <c r="I49" s="24" t="n"/>
    </row>
    <row r="50">
      <c r="A50" s="34">
        <f>IFERROR(__xludf.DUMMYFUNCTION("""COMPUTED_VALUE"""),"ERIK KAUAN DE SOUSA SILVA")</f>
        <v/>
      </c>
      <c r="B50" s="34">
        <f>IFERROR(__xludf.DUMMYFUNCTION("""COMPUTED_VALUE"""),"Turma B1")</f>
        <v/>
      </c>
      <c r="C50" s="34">
        <f>IFERROR(__xludf.DUMMYFUNCTION("""COMPUTED_VALUE"""),"Matutino")</f>
        <v/>
      </c>
      <c r="D50" s="34" t="inlineStr">
        <is>
          <t>Veio</t>
        </is>
      </c>
      <c r="G50" s="24" t="n"/>
      <c r="H50" s="24" t="n"/>
      <c r="I50" s="24" t="n"/>
    </row>
    <row r="51">
      <c r="A51" s="34">
        <f>IFERROR(__xludf.DUMMYFUNCTION("""COMPUTED_VALUE"""),"EROS PINHEIRO")</f>
        <v/>
      </c>
      <c r="B51" s="34">
        <f>IFERROR(__xludf.DUMMYFUNCTION("""COMPUTED_VALUE"""),"Turma GR")</f>
        <v/>
      </c>
      <c r="C51" s="34">
        <f>IFERROR(__xludf.DUMMYFUNCTION("""COMPUTED_VALUE"""),"Vespertino")</f>
        <v/>
      </c>
      <c r="D51" s="34" t="inlineStr">
        <is>
          <t>Veio</t>
        </is>
      </c>
      <c r="G51" s="24" t="n"/>
      <c r="H51" s="24" t="n"/>
      <c r="I51" s="24" t="n"/>
    </row>
    <row r="52">
      <c r="A52" s="34">
        <f>IFERROR(__xludf.DUMMYFUNCTION("""COMPUTED_VALUE"""),"Estela Martins Lopes")</f>
        <v/>
      </c>
      <c r="B52" s="34">
        <f>IFERROR(__xludf.DUMMYFUNCTION("""COMPUTED_VALUE"""),"Turma A")</f>
        <v/>
      </c>
      <c r="C52" s="34">
        <f>IFERROR(__xludf.DUMMYFUNCTION("""COMPUTED_VALUE"""),"Matutino")</f>
        <v/>
      </c>
      <c r="D52" s="34" t="inlineStr">
        <is>
          <t>Veio</t>
        </is>
      </c>
      <c r="G52" s="24" t="n"/>
      <c r="H52" s="24" t="n"/>
      <c r="I52" s="24" t="n"/>
    </row>
    <row r="53">
      <c r="A53" s="34">
        <f>IFERROR(__xludf.DUMMYFUNCTION("""COMPUTED_VALUE"""),"ESTEPHANIE ISADORA SALES ROQUE")</f>
        <v/>
      </c>
      <c r="B53" s="34">
        <f>IFERROR(__xludf.DUMMYFUNCTION("""COMPUTED_VALUE"""),"Turma GR")</f>
        <v/>
      </c>
      <c r="C53" s="34">
        <f>IFERROR(__xludf.DUMMYFUNCTION("""COMPUTED_VALUE"""),"Vespertino")</f>
        <v/>
      </c>
      <c r="D53" s="34" t="inlineStr">
        <is>
          <t>Veio</t>
        </is>
      </c>
      <c r="G53" s="24" t="n"/>
      <c r="H53" s="24" t="n"/>
      <c r="I53" s="24" t="n"/>
    </row>
    <row r="54">
      <c r="A54" s="34">
        <f>IFERROR(__xludf.DUMMYFUNCTION("""COMPUTED_VALUE"""),"ESTHER PROCOPIO DA SILVA")</f>
        <v/>
      </c>
      <c r="B54" s="34">
        <f>IFERROR(__xludf.DUMMYFUNCTION("""COMPUTED_VALUE"""),"Turma GR")</f>
        <v/>
      </c>
      <c r="C54" s="34">
        <f>IFERROR(__xludf.DUMMYFUNCTION("""COMPUTED_VALUE"""),"Vespertino")</f>
        <v/>
      </c>
      <c r="D54" s="34" t="inlineStr">
        <is>
          <t>Veio</t>
        </is>
      </c>
      <c r="G54" s="24" t="n"/>
      <c r="H54" s="24" t="n"/>
      <c r="I54" s="24" t="n"/>
    </row>
    <row r="55">
      <c r="A55" s="34">
        <f>IFERROR(__xludf.DUMMYFUNCTION("""COMPUTED_VALUE"""),"Fabrícia Lopes Dos Santos")</f>
        <v/>
      </c>
      <c r="B55" s="34">
        <f>IFERROR(__xludf.DUMMYFUNCTION("""COMPUTED_VALUE"""),"Turma A")</f>
        <v/>
      </c>
      <c r="C55" s="34">
        <f>IFERROR(__xludf.DUMMYFUNCTION("""COMPUTED_VALUE"""),"Matutino")</f>
        <v/>
      </c>
      <c r="D55" s="34" t="inlineStr">
        <is>
          <t>Veio</t>
        </is>
      </c>
      <c r="G55" s="24" t="n"/>
      <c r="H55" s="24" t="n"/>
      <c r="I55" s="24" t="n"/>
    </row>
    <row r="56">
      <c r="A56" s="34">
        <f>IFERROR(__xludf.DUMMYFUNCTION("""COMPUTED_VALUE"""),"FELIPE LUAN DELGADO DOS SANTOS")</f>
        <v/>
      </c>
      <c r="B56" s="34">
        <f>IFERROR(__xludf.DUMMYFUNCTION("""COMPUTED_VALUE"""),"Turma C")</f>
        <v/>
      </c>
      <c r="C56" s="34">
        <f>IFERROR(__xludf.DUMMYFUNCTION("""COMPUTED_VALUE"""),"Vespertino")</f>
        <v/>
      </c>
      <c r="D56" s="34" t="inlineStr">
        <is>
          <t>Veio</t>
        </is>
      </c>
      <c r="G56" s="24" t="n"/>
      <c r="H56" s="24" t="n"/>
      <c r="I56" s="24" t="n"/>
    </row>
    <row r="57">
      <c r="A57" s="34">
        <f>IFERROR(__xludf.DUMMYFUNCTION("""COMPUTED_VALUE"""),"GABRIEL SOUZA BRAZ")</f>
        <v/>
      </c>
      <c r="B57" s="34">
        <f>IFERROR(__xludf.DUMMYFUNCTION("""COMPUTED_VALUE"""),"Turma B1")</f>
        <v/>
      </c>
      <c r="C57" s="34">
        <f>IFERROR(__xludf.DUMMYFUNCTION("""COMPUTED_VALUE"""),"Matutino")</f>
        <v/>
      </c>
      <c r="D57" s="34" t="inlineStr">
        <is>
          <t>Veio</t>
        </is>
      </c>
      <c r="G57" s="24" t="n"/>
      <c r="H57" s="24" t="n"/>
      <c r="I57" s="24" t="n"/>
    </row>
    <row r="58">
      <c r="A58" s="34">
        <f>IFERROR(__xludf.DUMMYFUNCTION("""COMPUTED_VALUE"""),"GLENDA TAWANY RODRIGUES ALVES")</f>
        <v/>
      </c>
      <c r="B58" s="34">
        <f>IFERROR(__xludf.DUMMYFUNCTION("""COMPUTED_VALUE"""),"Turma E")</f>
        <v/>
      </c>
      <c r="C58" s="34">
        <f>IFERROR(__xludf.DUMMYFUNCTION("""COMPUTED_VALUE"""),"Matutino")</f>
        <v/>
      </c>
      <c r="D58" s="34" t="inlineStr">
        <is>
          <t>Veio</t>
        </is>
      </c>
      <c r="G58" s="24" t="n"/>
      <c r="H58" s="24" t="n"/>
      <c r="I58" s="24" t="n"/>
    </row>
    <row r="59">
      <c r="A59" s="34">
        <f>IFERROR(__xludf.DUMMYFUNCTION("""COMPUTED_VALUE"""),"GUILHERME DE ANDRADE ZENZI")</f>
        <v/>
      </c>
      <c r="B59" s="34">
        <f>IFERROR(__xludf.DUMMYFUNCTION("""COMPUTED_VALUE"""),"Turma E")</f>
        <v/>
      </c>
      <c r="C59" s="34">
        <f>IFERROR(__xludf.DUMMYFUNCTION("""COMPUTED_VALUE"""),"Vespertino")</f>
        <v/>
      </c>
      <c r="D59" s="34" t="inlineStr">
        <is>
          <t>Veio</t>
        </is>
      </c>
      <c r="G59" s="24" t="n"/>
      <c r="H59" s="24" t="n"/>
      <c r="I59" s="24" t="n"/>
    </row>
    <row r="60">
      <c r="A60" s="34">
        <f>IFERROR(__xludf.DUMMYFUNCTION("""COMPUTED_VALUE"""),"GUSTAVO GALVÃO DE JESUS")</f>
        <v/>
      </c>
      <c r="B60" s="34">
        <f>IFERROR(__xludf.DUMMYFUNCTION("""COMPUTED_VALUE"""),"Turma D")</f>
        <v/>
      </c>
      <c r="C60" s="34">
        <f>IFERROR(__xludf.DUMMYFUNCTION("""COMPUTED_VALUE"""),"Matutino")</f>
        <v/>
      </c>
      <c r="D60" s="34" t="inlineStr">
        <is>
          <t>Veio</t>
        </is>
      </c>
      <c r="G60" s="24" t="n"/>
      <c r="H60" s="24" t="n"/>
      <c r="I60" s="24" t="n"/>
    </row>
    <row r="61">
      <c r="A61" s="34">
        <f>IFERROR(__xludf.DUMMYFUNCTION("""COMPUTED_VALUE"""),"Heitor Miguel Barbosa De Melo Ferreira")</f>
        <v/>
      </c>
      <c r="B61" s="34">
        <f>IFERROR(__xludf.DUMMYFUNCTION("""COMPUTED_VALUE"""),"Turma C")</f>
        <v/>
      </c>
      <c r="C61" s="34">
        <f>IFERROR(__xludf.DUMMYFUNCTION("""COMPUTED_VALUE"""),"Matutino")</f>
        <v/>
      </c>
      <c r="D61" s="34" t="inlineStr">
        <is>
          <t>Veio</t>
        </is>
      </c>
      <c r="G61" s="24" t="n"/>
      <c r="H61" s="24" t="n"/>
      <c r="I61" s="24" t="n"/>
    </row>
    <row r="62">
      <c r="A62" s="34">
        <f>IFERROR(__xludf.DUMMYFUNCTION("""COMPUTED_VALUE"""),"HELLOARA SANTOS DE LIMA")</f>
        <v/>
      </c>
      <c r="B62" s="34">
        <f>IFERROR(__xludf.DUMMYFUNCTION("""COMPUTED_VALUE"""),"Turma B2")</f>
        <v/>
      </c>
      <c r="C62" s="34">
        <f>IFERROR(__xludf.DUMMYFUNCTION("""COMPUTED_VALUE"""),"Matutino")</f>
        <v/>
      </c>
      <c r="D62" s="34" t="inlineStr">
        <is>
          <t>Veio</t>
        </is>
      </c>
      <c r="G62" s="24" t="n"/>
      <c r="H62" s="24" t="n"/>
      <c r="I62" s="24" t="n"/>
    </row>
    <row r="63">
      <c r="A63" s="34">
        <f>IFERROR(__xludf.DUMMYFUNCTION("""COMPUTED_VALUE"""),"HELOISE VITÓRIA ALVES DE SOUZA")</f>
        <v/>
      </c>
      <c r="B63" s="34">
        <f>IFERROR(__xludf.DUMMYFUNCTION("""COMPUTED_VALUE"""),"Turma E")</f>
        <v/>
      </c>
      <c r="C63" s="34">
        <f>IFERROR(__xludf.DUMMYFUNCTION("""COMPUTED_VALUE"""),"Matutino")</f>
        <v/>
      </c>
      <c r="D63" s="34" t="inlineStr">
        <is>
          <t>Veio</t>
        </is>
      </c>
      <c r="G63" s="24" t="n"/>
      <c r="H63" s="24" t="n"/>
      <c r="I63" s="24" t="n"/>
    </row>
    <row r="64">
      <c r="A64" s="34">
        <f>IFERROR(__xludf.DUMMYFUNCTION("""COMPUTED_VALUE"""),"HELOYSA FERNANDA ALVARENGA DOS SANTOS")</f>
        <v/>
      </c>
      <c r="B64" s="34">
        <f>IFERROR(__xludf.DUMMYFUNCTION("""COMPUTED_VALUE"""),"Turma B1")</f>
        <v/>
      </c>
      <c r="C64" s="34">
        <f>IFERROR(__xludf.DUMMYFUNCTION("""COMPUTED_VALUE"""),"Vespertino")</f>
        <v/>
      </c>
      <c r="D64" s="34" t="inlineStr">
        <is>
          <t>Veio</t>
        </is>
      </c>
      <c r="G64" s="24" t="n"/>
      <c r="H64" s="24" t="n"/>
      <c r="I64" s="24" t="n"/>
    </row>
    <row r="65">
      <c r="A65" s="34">
        <f>IFERROR(__xludf.DUMMYFUNCTION("""COMPUTED_VALUE"""),"Henrique Rocha Almeida")</f>
        <v/>
      </c>
      <c r="B65" s="34">
        <f>IFERROR(__xludf.DUMMYFUNCTION("""COMPUTED_VALUE"""),"Turma D")</f>
        <v/>
      </c>
      <c r="C65" s="34">
        <f>IFERROR(__xludf.DUMMYFUNCTION("""COMPUTED_VALUE"""),"Vespertino")</f>
        <v/>
      </c>
      <c r="D65" s="34" t="inlineStr">
        <is>
          <t>Veio</t>
        </is>
      </c>
      <c r="G65" s="24" t="n"/>
      <c r="H65" s="24" t="n"/>
      <c r="I65" s="24" t="n"/>
    </row>
    <row r="66">
      <c r="A66" s="34">
        <f>IFERROR(__xludf.DUMMYFUNCTION("""COMPUTED_VALUE"""),"Higor Santiago Castro Farfan")</f>
        <v/>
      </c>
      <c r="B66" s="34">
        <f>IFERROR(__xludf.DUMMYFUNCTION("""COMPUTED_VALUE"""),"Turma GR")</f>
        <v/>
      </c>
      <c r="C66" s="34">
        <f>IFERROR(__xludf.DUMMYFUNCTION("""COMPUTED_VALUE"""),"Vespertino")</f>
        <v/>
      </c>
      <c r="D66" s="34" t="inlineStr">
        <is>
          <t>Veio</t>
        </is>
      </c>
      <c r="G66" s="24" t="n"/>
      <c r="H66" s="24" t="n"/>
      <c r="I66" s="24" t="n"/>
    </row>
    <row r="67">
      <c r="A67" s="34">
        <f>IFERROR(__xludf.DUMMYFUNCTION("""COMPUTED_VALUE"""),"HIURY QUENUPE DE OLIVEIRA")</f>
        <v/>
      </c>
      <c r="B67" s="34">
        <f>IFERROR(__xludf.DUMMYFUNCTION("""COMPUTED_VALUE"""),"Turma E")</f>
        <v/>
      </c>
      <c r="C67" s="34">
        <f>IFERROR(__xludf.DUMMYFUNCTION("""COMPUTED_VALUE"""),"Matutino")</f>
        <v/>
      </c>
      <c r="D67" s="34" t="inlineStr">
        <is>
          <t>Veio</t>
        </is>
      </c>
      <c r="G67" s="24" t="n"/>
      <c r="H67" s="24" t="n"/>
      <c r="I67" s="24" t="n"/>
    </row>
    <row r="68">
      <c r="A68" s="34">
        <f>IFERROR(__xludf.DUMMYFUNCTION("""COMPUTED_VALUE"""),"IARA YASMIN FERREIRA IZEL")</f>
        <v/>
      </c>
      <c r="B68" s="34">
        <f>IFERROR(__xludf.DUMMYFUNCTION("""COMPUTED_VALUE"""),"Turma B1")</f>
        <v/>
      </c>
      <c r="C68" s="34">
        <f>IFERROR(__xludf.DUMMYFUNCTION("""COMPUTED_VALUE"""),"Vespertino")</f>
        <v/>
      </c>
      <c r="D68" s="34" t="inlineStr">
        <is>
          <t>Veio</t>
        </is>
      </c>
      <c r="G68" s="24" t="n"/>
      <c r="H68" s="24" t="n"/>
      <c r="I68" s="24" t="n"/>
    </row>
    <row r="69">
      <c r="A69" s="34">
        <f>IFERROR(__xludf.DUMMYFUNCTION("""COMPUTED_VALUE"""),"ISABELLA MARA RODRIGUES SILVA")</f>
        <v/>
      </c>
      <c r="B69" s="34">
        <f>IFERROR(__xludf.DUMMYFUNCTION("""COMPUTED_VALUE"""),"Turma C")</f>
        <v/>
      </c>
      <c r="C69" s="34">
        <f>IFERROR(__xludf.DUMMYFUNCTION("""COMPUTED_VALUE"""),"Vespertino")</f>
        <v/>
      </c>
      <c r="D69" s="34" t="inlineStr">
        <is>
          <t>Veio</t>
        </is>
      </c>
      <c r="G69" s="24" t="n"/>
      <c r="H69" s="24" t="n"/>
      <c r="I69" s="24" t="n"/>
    </row>
    <row r="70">
      <c r="A70" s="34">
        <f>IFERROR(__xludf.DUMMYFUNCTION("""COMPUTED_VALUE"""),"ISABELLA MIRANDA DA SILVA")</f>
        <v/>
      </c>
      <c r="B70" s="34">
        <f>IFERROR(__xludf.DUMMYFUNCTION("""COMPUTED_VALUE"""),"Turma B1")</f>
        <v/>
      </c>
      <c r="C70" s="34">
        <f>IFERROR(__xludf.DUMMYFUNCTION("""COMPUTED_VALUE"""),"Vespertino")</f>
        <v/>
      </c>
      <c r="D70" s="34" t="inlineStr">
        <is>
          <t>Veio</t>
        </is>
      </c>
      <c r="G70" s="24" t="n"/>
      <c r="H70" s="24" t="n"/>
      <c r="I70" s="24" t="n"/>
    </row>
    <row r="71">
      <c r="A71" s="34">
        <f>IFERROR(__xludf.DUMMYFUNCTION("""COMPUTED_VALUE"""),"ISIS EDUARDA ALMEIDA MOITINHO")</f>
        <v/>
      </c>
      <c r="B71" s="34">
        <f>IFERROR(__xludf.DUMMYFUNCTION("""COMPUTED_VALUE"""),"Turma A")</f>
        <v/>
      </c>
      <c r="C71" s="34">
        <f>IFERROR(__xludf.DUMMYFUNCTION("""COMPUTED_VALUE"""),"Vespertino")</f>
        <v/>
      </c>
      <c r="D71" s="34" t="inlineStr">
        <is>
          <t>Veio</t>
        </is>
      </c>
      <c r="G71" s="24" t="n"/>
      <c r="H71" s="24" t="n"/>
      <c r="I71" s="24" t="n"/>
    </row>
    <row r="72">
      <c r="A72" s="34">
        <f>IFERROR(__xludf.DUMMYFUNCTION("""COMPUTED_VALUE"""),"Izaque Henrique Verdan Francisco")</f>
        <v/>
      </c>
      <c r="B72" s="34">
        <f>IFERROR(__xludf.DUMMYFUNCTION("""COMPUTED_VALUE"""),"Turma A")</f>
        <v/>
      </c>
      <c r="C72" s="34">
        <f>IFERROR(__xludf.DUMMYFUNCTION("""COMPUTED_VALUE"""),"Matutino")</f>
        <v/>
      </c>
      <c r="D72" s="34" t="inlineStr">
        <is>
          <t>Veio</t>
        </is>
      </c>
      <c r="G72" s="24" t="n"/>
      <c r="H72" s="24" t="n"/>
      <c r="I72" s="24" t="n"/>
    </row>
    <row r="73">
      <c r="A73" s="34">
        <f>IFERROR(__xludf.DUMMYFUNCTION("""COMPUTED_VALUE"""),"JANAÍNA ARRUDA BONIN")</f>
        <v/>
      </c>
      <c r="B73" s="34">
        <f>IFERROR(__xludf.DUMMYFUNCTION("""COMPUTED_VALUE"""),"Turma B2")</f>
        <v/>
      </c>
      <c r="C73" s="34">
        <f>IFERROR(__xludf.DUMMYFUNCTION("""COMPUTED_VALUE"""),"Matutino")</f>
        <v/>
      </c>
      <c r="D73" s="34" t="inlineStr">
        <is>
          <t>Veio</t>
        </is>
      </c>
      <c r="G73" s="24" t="n"/>
      <c r="H73" s="24" t="n"/>
      <c r="I73" s="24" t="n"/>
    </row>
    <row r="74">
      <c r="A74" s="34">
        <f>IFERROR(__xludf.DUMMYFUNCTION("""COMPUTED_VALUE"""),"JOÃO PAULO LOPES PINHEIRO")</f>
        <v/>
      </c>
      <c r="B74" s="34">
        <f>IFERROR(__xludf.DUMMYFUNCTION("""COMPUTED_VALUE"""),"Turma B1")</f>
        <v/>
      </c>
      <c r="C74" s="34">
        <f>IFERROR(__xludf.DUMMYFUNCTION("""COMPUTED_VALUE"""),"Matutino")</f>
        <v/>
      </c>
      <c r="D74" s="34" t="inlineStr">
        <is>
          <t>Veio</t>
        </is>
      </c>
      <c r="G74" s="24" t="n"/>
      <c r="H74" s="24" t="n"/>
      <c r="I74" s="24" t="n"/>
    </row>
    <row r="75">
      <c r="A75" s="34">
        <f>IFERROR(__xludf.DUMMYFUNCTION("""COMPUTED_VALUE"""),"JOÃO PEDRO JESUS SOUZA")</f>
        <v/>
      </c>
      <c r="B75" s="34">
        <f>IFERROR(__xludf.DUMMYFUNCTION("""COMPUTED_VALUE"""),"Turma E")</f>
        <v/>
      </c>
      <c r="C75" s="34">
        <f>IFERROR(__xludf.DUMMYFUNCTION("""COMPUTED_VALUE"""),"Vespertino")</f>
        <v/>
      </c>
      <c r="D75" s="34" t="inlineStr">
        <is>
          <t>Veio</t>
        </is>
      </c>
      <c r="G75" s="24" t="n"/>
      <c r="H75" s="24" t="n"/>
      <c r="I75" s="24" t="n"/>
    </row>
    <row r="76">
      <c r="A76" s="34">
        <f>IFERROR(__xludf.DUMMYFUNCTION("""COMPUTED_VALUE"""),"JOÃO VICTOR CAETANO COELHO")</f>
        <v/>
      </c>
      <c r="B76" s="34">
        <f>IFERROR(__xludf.DUMMYFUNCTION("""COMPUTED_VALUE"""),"Turma E")</f>
        <v/>
      </c>
      <c r="C76" s="34">
        <f>IFERROR(__xludf.DUMMYFUNCTION("""COMPUTED_VALUE"""),"Matutino")</f>
        <v/>
      </c>
      <c r="D76" s="34" t="inlineStr">
        <is>
          <t>Veio</t>
        </is>
      </c>
      <c r="G76" s="24" t="n"/>
      <c r="H76" s="24" t="n"/>
      <c r="I76" s="24" t="n"/>
    </row>
    <row r="77">
      <c r="A77" s="34">
        <f>IFERROR(__xludf.DUMMYFUNCTION("""COMPUTED_VALUE"""),"JOÃO VITOR GODOY ARAÚJO")</f>
        <v/>
      </c>
      <c r="B77" s="34">
        <f>IFERROR(__xludf.DUMMYFUNCTION("""COMPUTED_VALUE"""),"Turma A")</f>
        <v/>
      </c>
      <c r="C77" s="34">
        <f>IFERROR(__xludf.DUMMYFUNCTION("""COMPUTED_VALUE"""),"Vespertino")</f>
        <v/>
      </c>
      <c r="D77" s="34" t="inlineStr">
        <is>
          <t>Não Veio</t>
        </is>
      </c>
      <c r="G77" s="24" t="n"/>
      <c r="H77" s="24" t="n"/>
      <c r="I77" s="24" t="n"/>
    </row>
    <row r="78">
      <c r="A78" s="34">
        <f>IFERROR(__xludf.DUMMYFUNCTION("""COMPUTED_VALUE"""),"Joaquim Miguel Silva Melo")</f>
        <v/>
      </c>
      <c r="B78" s="34">
        <f>IFERROR(__xludf.DUMMYFUNCTION("""COMPUTED_VALUE"""),"Turma C")</f>
        <v/>
      </c>
      <c r="C78" s="34">
        <f>IFERROR(__xludf.DUMMYFUNCTION("""COMPUTED_VALUE"""),"Matutino")</f>
        <v/>
      </c>
      <c r="D78" s="34" t="inlineStr">
        <is>
          <t>Veio</t>
        </is>
      </c>
      <c r="G78" s="24" t="n"/>
      <c r="H78" s="24" t="n"/>
      <c r="I78" s="24" t="n"/>
    </row>
    <row r="79">
      <c r="A79" s="34">
        <f>IFERROR(__xludf.DUMMYFUNCTION("""COMPUTED_VALUE"""),"JOSÉ GABRIEL NEVES OLIVEIRA")</f>
        <v/>
      </c>
      <c r="B79" s="34">
        <f>IFERROR(__xludf.DUMMYFUNCTION("""COMPUTED_VALUE"""),"Turma B2")</f>
        <v/>
      </c>
      <c r="C79" s="34">
        <f>IFERROR(__xludf.DUMMYFUNCTION("""COMPUTED_VALUE"""),"Vespertino")</f>
        <v/>
      </c>
      <c r="D79" s="34" t="inlineStr">
        <is>
          <t>Veio</t>
        </is>
      </c>
      <c r="G79" s="24" t="n"/>
      <c r="H79" s="24" t="n"/>
      <c r="I79" s="24" t="n"/>
    </row>
    <row r="80">
      <c r="A80" s="34">
        <f>IFERROR(__xludf.DUMMYFUNCTION("""COMPUTED_VALUE"""),"Jovana Victória Mendes De Macedo")</f>
        <v/>
      </c>
      <c r="B80" s="34">
        <f>IFERROR(__xludf.DUMMYFUNCTION("""COMPUTED_VALUE"""),"Turma C")</f>
        <v/>
      </c>
      <c r="C80" s="34">
        <f>IFERROR(__xludf.DUMMYFUNCTION("""COMPUTED_VALUE"""),"Matutino")</f>
        <v/>
      </c>
      <c r="D80" s="34" t="inlineStr">
        <is>
          <t>Veio</t>
        </is>
      </c>
      <c r="G80" s="24" t="n"/>
      <c r="H80" s="24" t="n"/>
      <c r="I80" s="24" t="n"/>
    </row>
    <row r="81">
      <c r="A81" s="34">
        <f>IFERROR(__xludf.DUMMYFUNCTION("""COMPUTED_VALUE"""),"Julia Emanuelly Lavratti Oliveira")</f>
        <v/>
      </c>
      <c r="B81" s="34">
        <f>IFERROR(__xludf.DUMMYFUNCTION("""COMPUTED_VALUE"""),"Turma A")</f>
        <v/>
      </c>
      <c r="C81" s="34">
        <f>IFERROR(__xludf.DUMMYFUNCTION("""COMPUTED_VALUE"""),"Matutino")</f>
        <v/>
      </c>
      <c r="D81" s="34" t="inlineStr">
        <is>
          <t>Veio</t>
        </is>
      </c>
      <c r="G81" s="24" t="n"/>
      <c r="H81" s="24" t="n"/>
      <c r="I81" s="24" t="n"/>
    </row>
    <row r="82">
      <c r="A82" s="34">
        <f>IFERROR(__xludf.DUMMYFUNCTION("""COMPUTED_VALUE"""),"JULIANO HENRIQUE GONÇALVES DA SILVA")</f>
        <v/>
      </c>
      <c r="B82" s="34">
        <f>IFERROR(__xludf.DUMMYFUNCTION("""COMPUTED_VALUE"""),"Turma B2")</f>
        <v/>
      </c>
      <c r="C82" s="34">
        <f>IFERROR(__xludf.DUMMYFUNCTION("""COMPUTED_VALUE"""),"Vespertino")</f>
        <v/>
      </c>
      <c r="D82" s="34" t="inlineStr">
        <is>
          <t>Veio</t>
        </is>
      </c>
      <c r="G82" s="24" t="n"/>
      <c r="H82" s="24" t="n"/>
      <c r="I82" s="24" t="n"/>
    </row>
    <row r="83">
      <c r="A83" s="34">
        <f>IFERROR(__xludf.DUMMYFUNCTION("""COMPUTED_VALUE"""),"Kamilly Alves De Souza")</f>
        <v/>
      </c>
      <c r="B83" s="34">
        <f>IFERROR(__xludf.DUMMYFUNCTION("""COMPUTED_VALUE"""),"Turma A")</f>
        <v/>
      </c>
      <c r="C83" s="34">
        <f>IFERROR(__xludf.DUMMYFUNCTION("""COMPUTED_VALUE"""),"Matutino")</f>
        <v/>
      </c>
      <c r="D83" s="34" t="inlineStr">
        <is>
          <t>Veio</t>
        </is>
      </c>
      <c r="G83" s="24" t="n"/>
      <c r="H83" s="24" t="n"/>
      <c r="I83" s="24" t="n"/>
    </row>
    <row r="84">
      <c r="A84" s="34">
        <f>IFERROR(__xludf.DUMMYFUNCTION("""COMPUTED_VALUE"""),"Kamily Barbosa Lemes")</f>
        <v/>
      </c>
      <c r="B84" s="34">
        <f>IFERROR(__xludf.DUMMYFUNCTION("""COMPUTED_VALUE"""),"Turma C")</f>
        <v/>
      </c>
      <c r="C84" s="34">
        <f>IFERROR(__xludf.DUMMYFUNCTION("""COMPUTED_VALUE"""),"Matutino")</f>
        <v/>
      </c>
      <c r="D84" s="34" t="inlineStr">
        <is>
          <t>Veio</t>
        </is>
      </c>
      <c r="G84" s="24" t="n"/>
      <c r="H84" s="24" t="n"/>
      <c r="I84" s="24" t="n"/>
    </row>
    <row r="85">
      <c r="A85" s="34">
        <f>IFERROR(__xludf.DUMMYFUNCTION("""COMPUTED_VALUE"""),"KETILEN LORRAYNE DOS SANTOS BATISTA")</f>
        <v/>
      </c>
      <c r="B85" s="34">
        <f>IFERROR(__xludf.DUMMYFUNCTION("""COMPUTED_VALUE"""),"Turma C")</f>
        <v/>
      </c>
      <c r="C85" s="34">
        <f>IFERROR(__xludf.DUMMYFUNCTION("""COMPUTED_VALUE"""),"Vespertino")</f>
        <v/>
      </c>
      <c r="D85" s="34" t="inlineStr">
        <is>
          <t>Veio</t>
        </is>
      </c>
      <c r="G85" s="24" t="n"/>
      <c r="H85" s="24" t="n"/>
      <c r="I85" s="24" t="n"/>
    </row>
    <row r="86">
      <c r="A86" s="34">
        <f>IFERROR(__xludf.DUMMYFUNCTION("""COMPUTED_VALUE"""),"KETLEN LORRANE DO NASCIMENTO DA SILVA")</f>
        <v/>
      </c>
      <c r="B86" s="34">
        <f>IFERROR(__xludf.DUMMYFUNCTION("""COMPUTED_VALUE"""),"Turma E")</f>
        <v/>
      </c>
      <c r="C86" s="34">
        <f>IFERROR(__xludf.DUMMYFUNCTION("""COMPUTED_VALUE"""),"Matutino")</f>
        <v/>
      </c>
      <c r="D86" s="34" t="inlineStr">
        <is>
          <t>Veio</t>
        </is>
      </c>
      <c r="G86" s="24" t="n"/>
      <c r="H86" s="24" t="n"/>
      <c r="I86" s="24" t="n"/>
    </row>
    <row r="87">
      <c r="A87" s="34">
        <f>IFERROR(__xludf.DUMMYFUNCTION("""COMPUTED_VALUE"""),"KETTLY VITÓRIA ALVES DA SILVA")</f>
        <v/>
      </c>
      <c r="B87" s="34">
        <f>IFERROR(__xludf.DUMMYFUNCTION("""COMPUTED_VALUE"""),"Turma E")</f>
        <v/>
      </c>
      <c r="C87" s="34">
        <f>IFERROR(__xludf.DUMMYFUNCTION("""COMPUTED_VALUE"""),"Matutino")</f>
        <v/>
      </c>
      <c r="D87" s="34" t="inlineStr">
        <is>
          <t>Veio</t>
        </is>
      </c>
      <c r="G87" s="24" t="n"/>
      <c r="H87" s="24" t="n"/>
      <c r="I87" s="24" t="n"/>
    </row>
    <row r="88">
      <c r="A88" s="34">
        <f>IFERROR(__xludf.DUMMYFUNCTION("""COMPUTED_VALUE"""),"Larissa Gabriela Lopes Kubota")</f>
        <v/>
      </c>
      <c r="B88" s="34">
        <f>IFERROR(__xludf.DUMMYFUNCTION("""COMPUTED_VALUE"""),"Turma C")</f>
        <v/>
      </c>
      <c r="C88" s="34">
        <f>IFERROR(__xludf.DUMMYFUNCTION("""COMPUTED_VALUE"""),"Matutino")</f>
        <v/>
      </c>
      <c r="D88" s="34" t="inlineStr">
        <is>
          <t>Veio</t>
        </is>
      </c>
      <c r="G88" s="24" t="n"/>
      <c r="H88" s="24" t="n"/>
      <c r="I88" s="24" t="n"/>
    </row>
    <row r="89">
      <c r="A89" s="34">
        <f>IFERROR(__xludf.DUMMYFUNCTION("""COMPUTED_VALUE"""),"LAURA SOPHIE DA SILVA NASCIMENTO")</f>
        <v/>
      </c>
      <c r="B89" s="34">
        <f>IFERROR(__xludf.DUMMYFUNCTION("""COMPUTED_VALUE"""),"Turma B2")</f>
        <v/>
      </c>
      <c r="C89" s="34">
        <f>IFERROR(__xludf.DUMMYFUNCTION("""COMPUTED_VALUE"""),"Vespertino")</f>
        <v/>
      </c>
      <c r="D89" s="34" t="inlineStr">
        <is>
          <t>Veio</t>
        </is>
      </c>
      <c r="G89" s="24" t="n"/>
      <c r="H89" s="24" t="n"/>
      <c r="I89" s="24" t="n"/>
    </row>
    <row r="90">
      <c r="A90" s="34">
        <f>IFERROR(__xludf.DUMMYFUNCTION("""COMPUTED_VALUE"""),"Leticia Carolinny Alvarenga Dos Santos")</f>
        <v/>
      </c>
      <c r="B90" s="34">
        <f>IFERROR(__xludf.DUMMYFUNCTION("""COMPUTED_VALUE"""),"Turma D")</f>
        <v/>
      </c>
      <c r="C90" s="34">
        <f>IFERROR(__xludf.DUMMYFUNCTION("""COMPUTED_VALUE"""),"Vespertino")</f>
        <v/>
      </c>
      <c r="D90" s="34" t="inlineStr">
        <is>
          <t>Veio</t>
        </is>
      </c>
      <c r="G90" s="24" t="n"/>
      <c r="H90" s="24" t="n"/>
      <c r="I90" s="24" t="n"/>
    </row>
    <row r="91">
      <c r="A91" s="34">
        <f>IFERROR(__xludf.DUMMYFUNCTION("""COMPUTED_VALUE"""),"LOGAN ARAUJO ALCANTARA")</f>
        <v/>
      </c>
      <c r="B91" s="34">
        <f>IFERROR(__xludf.DUMMYFUNCTION("""COMPUTED_VALUE"""),"Turma D")</f>
        <v/>
      </c>
      <c r="C91" s="34">
        <f>IFERROR(__xludf.DUMMYFUNCTION("""COMPUTED_VALUE"""),"Matutino")</f>
        <v/>
      </c>
      <c r="D91" s="34" t="inlineStr">
        <is>
          <t>Veio</t>
        </is>
      </c>
      <c r="G91" s="24" t="n"/>
      <c r="H91" s="24" t="n"/>
      <c r="I91" s="24" t="n"/>
    </row>
    <row r="92">
      <c r="A92" s="34">
        <f>IFERROR(__xludf.DUMMYFUNCTION("""COMPUTED_VALUE"""),"Lorena De Paiva Leite")</f>
        <v/>
      </c>
      <c r="B92" s="34">
        <f>IFERROR(__xludf.DUMMYFUNCTION("""COMPUTED_VALUE"""),"Turma D")</f>
        <v/>
      </c>
      <c r="C92" s="34">
        <f>IFERROR(__xludf.DUMMYFUNCTION("""COMPUTED_VALUE"""),"Vespertino")</f>
        <v/>
      </c>
      <c r="D92" s="34" t="inlineStr">
        <is>
          <t>Veio</t>
        </is>
      </c>
      <c r="G92" s="24" t="n"/>
      <c r="H92" s="24" t="n"/>
      <c r="I92" s="24" t="n"/>
    </row>
    <row r="93">
      <c r="A93" s="34">
        <f>IFERROR(__xludf.DUMMYFUNCTION("""COMPUTED_VALUE"""),"LUANA DO NASCIMENTO FERNANDES")</f>
        <v/>
      </c>
      <c r="B93" s="34">
        <f>IFERROR(__xludf.DUMMYFUNCTION("""COMPUTED_VALUE"""),"Turma B2")</f>
        <v/>
      </c>
      <c r="C93" s="34">
        <f>IFERROR(__xludf.DUMMYFUNCTION("""COMPUTED_VALUE"""),"Vespertino")</f>
        <v/>
      </c>
      <c r="D93" s="34" t="inlineStr">
        <is>
          <t>Veio</t>
        </is>
      </c>
      <c r="G93" s="24" t="n"/>
      <c r="H93" s="24" t="n"/>
      <c r="I93" s="24" t="n"/>
    </row>
    <row r="94">
      <c r="A94" s="34">
        <f>IFERROR(__xludf.DUMMYFUNCTION("""COMPUTED_VALUE"""),"LUANA SOUSA RIVA")</f>
        <v/>
      </c>
      <c r="B94" s="34">
        <f>IFERROR(__xludf.DUMMYFUNCTION("""COMPUTED_VALUE"""),"Turma B1")</f>
        <v/>
      </c>
      <c r="C94" s="34">
        <f>IFERROR(__xludf.DUMMYFUNCTION("""COMPUTED_VALUE"""),"Matutino")</f>
        <v/>
      </c>
      <c r="D94" s="34" t="inlineStr">
        <is>
          <t>Veio</t>
        </is>
      </c>
      <c r="G94" s="24" t="n"/>
      <c r="H94" s="24" t="n"/>
      <c r="I94" s="24" t="n"/>
    </row>
    <row r="95">
      <c r="A95" s="34">
        <f>IFERROR(__xludf.DUMMYFUNCTION("""COMPUTED_VALUE"""),"LUANA TOMAZ ROVER")</f>
        <v/>
      </c>
      <c r="B95" s="34">
        <f>IFERROR(__xludf.DUMMYFUNCTION("""COMPUTED_VALUE"""),"Turma D")</f>
        <v/>
      </c>
      <c r="C95" s="34">
        <f>IFERROR(__xludf.DUMMYFUNCTION("""COMPUTED_VALUE"""),"Matutino")</f>
        <v/>
      </c>
      <c r="D95" s="34" t="inlineStr">
        <is>
          <t>Não Veio</t>
        </is>
      </c>
      <c r="G95" s="24" t="n"/>
      <c r="H95" s="24" t="n"/>
      <c r="I95" s="24" t="n"/>
    </row>
    <row r="96">
      <c r="A96" s="34">
        <f>IFERROR(__xludf.DUMMYFUNCTION("""COMPUTED_VALUE"""),"Luis Felipe Camargo Moreira")</f>
        <v/>
      </c>
      <c r="B96" s="34">
        <f>IFERROR(__xludf.DUMMYFUNCTION("""COMPUTED_VALUE"""),"Turma D")</f>
        <v/>
      </c>
      <c r="C96" s="34">
        <f>IFERROR(__xludf.DUMMYFUNCTION("""COMPUTED_VALUE"""),"Vespertino")</f>
        <v/>
      </c>
      <c r="D96" s="34" t="inlineStr">
        <is>
          <t>Veio</t>
        </is>
      </c>
      <c r="G96" s="24" t="n"/>
      <c r="H96" s="24" t="n"/>
      <c r="I96" s="24" t="n"/>
    </row>
    <row r="97">
      <c r="A97" s="34">
        <f>IFERROR(__xludf.DUMMYFUNCTION("""COMPUTED_VALUE"""),"LUIZ FELIPE POLICARPO DOS SANTOS")</f>
        <v/>
      </c>
      <c r="B97" s="34">
        <f>IFERROR(__xludf.DUMMYFUNCTION("""COMPUTED_VALUE"""),"Turma A")</f>
        <v/>
      </c>
      <c r="C97" s="34">
        <f>IFERROR(__xludf.DUMMYFUNCTION("""COMPUTED_VALUE"""),"Vespertino")</f>
        <v/>
      </c>
      <c r="D97" s="34" t="inlineStr">
        <is>
          <t>Veio</t>
        </is>
      </c>
      <c r="G97" s="24" t="n"/>
      <c r="H97" s="24" t="n"/>
      <c r="I97" s="24" t="n"/>
    </row>
    <row r="98">
      <c r="A98" s="34">
        <f>IFERROR(__xludf.DUMMYFUNCTION("""COMPUTED_VALUE"""),"Luiz Fernando Garcia De Souza")</f>
        <v/>
      </c>
      <c r="B98" s="34">
        <f>IFERROR(__xludf.DUMMYFUNCTION("""COMPUTED_VALUE"""),"Turma C")</f>
        <v/>
      </c>
      <c r="C98" s="34">
        <f>IFERROR(__xludf.DUMMYFUNCTION("""COMPUTED_VALUE"""),"Matutino")</f>
        <v/>
      </c>
      <c r="D98" s="34" t="inlineStr">
        <is>
          <t>Veio</t>
        </is>
      </c>
      <c r="G98" s="24" t="n"/>
      <c r="H98" s="24" t="n"/>
      <c r="I98" s="24" t="n"/>
    </row>
    <row r="99">
      <c r="A99" s="34">
        <f>IFERROR(__xludf.DUMMYFUNCTION("""COMPUTED_VALUE"""),"Maíne Pereira De Azevedo")</f>
        <v/>
      </c>
      <c r="B99" s="34">
        <f>IFERROR(__xludf.DUMMYFUNCTION("""COMPUTED_VALUE"""),"Turma C")</f>
        <v/>
      </c>
      <c r="C99" s="34">
        <f>IFERROR(__xludf.DUMMYFUNCTION("""COMPUTED_VALUE"""),"Matutino")</f>
        <v/>
      </c>
      <c r="D99" s="34" t="inlineStr">
        <is>
          <t>Veio</t>
        </is>
      </c>
      <c r="G99" s="24" t="n"/>
      <c r="H99" s="24" t="n"/>
      <c r="I99" s="24" t="n"/>
    </row>
    <row r="100">
      <c r="A100" s="34">
        <f>IFERROR(__xludf.DUMMYFUNCTION("""COMPUTED_VALUE"""),"MAISA RODRIGUES ALVES")</f>
        <v/>
      </c>
      <c r="B100" s="34">
        <f>IFERROR(__xludf.DUMMYFUNCTION("""COMPUTED_VALUE"""),"Turma C")</f>
        <v/>
      </c>
      <c r="C100" s="34">
        <f>IFERROR(__xludf.DUMMYFUNCTION("""COMPUTED_VALUE"""),"Vespertino")</f>
        <v/>
      </c>
      <c r="D100" s="34" t="inlineStr">
        <is>
          <t>Não Veio</t>
        </is>
      </c>
      <c r="G100" s="24" t="n"/>
      <c r="H100" s="24" t="n"/>
      <c r="I100" s="24" t="n"/>
    </row>
    <row r="101">
      <c r="A101" s="34">
        <f>IFERROR(__xludf.DUMMYFUNCTION("""COMPUTED_VALUE"""),"MARCOS ANTÔNIO TRINDADE DA SILVA")</f>
        <v/>
      </c>
      <c r="B101" s="34">
        <f>IFERROR(__xludf.DUMMYFUNCTION("""COMPUTED_VALUE"""),"Turma B1")</f>
        <v/>
      </c>
      <c r="C101" s="34">
        <f>IFERROR(__xludf.DUMMYFUNCTION("""COMPUTED_VALUE"""),"Vespertino")</f>
        <v/>
      </c>
      <c r="D101" s="34" t="inlineStr">
        <is>
          <t>Veio</t>
        </is>
      </c>
      <c r="G101" s="24" t="n"/>
      <c r="H101" s="24" t="n"/>
      <c r="I101" s="24" t="n"/>
    </row>
    <row r="102">
      <c r="A102" s="34">
        <f>IFERROR(__xludf.DUMMYFUNCTION("""COMPUTED_VALUE"""),"MARIA CLARA ALMEIDA LOPES")</f>
        <v/>
      </c>
      <c r="B102" s="34">
        <f>IFERROR(__xludf.DUMMYFUNCTION("""COMPUTED_VALUE"""),"Turma C")</f>
        <v/>
      </c>
      <c r="C102" s="34">
        <f>IFERROR(__xludf.DUMMYFUNCTION("""COMPUTED_VALUE"""),"Vespertino")</f>
        <v/>
      </c>
      <c r="D102" s="34" t="inlineStr">
        <is>
          <t>Veio</t>
        </is>
      </c>
      <c r="G102" s="24" t="n"/>
      <c r="H102" s="24" t="n"/>
      <c r="I102" s="24" t="n"/>
    </row>
    <row r="103">
      <c r="A103" s="34">
        <f>IFERROR(__xludf.DUMMYFUNCTION("""COMPUTED_VALUE"""),"MARIA CLARA OLIVEIRA MENEZES MARTINS")</f>
        <v/>
      </c>
      <c r="B103" s="34">
        <f>IFERROR(__xludf.DUMMYFUNCTION("""COMPUTED_VALUE"""),"Turma GR")</f>
        <v/>
      </c>
      <c r="C103" s="34">
        <f>IFERROR(__xludf.DUMMYFUNCTION("""COMPUTED_VALUE"""),"Vespertino")</f>
        <v/>
      </c>
      <c r="D103" s="34" t="inlineStr">
        <is>
          <t>Veio</t>
        </is>
      </c>
      <c r="G103" s="24" t="n"/>
      <c r="H103" s="24" t="n"/>
      <c r="I103" s="24" t="n"/>
    </row>
    <row r="104">
      <c r="A104" s="34">
        <f>IFERROR(__xludf.DUMMYFUNCTION("""COMPUTED_VALUE"""),"MARIA EDUARDA SOBREIRO DA SILVA")</f>
        <v/>
      </c>
      <c r="B104" s="34">
        <f>IFERROR(__xludf.DUMMYFUNCTION("""COMPUTED_VALUE"""),"Turma B1")</f>
        <v/>
      </c>
      <c r="C104" s="34">
        <f>IFERROR(__xludf.DUMMYFUNCTION("""COMPUTED_VALUE"""),"Vespertino")</f>
        <v/>
      </c>
      <c r="D104" s="34" t="inlineStr">
        <is>
          <t>Veio</t>
        </is>
      </c>
      <c r="G104" s="24" t="n"/>
      <c r="H104" s="24" t="n"/>
      <c r="I104" s="24" t="n"/>
    </row>
    <row r="105">
      <c r="A105" s="34">
        <f>IFERROR(__xludf.DUMMYFUNCTION("""COMPUTED_VALUE"""),"MARIA EMANUELLY CAMARGO GONÇALVES")</f>
        <v/>
      </c>
      <c r="B105" s="34">
        <f>IFERROR(__xludf.DUMMYFUNCTION("""COMPUTED_VALUE"""),"Turma GR")</f>
        <v/>
      </c>
      <c r="C105" s="34">
        <f>IFERROR(__xludf.DUMMYFUNCTION("""COMPUTED_VALUE"""),"Vespertino")</f>
        <v/>
      </c>
      <c r="D105" s="34" t="inlineStr">
        <is>
          <t>Veio</t>
        </is>
      </c>
      <c r="G105" s="24" t="n"/>
      <c r="H105" s="24" t="n"/>
      <c r="I105" s="24" t="n"/>
    </row>
    <row r="106">
      <c r="A106" s="34">
        <f>IFERROR(__xludf.DUMMYFUNCTION("""COMPUTED_VALUE"""),"MARIA FERNANDA DOS SANTOS KUBOTA")</f>
        <v/>
      </c>
      <c r="B106" s="34">
        <f>IFERROR(__xludf.DUMMYFUNCTION("""COMPUTED_VALUE"""),"Turma B2")</f>
        <v/>
      </c>
      <c r="C106" s="34">
        <f>IFERROR(__xludf.DUMMYFUNCTION("""COMPUTED_VALUE"""),"Matutino")</f>
        <v/>
      </c>
      <c r="D106" s="34" t="inlineStr">
        <is>
          <t>Veio</t>
        </is>
      </c>
      <c r="G106" s="24" t="n"/>
      <c r="H106" s="24" t="n"/>
      <c r="I106" s="24" t="n"/>
    </row>
    <row r="107">
      <c r="A107" s="34">
        <f>IFERROR(__xludf.DUMMYFUNCTION("""COMPUTED_VALUE"""),"MARIA HISLANA PORTUGAL BRITO")</f>
        <v/>
      </c>
      <c r="B107" s="34">
        <f>IFERROR(__xludf.DUMMYFUNCTION("""COMPUTED_VALUE"""),"Turma E")</f>
        <v/>
      </c>
      <c r="C107" s="34">
        <f>IFERROR(__xludf.DUMMYFUNCTION("""COMPUTED_VALUE"""),"Matutino")</f>
        <v/>
      </c>
      <c r="D107" s="34" t="inlineStr">
        <is>
          <t>Veio</t>
        </is>
      </c>
      <c r="G107" s="24" t="n"/>
      <c r="H107" s="24" t="n"/>
      <c r="I107" s="24" t="n"/>
    </row>
    <row r="108">
      <c r="A108" s="34">
        <f>IFERROR(__xludf.DUMMYFUNCTION("""COMPUTED_VALUE"""),"MARIA LUÍSA BARROS DA ROCHA")</f>
        <v/>
      </c>
      <c r="B108" s="34">
        <f>IFERROR(__xludf.DUMMYFUNCTION("""COMPUTED_VALUE"""),"Turma C")</f>
        <v/>
      </c>
      <c r="C108" s="34">
        <f>IFERROR(__xludf.DUMMYFUNCTION("""COMPUTED_VALUE"""),"Vespertino")</f>
        <v/>
      </c>
      <c r="D108" s="34" t="inlineStr">
        <is>
          <t>Veio</t>
        </is>
      </c>
      <c r="G108" s="24" t="n"/>
      <c r="H108" s="24" t="n"/>
      <c r="I108" s="24" t="n"/>
    </row>
    <row r="109">
      <c r="A109" s="34">
        <f>IFERROR(__xludf.DUMMYFUNCTION("""COMPUTED_VALUE"""),"MARIA VITÓRIA OLIVEIRA MENEZES MARTINS")</f>
        <v/>
      </c>
      <c r="B109" s="34">
        <f>IFERROR(__xludf.DUMMYFUNCTION("""COMPUTED_VALUE"""),"Turma GR")</f>
        <v/>
      </c>
      <c r="C109" s="34">
        <f>IFERROR(__xludf.DUMMYFUNCTION("""COMPUTED_VALUE"""),"Vespertino")</f>
        <v/>
      </c>
      <c r="D109" s="34" t="inlineStr">
        <is>
          <t>Veio</t>
        </is>
      </c>
      <c r="G109" s="24" t="n"/>
      <c r="H109" s="24" t="n"/>
      <c r="I109" s="24" t="n"/>
    </row>
    <row r="110">
      <c r="A110" s="34">
        <f>IFERROR(__xludf.DUMMYFUNCTION("""COMPUTED_VALUE"""),"Mariah Sophia Sales Aniceto")</f>
        <v/>
      </c>
      <c r="B110" s="34">
        <f>IFERROR(__xludf.DUMMYFUNCTION("""COMPUTED_VALUE"""),"Turma D")</f>
        <v/>
      </c>
      <c r="C110" s="34">
        <f>IFERROR(__xludf.DUMMYFUNCTION("""COMPUTED_VALUE"""),"Vespertino")</f>
        <v/>
      </c>
      <c r="D110" s="34" t="inlineStr">
        <is>
          <t>Veio</t>
        </is>
      </c>
      <c r="G110" s="24" t="n"/>
      <c r="H110" s="24" t="n"/>
      <c r="I110" s="24" t="n"/>
    </row>
    <row r="111">
      <c r="A111" s="34">
        <f>IFERROR(__xludf.DUMMYFUNCTION("""COMPUTED_VALUE"""),"Marya Isabelly Alves Oliveira")</f>
        <v/>
      </c>
      <c r="B111" s="34">
        <f>IFERROR(__xludf.DUMMYFUNCTION("""COMPUTED_VALUE"""),"Turma D")</f>
        <v/>
      </c>
      <c r="C111" s="34">
        <f>IFERROR(__xludf.DUMMYFUNCTION("""COMPUTED_VALUE"""),"Vespertino")</f>
        <v/>
      </c>
      <c r="D111" s="34" t="inlineStr">
        <is>
          <t>Veio</t>
        </is>
      </c>
      <c r="G111" s="24" t="n"/>
      <c r="H111" s="24" t="n"/>
      <c r="I111" s="24" t="n"/>
    </row>
    <row r="112">
      <c r="A112" s="34">
        <f>IFERROR(__xludf.DUMMYFUNCTION("""COMPUTED_VALUE"""),"Matheus Portugal De Almeida")</f>
        <v/>
      </c>
      <c r="B112" s="34">
        <f>IFERROR(__xludf.DUMMYFUNCTION("""COMPUTED_VALUE"""),"Turma A")</f>
        <v/>
      </c>
      <c r="C112" s="34">
        <f>IFERROR(__xludf.DUMMYFUNCTION("""COMPUTED_VALUE"""),"Matutino")</f>
        <v/>
      </c>
      <c r="D112" s="34" t="inlineStr">
        <is>
          <t>Não Veio</t>
        </is>
      </c>
      <c r="G112" s="24" t="n"/>
      <c r="H112" s="24" t="n"/>
      <c r="I112" s="24" t="n"/>
    </row>
    <row r="113">
      <c r="A113" s="34">
        <f>IFERROR(__xludf.DUMMYFUNCTION("""COMPUTED_VALUE"""),"Maycon Antonio Santana Garcia")</f>
        <v/>
      </c>
      <c r="B113" s="34">
        <f>IFERROR(__xludf.DUMMYFUNCTION("""COMPUTED_VALUE"""),"Turma D")</f>
        <v/>
      </c>
      <c r="C113" s="34">
        <f>IFERROR(__xludf.DUMMYFUNCTION("""COMPUTED_VALUE"""),"Vespertino")</f>
        <v/>
      </c>
      <c r="D113" s="34" t="inlineStr">
        <is>
          <t>Veio</t>
        </is>
      </c>
      <c r="G113" s="24" t="n"/>
      <c r="H113" s="24" t="n"/>
      <c r="I113" s="24" t="n"/>
    </row>
    <row r="114">
      <c r="A114" s="34">
        <f>IFERROR(__xludf.DUMMYFUNCTION("""COMPUTED_VALUE"""),"MAYLON SANTANA GARCIA")</f>
        <v/>
      </c>
      <c r="B114" s="34">
        <f>IFERROR(__xludf.DUMMYFUNCTION("""COMPUTED_VALUE"""),"Turma B1")</f>
        <v/>
      </c>
      <c r="C114" s="34">
        <f>IFERROR(__xludf.DUMMYFUNCTION("""COMPUTED_VALUE"""),"Vespertino")</f>
        <v/>
      </c>
      <c r="D114" s="34" t="inlineStr">
        <is>
          <t>Veio</t>
        </is>
      </c>
      <c r="G114" s="24" t="n"/>
      <c r="H114" s="24" t="n"/>
      <c r="I114" s="24" t="n"/>
    </row>
    <row r="115">
      <c r="A115" s="34">
        <f>IFERROR(__xludf.DUMMYFUNCTION("""COMPUTED_VALUE"""),"MIGUEL AUGUSTO DE LIMA TRINDADE")</f>
        <v/>
      </c>
      <c r="B115" s="34">
        <f>IFERROR(__xludf.DUMMYFUNCTION("""COMPUTED_VALUE"""),"Turma B1")</f>
        <v/>
      </c>
      <c r="C115" s="34">
        <f>IFERROR(__xludf.DUMMYFUNCTION("""COMPUTED_VALUE"""),"Vespertino")</f>
        <v/>
      </c>
      <c r="D115" s="34" t="inlineStr">
        <is>
          <t>Veio</t>
        </is>
      </c>
      <c r="G115" s="24" t="n"/>
      <c r="H115" s="24" t="n"/>
      <c r="I115" s="24" t="n"/>
    </row>
    <row r="116">
      <c r="A116" s="34">
        <f>IFERROR(__xludf.DUMMYFUNCTION("""COMPUTED_VALUE"""),"MIGUEL NYKOLAS DUTRA ALMEIDA")</f>
        <v/>
      </c>
      <c r="B116" s="34">
        <f>IFERROR(__xludf.DUMMYFUNCTION("""COMPUTED_VALUE"""),"Turma B1")</f>
        <v/>
      </c>
      <c r="C116" s="34">
        <f>IFERROR(__xludf.DUMMYFUNCTION("""COMPUTED_VALUE"""),"Vespertino")</f>
        <v/>
      </c>
      <c r="D116" s="34" t="inlineStr">
        <is>
          <t>Veio</t>
        </is>
      </c>
      <c r="G116" s="24" t="n"/>
      <c r="H116" s="24" t="n"/>
      <c r="I116" s="24" t="n"/>
    </row>
    <row r="117">
      <c r="A117" s="34">
        <f>IFERROR(__xludf.DUMMYFUNCTION("""COMPUTED_VALUE"""),"Mikaela Tonete Santana")</f>
        <v/>
      </c>
      <c r="B117" s="34">
        <f>IFERROR(__xludf.DUMMYFUNCTION("""COMPUTED_VALUE"""),"Turma C")</f>
        <v/>
      </c>
      <c r="C117" s="34">
        <f>IFERROR(__xludf.DUMMYFUNCTION("""COMPUTED_VALUE"""),"Matutino")</f>
        <v/>
      </c>
      <c r="D117" s="34" t="inlineStr">
        <is>
          <t>Veio</t>
        </is>
      </c>
      <c r="G117" s="24" t="n"/>
      <c r="H117" s="24" t="n"/>
      <c r="I117" s="24" t="n"/>
    </row>
    <row r="118">
      <c r="A118" s="34">
        <f>IFERROR(__xludf.DUMMYFUNCTION("""COMPUTED_VALUE"""),"Moises Oliveira Da Silva")</f>
        <v/>
      </c>
      <c r="B118" s="34">
        <f>IFERROR(__xludf.DUMMYFUNCTION("""COMPUTED_VALUE"""),"Turma A")</f>
        <v/>
      </c>
      <c r="C118" s="34">
        <f>IFERROR(__xludf.DUMMYFUNCTION("""COMPUTED_VALUE"""),"Matutino")</f>
        <v/>
      </c>
      <c r="D118" s="34" t="inlineStr">
        <is>
          <t>Veio</t>
        </is>
      </c>
      <c r="G118" s="24" t="n"/>
      <c r="H118" s="24" t="n"/>
      <c r="I118" s="24" t="n"/>
    </row>
    <row r="119">
      <c r="A119" s="34">
        <f>IFERROR(__xludf.DUMMYFUNCTION("""COMPUTED_VALUE"""),"Nicolas Araújo De Souza")</f>
        <v/>
      </c>
      <c r="B119" s="34">
        <f>IFERROR(__xludf.DUMMYFUNCTION("""COMPUTED_VALUE"""),"Turma D")</f>
        <v/>
      </c>
      <c r="C119" s="34">
        <f>IFERROR(__xludf.DUMMYFUNCTION("""COMPUTED_VALUE"""),"Vespertino")</f>
        <v/>
      </c>
      <c r="D119" s="34" t="inlineStr">
        <is>
          <t>Veio</t>
        </is>
      </c>
      <c r="G119" s="24" t="n"/>
      <c r="H119" s="24" t="n"/>
      <c r="I119" s="24" t="n"/>
    </row>
    <row r="120">
      <c r="A120" s="34">
        <f>IFERROR(__xludf.DUMMYFUNCTION("""COMPUTED_VALUE"""),"NICOLAS GABRIEL OLIVEIRA BASTIDA")</f>
        <v/>
      </c>
      <c r="B120" s="34">
        <f>IFERROR(__xludf.DUMMYFUNCTION("""COMPUTED_VALUE"""),"Turma E")</f>
        <v/>
      </c>
      <c r="C120" s="34">
        <f>IFERROR(__xludf.DUMMYFUNCTION("""COMPUTED_VALUE"""),"Vespertino")</f>
        <v/>
      </c>
      <c r="D120" s="34" t="inlineStr">
        <is>
          <t>Veio</t>
        </is>
      </c>
      <c r="G120" s="24" t="n"/>
      <c r="H120" s="24" t="n"/>
      <c r="I120" s="24" t="n"/>
    </row>
    <row r="121">
      <c r="A121" s="34">
        <f>IFERROR(__xludf.DUMMYFUNCTION("""COMPUTED_VALUE"""),"NICOLAS GOMES WILSON")</f>
        <v/>
      </c>
      <c r="B121" s="34">
        <f>IFERROR(__xludf.DUMMYFUNCTION("""COMPUTED_VALUE"""),"Turma C")</f>
        <v/>
      </c>
      <c r="C121" s="34">
        <f>IFERROR(__xludf.DUMMYFUNCTION("""COMPUTED_VALUE"""),"Vespertino")</f>
        <v/>
      </c>
      <c r="D121" s="34" t="inlineStr">
        <is>
          <t>Veio</t>
        </is>
      </c>
      <c r="G121" s="24" t="n"/>
      <c r="H121" s="24" t="n"/>
      <c r="I121" s="24" t="n"/>
    </row>
    <row r="122">
      <c r="A122" s="34">
        <f>IFERROR(__xludf.DUMMYFUNCTION("""COMPUTED_VALUE"""),"Nicolas Gonçalves De Carvalho")</f>
        <v/>
      </c>
      <c r="B122" s="34">
        <f>IFERROR(__xludf.DUMMYFUNCTION("""COMPUTED_VALUE"""),"Turma D")</f>
        <v/>
      </c>
      <c r="C122" s="34">
        <f>IFERROR(__xludf.DUMMYFUNCTION("""COMPUTED_VALUE"""),"Vespertino")</f>
        <v/>
      </c>
      <c r="D122" s="34" t="inlineStr">
        <is>
          <t>Veio</t>
        </is>
      </c>
      <c r="G122" s="24" t="n"/>
      <c r="H122" s="24" t="n"/>
      <c r="I122" s="24" t="n"/>
    </row>
    <row r="123">
      <c r="A123" s="34">
        <f>IFERROR(__xludf.DUMMYFUNCTION("""COMPUTED_VALUE"""),"NICOLLY DE PAULO DUTRA")</f>
        <v/>
      </c>
      <c r="B123" s="34">
        <f>IFERROR(__xludf.DUMMYFUNCTION("""COMPUTED_VALUE"""),"Turma B1")</f>
        <v/>
      </c>
      <c r="C123" s="34">
        <f>IFERROR(__xludf.DUMMYFUNCTION("""COMPUTED_VALUE"""),"Vespertino")</f>
        <v/>
      </c>
      <c r="D123" s="34" t="inlineStr">
        <is>
          <t>Veio</t>
        </is>
      </c>
      <c r="G123" s="24" t="n"/>
      <c r="H123" s="24" t="n"/>
      <c r="I123" s="24" t="n"/>
    </row>
    <row r="124">
      <c r="A124" s="34">
        <f>IFERROR(__xludf.DUMMYFUNCTION("""COMPUTED_VALUE"""),"NICOLY CAMARGO MOREIRA")</f>
        <v/>
      </c>
      <c r="B124" s="34">
        <f>IFERROR(__xludf.DUMMYFUNCTION("""COMPUTED_VALUE"""),"Turma B2")</f>
        <v/>
      </c>
      <c r="C124" s="34">
        <f>IFERROR(__xludf.DUMMYFUNCTION("""COMPUTED_VALUE"""),"Matutino")</f>
        <v/>
      </c>
      <c r="D124" s="34" t="inlineStr">
        <is>
          <t>Veio</t>
        </is>
      </c>
      <c r="G124" s="24" t="n"/>
      <c r="H124" s="24" t="n"/>
      <c r="I124" s="24" t="n"/>
    </row>
    <row r="125">
      <c r="A125" s="34">
        <f>IFERROR(__xludf.DUMMYFUNCTION("""COMPUTED_VALUE"""),"Noah Gomes Wilson")</f>
        <v/>
      </c>
      <c r="B125" s="34">
        <f>IFERROR(__xludf.DUMMYFUNCTION("""COMPUTED_VALUE"""),"Turma C")</f>
        <v/>
      </c>
      <c r="C125" s="34">
        <f>IFERROR(__xludf.DUMMYFUNCTION("""COMPUTED_VALUE"""),"Matutino")</f>
        <v/>
      </c>
      <c r="D125" s="34" t="inlineStr">
        <is>
          <t>Veio</t>
        </is>
      </c>
      <c r="G125" s="24" t="n"/>
      <c r="H125" s="24" t="n"/>
      <c r="I125" s="24" t="n"/>
    </row>
    <row r="126">
      <c r="A126" s="34">
        <f>IFERROR(__xludf.DUMMYFUNCTION("""COMPUTED_VALUE"""),"Paulo Victor Rosa Da Silva")</f>
        <v/>
      </c>
      <c r="B126" s="34">
        <f>IFERROR(__xludf.DUMMYFUNCTION("""COMPUTED_VALUE"""),"Turma C")</f>
        <v/>
      </c>
      <c r="C126" s="34">
        <f>IFERROR(__xludf.DUMMYFUNCTION("""COMPUTED_VALUE"""),"Matutino")</f>
        <v/>
      </c>
      <c r="D126" s="34" t="inlineStr">
        <is>
          <t>Não Veio</t>
        </is>
      </c>
      <c r="G126" s="24" t="n"/>
      <c r="H126" s="24" t="n"/>
      <c r="I126" s="24" t="n"/>
    </row>
    <row r="127">
      <c r="A127" s="34">
        <f>IFERROR(__xludf.DUMMYFUNCTION("""COMPUTED_VALUE"""),"PEDRO HENRIQUE MARQUES MIRANDA")</f>
        <v/>
      </c>
      <c r="B127" s="34">
        <f>IFERROR(__xludf.DUMMYFUNCTION("""COMPUTED_VALUE"""),"Turma B1")</f>
        <v/>
      </c>
      <c r="C127" s="34">
        <f>IFERROR(__xludf.DUMMYFUNCTION("""COMPUTED_VALUE"""),"Vespertino")</f>
        <v/>
      </c>
      <c r="D127" s="34" t="inlineStr">
        <is>
          <t>Veio</t>
        </is>
      </c>
      <c r="G127" s="24" t="n"/>
      <c r="H127" s="24" t="n"/>
      <c r="I127" s="24" t="n"/>
    </row>
    <row r="128">
      <c r="A128" s="34">
        <f>IFERROR(__xludf.DUMMYFUNCTION("""COMPUTED_VALUE"""),"PEDRO HENRIQUE VIANA VELOSO")</f>
        <v/>
      </c>
      <c r="B128" s="34">
        <f>IFERROR(__xludf.DUMMYFUNCTION("""COMPUTED_VALUE"""),"Turma B1")</f>
        <v/>
      </c>
      <c r="C128" s="34">
        <f>IFERROR(__xludf.DUMMYFUNCTION("""COMPUTED_VALUE"""),"Matutino")</f>
        <v/>
      </c>
      <c r="D128" s="34" t="inlineStr">
        <is>
          <t>Veio</t>
        </is>
      </c>
      <c r="G128" s="24" t="n"/>
      <c r="H128" s="24" t="n"/>
      <c r="I128" s="24" t="n"/>
    </row>
    <row r="129">
      <c r="A129" s="34">
        <f>IFERROR(__xludf.DUMMYFUNCTION("""COMPUTED_VALUE"""),"Pétricky Miguel Rodrigues Dos Reis")</f>
        <v/>
      </c>
      <c r="B129" s="34">
        <f>IFERROR(__xludf.DUMMYFUNCTION("""COMPUTED_VALUE"""),"Turma C")</f>
        <v/>
      </c>
      <c r="C129" s="34">
        <f>IFERROR(__xludf.DUMMYFUNCTION("""COMPUTED_VALUE"""),"Matutino")</f>
        <v/>
      </c>
      <c r="D129" s="34" t="inlineStr">
        <is>
          <t>Veio</t>
        </is>
      </c>
      <c r="G129" s="24" t="n"/>
      <c r="H129" s="24" t="n"/>
      <c r="I129" s="24" t="n"/>
    </row>
    <row r="130">
      <c r="A130" s="34">
        <f>IFERROR(__xludf.DUMMYFUNCTION("""COMPUTED_VALUE"""),"PIETRO FRANCISCO GALVÃO DE JESUS")</f>
        <v/>
      </c>
      <c r="B130" s="34">
        <f>IFERROR(__xludf.DUMMYFUNCTION("""COMPUTED_VALUE"""),"Turma D")</f>
        <v/>
      </c>
      <c r="C130" s="34">
        <f>IFERROR(__xludf.DUMMYFUNCTION("""COMPUTED_VALUE"""),"Matutino")</f>
        <v/>
      </c>
      <c r="D130" s="34" t="inlineStr">
        <is>
          <t>Veio</t>
        </is>
      </c>
      <c r="G130" s="24" t="n"/>
      <c r="H130" s="24" t="n"/>
      <c r="I130" s="24" t="n"/>
    </row>
    <row r="131">
      <c r="A131" s="34">
        <f>IFERROR(__xludf.DUMMYFUNCTION("""COMPUTED_VALUE"""),"PIETRO HENRIQUE OLIVEIRA JACOMINO")</f>
        <v/>
      </c>
      <c r="B131" s="34">
        <f>IFERROR(__xludf.DUMMYFUNCTION("""COMPUTED_VALUE"""),"Turma A")</f>
        <v/>
      </c>
      <c r="C131" s="34">
        <f>IFERROR(__xludf.DUMMYFUNCTION("""COMPUTED_VALUE"""),"Vespertino")</f>
        <v/>
      </c>
      <c r="D131" s="34" t="inlineStr">
        <is>
          <t>Veio</t>
        </is>
      </c>
      <c r="G131" s="24" t="n"/>
      <c r="H131" s="24" t="n"/>
      <c r="I131" s="24" t="n"/>
    </row>
    <row r="132">
      <c r="A132" s="34">
        <f>IFERROR(__xludf.DUMMYFUNCTION("""COMPUTED_VALUE"""),"RAFAEL MENDES DA SILVA")</f>
        <v/>
      </c>
      <c r="B132" s="34">
        <f>IFERROR(__xludf.DUMMYFUNCTION("""COMPUTED_VALUE"""),"Turma B1")</f>
        <v/>
      </c>
      <c r="C132" s="34">
        <f>IFERROR(__xludf.DUMMYFUNCTION("""COMPUTED_VALUE"""),"Vespertino")</f>
        <v/>
      </c>
      <c r="D132" s="34" t="inlineStr">
        <is>
          <t>Veio</t>
        </is>
      </c>
      <c r="G132" s="24" t="n"/>
      <c r="H132" s="24" t="n"/>
      <c r="I132" s="24" t="n"/>
    </row>
    <row r="133">
      <c r="A133" s="34">
        <f>IFERROR(__xludf.DUMMYFUNCTION("""COMPUTED_VALUE"""),"Rafael Rodrigues Ireno")</f>
        <v/>
      </c>
      <c r="B133" s="34">
        <f>IFERROR(__xludf.DUMMYFUNCTION("""COMPUTED_VALUE"""),"Turma C")</f>
        <v/>
      </c>
      <c r="C133" s="34">
        <f>IFERROR(__xludf.DUMMYFUNCTION("""COMPUTED_VALUE"""),"Matutino")</f>
        <v/>
      </c>
      <c r="D133" s="34" t="inlineStr">
        <is>
          <t>Veio</t>
        </is>
      </c>
      <c r="G133" s="24" t="n"/>
      <c r="H133" s="24" t="n"/>
      <c r="I133" s="24" t="n"/>
    </row>
    <row r="134">
      <c r="A134" s="34">
        <f>IFERROR(__xludf.DUMMYFUNCTION("""COMPUTED_VALUE"""),"Raphael Rodrigues Moreira")</f>
        <v/>
      </c>
      <c r="B134" s="34">
        <f>IFERROR(__xludf.DUMMYFUNCTION("""COMPUTED_VALUE"""),"Turma D")</f>
        <v/>
      </c>
      <c r="C134" s="34">
        <f>IFERROR(__xludf.DUMMYFUNCTION("""COMPUTED_VALUE"""),"Vespertino")</f>
        <v/>
      </c>
      <c r="D134" s="34" t="inlineStr">
        <is>
          <t>Veio</t>
        </is>
      </c>
      <c r="G134" s="24" t="n"/>
      <c r="H134" s="24" t="n"/>
      <c r="I134" s="24" t="n"/>
    </row>
    <row r="135">
      <c r="A135" s="34">
        <f>IFERROR(__xludf.DUMMYFUNCTION("""COMPUTED_VALUE"""),"Raquel Vieira Martins")</f>
        <v/>
      </c>
      <c r="B135" s="34">
        <f>IFERROR(__xludf.DUMMYFUNCTION("""COMPUTED_VALUE"""),"Turma A")</f>
        <v/>
      </c>
      <c r="C135" s="34">
        <f>IFERROR(__xludf.DUMMYFUNCTION("""COMPUTED_VALUE"""),"Matutino")</f>
        <v/>
      </c>
      <c r="D135" s="34" t="inlineStr">
        <is>
          <t>Veio</t>
        </is>
      </c>
      <c r="G135" s="24" t="n"/>
      <c r="H135" s="24" t="n"/>
      <c r="I135" s="24" t="n"/>
    </row>
    <row r="136">
      <c r="A136" s="34">
        <f>IFERROR(__xludf.DUMMYFUNCTION("""COMPUTED_VALUE"""),"REBEKAH HOTTS DE SOUZA")</f>
        <v/>
      </c>
      <c r="B136" s="34">
        <f>IFERROR(__xludf.DUMMYFUNCTION("""COMPUTED_VALUE"""),"Turma GR")</f>
        <v/>
      </c>
      <c r="C136" s="34">
        <f>IFERROR(__xludf.DUMMYFUNCTION("""COMPUTED_VALUE"""),"Vespertino")</f>
        <v/>
      </c>
      <c r="D136" s="34" t="inlineStr">
        <is>
          <t>Veio</t>
        </is>
      </c>
      <c r="G136" s="24" t="n"/>
      <c r="H136" s="24" t="n"/>
      <c r="I136" s="24" t="n"/>
    </row>
    <row r="137">
      <c r="A137" s="34">
        <f>IFERROR(__xludf.DUMMYFUNCTION("""COMPUTED_VALUE"""),"Reynaldo Mariano De Souza")</f>
        <v/>
      </c>
      <c r="B137" s="34">
        <f>IFERROR(__xludf.DUMMYFUNCTION("""COMPUTED_VALUE"""),"Turma C")</f>
        <v/>
      </c>
      <c r="C137" s="34">
        <f>IFERROR(__xludf.DUMMYFUNCTION("""COMPUTED_VALUE"""),"Matutino")</f>
        <v/>
      </c>
      <c r="D137" s="34" t="inlineStr">
        <is>
          <t>Não Veio</t>
        </is>
      </c>
      <c r="G137" s="24" t="n"/>
      <c r="H137" s="24" t="n"/>
      <c r="I137" s="24" t="n"/>
    </row>
    <row r="138">
      <c r="A138" s="34">
        <f>IFERROR(__xludf.DUMMYFUNCTION("""COMPUTED_VALUE"""),"ROSALINA MARQUES PARAÍSO")</f>
        <v/>
      </c>
      <c r="B138" s="34">
        <f>IFERROR(__xludf.DUMMYFUNCTION("""COMPUTED_VALUE"""),"Turma B1")</f>
        <v/>
      </c>
      <c r="C138" s="34">
        <f>IFERROR(__xludf.DUMMYFUNCTION("""COMPUTED_VALUE"""),"Vespertino")</f>
        <v/>
      </c>
      <c r="D138" s="34" t="inlineStr">
        <is>
          <t>Veio</t>
        </is>
      </c>
      <c r="G138" s="24" t="n"/>
      <c r="H138" s="24" t="n"/>
      <c r="I138" s="24" t="n"/>
    </row>
    <row r="139">
      <c r="A139" s="34">
        <f>IFERROR(__xludf.DUMMYFUNCTION("""COMPUTED_VALUE"""),"Ruan Brayan Alcantara Monteiro")</f>
        <v/>
      </c>
      <c r="B139" s="34">
        <f>IFERROR(__xludf.DUMMYFUNCTION("""COMPUTED_VALUE"""),"Turma D")</f>
        <v/>
      </c>
      <c r="C139" s="34">
        <f>IFERROR(__xludf.DUMMYFUNCTION("""COMPUTED_VALUE"""),"Vespertino")</f>
        <v/>
      </c>
      <c r="D139" s="34" t="inlineStr">
        <is>
          <t>Veio</t>
        </is>
      </c>
      <c r="G139" s="24" t="n"/>
      <c r="H139" s="24" t="n"/>
      <c r="I139" s="24" t="n"/>
    </row>
    <row r="140">
      <c r="A140" s="34">
        <f>IFERROR(__xludf.DUMMYFUNCTION("""COMPUTED_VALUE"""),"RUAN RODRIGUES CAETANO LIMA")</f>
        <v/>
      </c>
      <c r="B140" s="34">
        <f>IFERROR(__xludf.DUMMYFUNCTION("""COMPUTED_VALUE"""),"Turma GR")</f>
        <v/>
      </c>
      <c r="C140" s="34">
        <f>IFERROR(__xludf.DUMMYFUNCTION("""COMPUTED_VALUE"""),"Vespertino")</f>
        <v/>
      </c>
      <c r="D140" s="34" t="inlineStr">
        <is>
          <t>Veio</t>
        </is>
      </c>
      <c r="G140" s="24" t="n"/>
      <c r="H140" s="24" t="n"/>
      <c r="I140" s="24" t="n"/>
    </row>
    <row r="141">
      <c r="A141" s="34">
        <f>IFERROR(__xludf.DUMMYFUNCTION("""COMPUTED_VALUE"""),"SÂMILY PROCOPIO DA SILVA")</f>
        <v/>
      </c>
      <c r="B141" s="34">
        <f>IFERROR(__xludf.DUMMYFUNCTION("""COMPUTED_VALUE"""),"Turma GR")</f>
        <v/>
      </c>
      <c r="C141" s="34">
        <f>IFERROR(__xludf.DUMMYFUNCTION("""COMPUTED_VALUE"""),"Vespertino")</f>
        <v/>
      </c>
      <c r="D141" s="34" t="inlineStr">
        <is>
          <t>Veio</t>
        </is>
      </c>
      <c r="G141" s="24" t="n"/>
      <c r="H141" s="24" t="n"/>
      <c r="I141" s="24" t="n"/>
    </row>
    <row r="142">
      <c r="A142" s="34">
        <f>IFERROR(__xludf.DUMMYFUNCTION("""COMPUTED_VALUE"""),"SAMUEL JUNIOR VERDAN FRANCISCO")</f>
        <v/>
      </c>
      <c r="B142" s="34">
        <f>IFERROR(__xludf.DUMMYFUNCTION("""COMPUTED_VALUE"""),"Turma D")</f>
        <v/>
      </c>
      <c r="C142" s="34">
        <f>IFERROR(__xludf.DUMMYFUNCTION("""COMPUTED_VALUE"""),"Matutino")</f>
        <v/>
      </c>
      <c r="D142" s="34" t="inlineStr">
        <is>
          <t>Veio</t>
        </is>
      </c>
      <c r="G142" s="24" t="n"/>
      <c r="H142" s="24" t="n"/>
      <c r="I142" s="24" t="n"/>
    </row>
    <row r="143">
      <c r="A143" s="34">
        <f>IFERROR(__xludf.DUMMYFUNCTION("""COMPUTED_VALUE"""),"SOFIA VIEIRA DETTMANN")</f>
        <v/>
      </c>
      <c r="B143" s="34">
        <f>IFERROR(__xludf.DUMMYFUNCTION("""COMPUTED_VALUE"""),"Turma B2")</f>
        <v/>
      </c>
      <c r="C143" s="34">
        <f>IFERROR(__xludf.DUMMYFUNCTION("""COMPUTED_VALUE"""),"Matutino")</f>
        <v/>
      </c>
      <c r="D143" s="34" t="inlineStr">
        <is>
          <t>Veio</t>
        </is>
      </c>
      <c r="G143" s="24" t="n"/>
      <c r="H143" s="24" t="n"/>
      <c r="I143" s="24" t="n"/>
    </row>
    <row r="144">
      <c r="A144" s="34">
        <f>IFERROR(__xludf.DUMMYFUNCTION("""COMPUTED_VALUE"""),"Sophia Gabrielli Ferreira Da Silveira")</f>
        <v/>
      </c>
      <c r="B144" s="34">
        <f>IFERROR(__xludf.DUMMYFUNCTION("""COMPUTED_VALUE"""),"Turma A")</f>
        <v/>
      </c>
      <c r="C144" s="34">
        <f>IFERROR(__xludf.DUMMYFUNCTION("""COMPUTED_VALUE"""),"Matutino")</f>
        <v/>
      </c>
      <c r="D144" s="34" t="inlineStr">
        <is>
          <t>Veio</t>
        </is>
      </c>
      <c r="G144" s="24" t="n"/>
      <c r="H144" s="24" t="n"/>
      <c r="I144" s="24" t="n"/>
    </row>
    <row r="145">
      <c r="A145" s="34">
        <f>IFERROR(__xludf.DUMMYFUNCTION("""COMPUTED_VALUE"""),"SOPHIA JATOBÁ DOS SANTOS")</f>
        <v/>
      </c>
      <c r="B145" s="34">
        <f>IFERROR(__xludf.DUMMYFUNCTION("""COMPUTED_VALUE"""),"Turma A")</f>
        <v/>
      </c>
      <c r="C145" s="34">
        <f>IFERROR(__xludf.DUMMYFUNCTION("""COMPUTED_VALUE"""),"Vespertino")</f>
        <v/>
      </c>
      <c r="D145" s="34" t="inlineStr">
        <is>
          <t>Veio</t>
        </is>
      </c>
      <c r="G145" s="24" t="n"/>
      <c r="H145" s="24" t="n"/>
      <c r="I145" s="24" t="n"/>
    </row>
    <row r="146">
      <c r="A146" s="34">
        <f>IFERROR(__xludf.DUMMYFUNCTION("""COMPUTED_VALUE"""),"Tatiana Alves Francisco")</f>
        <v/>
      </c>
      <c r="B146" s="34">
        <f>IFERROR(__xludf.DUMMYFUNCTION("""COMPUTED_VALUE"""),"Turma GR")</f>
        <v/>
      </c>
      <c r="C146" s="34">
        <f>IFERROR(__xludf.DUMMYFUNCTION("""COMPUTED_VALUE"""),"Vespertino")</f>
        <v/>
      </c>
      <c r="D146" s="34" t="inlineStr">
        <is>
          <t>Veio</t>
        </is>
      </c>
      <c r="G146" s="24" t="n"/>
      <c r="H146" s="24" t="n"/>
      <c r="I146" s="24" t="n"/>
    </row>
    <row r="147">
      <c r="A147" s="34">
        <f>IFERROR(__xludf.DUMMYFUNCTION("""COMPUTED_VALUE"""),"THAILA DA SILVA VITORIO")</f>
        <v/>
      </c>
      <c r="B147" s="34">
        <f>IFERROR(__xludf.DUMMYFUNCTION("""COMPUTED_VALUE"""),"Turma GR")</f>
        <v/>
      </c>
      <c r="C147" s="34">
        <f>IFERROR(__xludf.DUMMYFUNCTION("""COMPUTED_VALUE"""),"Vespertino")</f>
        <v/>
      </c>
      <c r="D147" s="34" t="inlineStr">
        <is>
          <t>Veio</t>
        </is>
      </c>
      <c r="G147" s="24" t="n"/>
      <c r="H147" s="24" t="n"/>
      <c r="I147" s="24" t="n"/>
    </row>
    <row r="148">
      <c r="A148" s="34">
        <f>IFERROR(__xludf.DUMMYFUNCTION("""COMPUTED_VALUE"""),"Thalles Ramon Da Pascoa Silva")</f>
        <v/>
      </c>
      <c r="B148" s="34">
        <f>IFERROR(__xludf.DUMMYFUNCTION("""COMPUTED_VALUE"""),"Turma D")</f>
        <v/>
      </c>
      <c r="C148" s="34">
        <f>IFERROR(__xludf.DUMMYFUNCTION("""COMPUTED_VALUE"""),"Vespertino")</f>
        <v/>
      </c>
      <c r="D148" s="34" t="inlineStr">
        <is>
          <t>Veio</t>
        </is>
      </c>
      <c r="G148" s="24" t="n"/>
      <c r="H148" s="24" t="n"/>
      <c r="I148" s="24" t="n"/>
    </row>
    <row r="149">
      <c r="A149" s="34">
        <f>IFERROR(__xludf.DUMMYFUNCTION("""COMPUTED_VALUE"""),"THIAGO PAULINO PEREIRA DE ARAÚJO")</f>
        <v/>
      </c>
      <c r="B149" s="34">
        <f>IFERROR(__xludf.DUMMYFUNCTION("""COMPUTED_VALUE"""),"Turma B1")</f>
        <v/>
      </c>
      <c r="C149" s="34">
        <f>IFERROR(__xludf.DUMMYFUNCTION("""COMPUTED_VALUE"""),"Vespertino")</f>
        <v/>
      </c>
      <c r="D149" s="34" t="inlineStr">
        <is>
          <t>Veio</t>
        </is>
      </c>
      <c r="G149" s="24" t="n"/>
      <c r="H149" s="24" t="n"/>
      <c r="I149" s="24" t="n"/>
    </row>
    <row r="150">
      <c r="A150" s="34">
        <f>IFERROR(__xludf.DUMMYFUNCTION("""COMPUTED_VALUE"""),"Uéltion Samuel Portugal De Almeida")</f>
        <v/>
      </c>
      <c r="B150" s="34">
        <f>IFERROR(__xludf.DUMMYFUNCTION("""COMPUTED_VALUE"""),"Turma C")</f>
        <v/>
      </c>
      <c r="C150" s="34">
        <f>IFERROR(__xludf.DUMMYFUNCTION("""COMPUTED_VALUE"""),"Matutino")</f>
        <v/>
      </c>
      <c r="D150" s="34" t="inlineStr">
        <is>
          <t>Veio</t>
        </is>
      </c>
      <c r="G150" s="24" t="n"/>
      <c r="H150" s="24" t="n"/>
      <c r="I150" s="24" t="n"/>
    </row>
    <row r="151">
      <c r="A151" s="34">
        <f>IFERROR(__xludf.DUMMYFUNCTION("""COMPUTED_VALUE"""),"Valdenira Silva Do Nascimento")</f>
        <v/>
      </c>
      <c r="B151" s="34">
        <f>IFERROR(__xludf.DUMMYFUNCTION("""COMPUTED_VALUE"""),"Turma D")</f>
        <v/>
      </c>
      <c r="C151" s="34">
        <f>IFERROR(__xludf.DUMMYFUNCTION("""COMPUTED_VALUE"""),"Vespertino")</f>
        <v/>
      </c>
      <c r="D151" s="34" t="inlineStr">
        <is>
          <t>Veio</t>
        </is>
      </c>
      <c r="G151" s="24" t="n"/>
      <c r="H151" s="24" t="n"/>
      <c r="I151" s="24" t="n"/>
    </row>
    <row r="152">
      <c r="A152" s="34">
        <f>IFERROR(__xludf.DUMMYFUNCTION("""COMPUTED_VALUE"""),"VALTER RODRIGUES LIMA NETO")</f>
        <v/>
      </c>
      <c r="B152" s="34">
        <f>IFERROR(__xludf.DUMMYFUNCTION("""COMPUTED_VALUE"""),"Turma A")</f>
        <v/>
      </c>
      <c r="C152" s="34">
        <f>IFERROR(__xludf.DUMMYFUNCTION("""COMPUTED_VALUE"""),"Vespertino")</f>
        <v/>
      </c>
      <c r="D152" s="34" t="inlineStr">
        <is>
          <t>Veio</t>
        </is>
      </c>
      <c r="G152" s="24" t="n"/>
      <c r="H152" s="24" t="n"/>
      <c r="I152" s="24" t="n"/>
    </row>
    <row r="153">
      <c r="A153" s="34">
        <f>IFERROR(__xludf.DUMMYFUNCTION("""COMPUTED_VALUE"""),"VICTOR EMANUEL ALMEIDA MARTINS")</f>
        <v/>
      </c>
      <c r="B153" s="34">
        <f>IFERROR(__xludf.DUMMYFUNCTION("""COMPUTED_VALUE"""),"Turma B1")</f>
        <v/>
      </c>
      <c r="C153" s="34">
        <f>IFERROR(__xludf.DUMMYFUNCTION("""COMPUTED_VALUE"""),"Vespertino")</f>
        <v/>
      </c>
      <c r="D153" s="34" t="inlineStr">
        <is>
          <t>Veio</t>
        </is>
      </c>
      <c r="G153" s="24" t="n"/>
      <c r="H153" s="24" t="n"/>
      <c r="I153" s="24" t="n"/>
    </row>
    <row r="154">
      <c r="A154" s="34">
        <f>IFERROR(__xludf.DUMMYFUNCTION("""COMPUTED_VALUE"""),"Victor Kauan Almeida D. Santos Jatobá")</f>
        <v/>
      </c>
      <c r="B154" s="34">
        <f>IFERROR(__xludf.DUMMYFUNCTION("""COMPUTED_VALUE"""),"Turma C")</f>
        <v/>
      </c>
      <c r="C154" s="34">
        <f>IFERROR(__xludf.DUMMYFUNCTION("""COMPUTED_VALUE"""),"Matutino")</f>
        <v/>
      </c>
      <c r="D154" s="34" t="inlineStr">
        <is>
          <t>Veio</t>
        </is>
      </c>
      <c r="G154" s="24" t="n"/>
      <c r="H154" s="24" t="n"/>
      <c r="I154" s="24" t="n"/>
    </row>
    <row r="155">
      <c r="A155" s="34">
        <f>IFERROR(__xludf.DUMMYFUNCTION("""COMPUTED_VALUE"""),"VITORIA BEZERRA MARTINS")</f>
        <v/>
      </c>
      <c r="B155" s="34">
        <f>IFERROR(__xludf.DUMMYFUNCTION("""COMPUTED_VALUE"""),"Turma E")</f>
        <v/>
      </c>
      <c r="C155" s="34">
        <f>IFERROR(__xludf.DUMMYFUNCTION("""COMPUTED_VALUE"""),"Vespertino")</f>
        <v/>
      </c>
      <c r="D155" s="34" t="inlineStr">
        <is>
          <t>Veio</t>
        </is>
      </c>
      <c r="G155" s="24" t="n"/>
      <c r="H155" s="24" t="n"/>
      <c r="I155" s="24" t="n"/>
    </row>
    <row r="156">
      <c r="A156" s="34">
        <f>IFERROR(__xludf.DUMMYFUNCTION("""COMPUTED_VALUE"""),"WEVERTON LEONARDO VIEIRA MARTINS")</f>
        <v/>
      </c>
      <c r="B156" s="34">
        <f>IFERROR(__xludf.DUMMYFUNCTION("""COMPUTED_VALUE"""),"Turma D")</f>
        <v/>
      </c>
      <c r="C156" s="34">
        <f>IFERROR(__xludf.DUMMYFUNCTION("""COMPUTED_VALUE"""),"Matutino")</f>
        <v/>
      </c>
      <c r="D156" s="34" t="inlineStr">
        <is>
          <t>Veio</t>
        </is>
      </c>
      <c r="G156" s="24" t="n"/>
      <c r="H156" s="24" t="n"/>
      <c r="I156" s="24" t="n"/>
    </row>
    <row r="157">
      <c r="A157" s="34">
        <f>IFERROR(__xludf.DUMMYFUNCTION("""COMPUTED_VALUE"""),"YASMYN THAUANY ALCANTARA MONTEIRO")</f>
        <v/>
      </c>
      <c r="B157" s="34">
        <f>IFERROR(__xludf.DUMMYFUNCTION("""COMPUTED_VALUE"""),"Turma D")</f>
        <v/>
      </c>
      <c r="C157" s="34">
        <f>IFERROR(__xludf.DUMMYFUNCTION("""COMPUTED_VALUE"""),"Matutino")</f>
        <v/>
      </c>
      <c r="D157" s="34" t="inlineStr">
        <is>
          <t>Veio</t>
        </is>
      </c>
      <c r="G157" s="24" t="n"/>
      <c r="H157" s="24" t="n"/>
      <c r="I157" s="24" t="n"/>
    </row>
    <row r="158">
      <c r="A158" s="34">
        <f>IFERROR(__xludf.DUMMYFUNCTION("""COMPUTED_VALUE"""),"GABRIEL SOUZA FERREIRA")</f>
        <v/>
      </c>
      <c r="B158" s="34">
        <f>IFERROR(__xludf.DUMMYFUNCTION("""COMPUTED_VALUE"""),"Turma GR")</f>
        <v/>
      </c>
      <c r="C158" s="34">
        <f>IFERROR(__xludf.DUMMYFUNCTION("""COMPUTED_VALUE"""),"Vespertino")</f>
        <v/>
      </c>
      <c r="G158" s="24" t="n"/>
      <c r="H158" s="24" t="n"/>
      <c r="I158" s="24" t="n"/>
    </row>
    <row r="159">
      <c r="G159" s="24" t="n"/>
      <c r="H159" s="24" t="n"/>
      <c r="I159" s="24" t="n"/>
    </row>
    <row r="160">
      <c r="G160" s="24" t="n"/>
      <c r="H160" s="24" t="n"/>
      <c r="I160" s="24" t="n"/>
    </row>
    <row r="161">
      <c r="G161" s="24" t="n"/>
      <c r="H161" s="24" t="n"/>
      <c r="I161" s="24" t="n"/>
    </row>
    <row r="162">
      <c r="G162" s="24" t="n"/>
      <c r="H162" s="24" t="n"/>
      <c r="I162" s="24" t="n"/>
    </row>
    <row r="163">
      <c r="G163" s="24" t="n"/>
      <c r="H163" s="24" t="n"/>
      <c r="I163" s="24" t="n"/>
    </row>
    <row r="164">
      <c r="G164" s="24" t="n"/>
      <c r="H164" s="24" t="n"/>
      <c r="I164" s="24" t="n"/>
    </row>
    <row r="165">
      <c r="G165" s="24" t="n"/>
      <c r="H165" s="24" t="n"/>
      <c r="I165" s="24" t="n"/>
    </row>
    <row r="166">
      <c r="G166" s="24" t="n"/>
      <c r="H166" s="24" t="n"/>
      <c r="I166" s="24" t="n"/>
    </row>
    <row r="167">
      <c r="G167" s="24" t="n"/>
      <c r="H167" s="24" t="n"/>
      <c r="I167" s="24" t="n"/>
    </row>
    <row r="168">
      <c r="G168" s="24" t="n"/>
      <c r="H168" s="24" t="n"/>
      <c r="I168" s="24" t="n"/>
    </row>
    <row r="169">
      <c r="G169" s="24" t="n"/>
      <c r="H169" s="24" t="n"/>
      <c r="I169" s="24" t="n"/>
    </row>
    <row r="170">
      <c r="G170" s="24" t="n"/>
      <c r="H170" s="24" t="n"/>
      <c r="I170" s="24" t="n"/>
    </row>
    <row r="171">
      <c r="G171" s="24" t="n"/>
      <c r="H171" s="24" t="n"/>
      <c r="I171" s="24" t="n"/>
    </row>
    <row r="172">
      <c r="G172" s="24" t="n"/>
      <c r="H172" s="24" t="n"/>
      <c r="I172" s="24" t="n"/>
    </row>
    <row r="173">
      <c r="G173" s="24" t="n"/>
      <c r="H173" s="24" t="n"/>
      <c r="I173" s="24" t="n"/>
    </row>
    <row r="174">
      <c r="G174" s="24" t="n"/>
      <c r="H174" s="24" t="n"/>
      <c r="I174" s="24" t="n"/>
    </row>
    <row r="175">
      <c r="G175" s="24" t="n"/>
      <c r="H175" s="24" t="n"/>
      <c r="I175" s="24" t="n"/>
    </row>
    <row r="176">
      <c r="G176" s="24" t="n"/>
      <c r="H176" s="24" t="n"/>
      <c r="I176" s="24" t="n"/>
    </row>
    <row r="177">
      <c r="G177" s="24" t="n"/>
      <c r="H177" s="24" t="n"/>
      <c r="I177" s="24" t="n"/>
    </row>
    <row r="178">
      <c r="G178" s="24" t="n"/>
      <c r="H178" s="24" t="n"/>
      <c r="I178" s="24" t="n"/>
    </row>
    <row r="179">
      <c r="G179" s="24" t="n"/>
      <c r="H179" s="24" t="n"/>
      <c r="I179" s="24" t="n"/>
    </row>
    <row r="180">
      <c r="G180" s="24" t="n"/>
      <c r="H180" s="24" t="n"/>
      <c r="I180" s="24" t="n"/>
    </row>
    <row r="181">
      <c r="G181" s="24" t="n"/>
      <c r="H181" s="24" t="n"/>
      <c r="I181" s="24" t="n"/>
    </row>
    <row r="182">
      <c r="G182" s="24" t="n"/>
      <c r="H182" s="24" t="n"/>
      <c r="I182" s="24" t="n"/>
    </row>
    <row r="183">
      <c r="G183" s="24" t="n"/>
      <c r="H183" s="24" t="n"/>
      <c r="I183" s="24" t="n"/>
    </row>
    <row r="184">
      <c r="G184" s="24" t="n"/>
      <c r="H184" s="24" t="n"/>
      <c r="I184" s="24" t="n"/>
    </row>
    <row r="185">
      <c r="G185" s="24" t="n"/>
      <c r="H185" s="24" t="n"/>
      <c r="I185" s="24" t="n"/>
    </row>
    <row r="186">
      <c r="G186" s="24" t="n"/>
      <c r="H186" s="24" t="n"/>
      <c r="I186" s="24" t="n"/>
    </row>
    <row r="187">
      <c r="G187" s="24" t="n"/>
      <c r="H187" s="24" t="n"/>
      <c r="I187" s="24" t="n"/>
    </row>
    <row r="188">
      <c r="G188" s="24" t="n"/>
      <c r="H188" s="24" t="n"/>
      <c r="I188" s="24" t="n"/>
    </row>
    <row r="189">
      <c r="G189" s="24" t="n"/>
      <c r="H189" s="24" t="n"/>
      <c r="I189" s="24" t="n"/>
    </row>
    <row r="190">
      <c r="G190" s="24" t="n"/>
      <c r="H190" s="24" t="n"/>
      <c r="I190" s="24" t="n"/>
    </row>
    <row r="191">
      <c r="G191" s="24" t="n"/>
      <c r="H191" s="24" t="n"/>
      <c r="I191" s="24" t="n"/>
    </row>
    <row r="192">
      <c r="G192" s="24" t="n"/>
      <c r="H192" s="24" t="n"/>
      <c r="I192" s="24" t="n"/>
    </row>
    <row r="193">
      <c r="G193" s="24" t="n"/>
      <c r="H193" s="24" t="n"/>
      <c r="I193" s="24" t="n"/>
    </row>
    <row r="194">
      <c r="G194" s="24" t="n"/>
      <c r="H194" s="24" t="n"/>
      <c r="I194" s="24" t="n"/>
    </row>
    <row r="195">
      <c r="G195" s="24" t="n"/>
      <c r="H195" s="24" t="n"/>
      <c r="I195" s="24" t="n"/>
    </row>
    <row r="196">
      <c r="G196" s="24" t="n"/>
      <c r="H196" s="24" t="n"/>
      <c r="I196" s="24" t="n"/>
    </row>
    <row r="197">
      <c r="G197" s="24" t="n"/>
      <c r="H197" s="24" t="n"/>
      <c r="I197" s="24" t="n"/>
    </row>
    <row r="198">
      <c r="G198" s="24" t="n"/>
      <c r="H198" s="24" t="n"/>
      <c r="I198" s="24" t="n"/>
    </row>
    <row r="199">
      <c r="G199" s="24" t="n"/>
      <c r="H199" s="24" t="n"/>
      <c r="I199" s="24" t="n"/>
    </row>
    <row r="200">
      <c r="G200" s="24" t="n"/>
      <c r="H200" s="24" t="n"/>
      <c r="I200" s="24" t="n"/>
    </row>
    <row r="201">
      <c r="G201" s="24" t="n"/>
      <c r="H201" s="24" t="n"/>
      <c r="I201" s="24" t="n"/>
    </row>
    <row r="202">
      <c r="G202" s="24" t="n"/>
      <c r="H202" s="24" t="n"/>
      <c r="I202" s="24" t="n"/>
    </row>
    <row r="203">
      <c r="G203" s="24" t="n"/>
      <c r="H203" s="24" t="n"/>
      <c r="I203" s="24" t="n"/>
    </row>
    <row r="204">
      <c r="G204" s="24" t="n"/>
      <c r="H204" s="24" t="n"/>
      <c r="I204" s="24" t="n"/>
    </row>
    <row r="205">
      <c r="G205" s="24" t="n"/>
      <c r="H205" s="24" t="n"/>
      <c r="I205" s="24" t="n"/>
    </row>
    <row r="206">
      <c r="G206" s="24" t="n"/>
      <c r="H206" s="24" t="n"/>
      <c r="I206" s="24" t="n"/>
    </row>
    <row r="207">
      <c r="G207" s="24" t="n"/>
      <c r="H207" s="24" t="n"/>
      <c r="I207" s="24" t="n"/>
    </row>
    <row r="208">
      <c r="G208" s="24" t="n"/>
      <c r="H208" s="24" t="n"/>
      <c r="I208" s="24" t="n"/>
    </row>
    <row r="209">
      <c r="G209" s="24" t="n"/>
      <c r="H209" s="24" t="n"/>
      <c r="I209" s="24" t="n"/>
    </row>
    <row r="210">
      <c r="G210" s="24" t="n"/>
      <c r="H210" s="24" t="n"/>
      <c r="I210" s="24" t="n"/>
    </row>
    <row r="211">
      <c r="G211" s="24" t="n"/>
      <c r="H211" s="24" t="n"/>
      <c r="I211" s="24" t="n"/>
    </row>
    <row r="212">
      <c r="G212" s="24" t="n"/>
      <c r="H212" s="24" t="n"/>
      <c r="I212" s="24" t="n"/>
    </row>
    <row r="213">
      <c r="G213" s="24" t="n"/>
      <c r="H213" s="24" t="n"/>
      <c r="I213" s="24" t="n"/>
    </row>
    <row r="214">
      <c r="G214" s="24" t="n"/>
      <c r="H214" s="24" t="n"/>
      <c r="I214" s="24" t="n"/>
    </row>
    <row r="215">
      <c r="G215" s="24" t="n"/>
      <c r="H215" s="24" t="n"/>
      <c r="I215" s="24" t="n"/>
    </row>
    <row r="216">
      <c r="G216" s="24" t="n"/>
      <c r="H216" s="24" t="n"/>
      <c r="I216" s="24" t="n"/>
    </row>
    <row r="217">
      <c r="G217" s="24" t="n"/>
      <c r="H217" s="24" t="n"/>
      <c r="I217" s="24" t="n"/>
    </row>
    <row r="218">
      <c r="G218" s="24" t="n"/>
      <c r="H218" s="24" t="n"/>
      <c r="I218" s="24" t="n"/>
    </row>
    <row r="219">
      <c r="G219" s="24" t="n"/>
      <c r="H219" s="24" t="n"/>
      <c r="I219" s="24" t="n"/>
    </row>
    <row r="220">
      <c r="G220" s="24" t="n"/>
      <c r="H220" s="24" t="n"/>
      <c r="I220" s="24" t="n"/>
    </row>
    <row r="221">
      <c r="G221" s="24" t="n"/>
      <c r="H221" s="24" t="n"/>
      <c r="I221" s="24" t="n"/>
    </row>
    <row r="222">
      <c r="G222" s="24" t="n"/>
      <c r="H222" s="24" t="n"/>
      <c r="I222" s="24" t="n"/>
    </row>
    <row r="223">
      <c r="G223" s="24" t="n"/>
      <c r="H223" s="24" t="n"/>
      <c r="I223" s="24" t="n"/>
    </row>
    <row r="224">
      <c r="G224" s="24" t="n"/>
      <c r="H224" s="24" t="n"/>
      <c r="I224" s="24" t="n"/>
    </row>
    <row r="225">
      <c r="G225" s="24" t="n"/>
      <c r="H225" s="24" t="n"/>
      <c r="I225" s="24" t="n"/>
    </row>
    <row r="226">
      <c r="G226" s="24" t="n"/>
      <c r="H226" s="24" t="n"/>
      <c r="I226" s="24" t="n"/>
    </row>
    <row r="227">
      <c r="G227" s="24" t="n"/>
      <c r="H227" s="24" t="n"/>
      <c r="I227" s="24" t="n"/>
    </row>
    <row r="228">
      <c r="G228" s="24" t="n"/>
      <c r="H228" s="24" t="n"/>
      <c r="I228" s="24" t="n"/>
    </row>
    <row r="229">
      <c r="G229" s="24" t="n"/>
      <c r="H229" s="24" t="n"/>
      <c r="I229" s="24" t="n"/>
    </row>
    <row r="230">
      <c r="G230" s="24" t="n"/>
      <c r="H230" s="24" t="n"/>
      <c r="I230" s="24" t="n"/>
    </row>
    <row r="231">
      <c r="G231" s="24" t="n"/>
      <c r="H231" s="24" t="n"/>
      <c r="I231" s="24" t="n"/>
    </row>
    <row r="232">
      <c r="G232" s="24" t="n"/>
      <c r="H232" s="24" t="n"/>
      <c r="I232" s="24" t="n"/>
    </row>
    <row r="233">
      <c r="G233" s="24" t="n"/>
      <c r="H233" s="24" t="n"/>
      <c r="I233" s="24" t="n"/>
    </row>
    <row r="234">
      <c r="G234" s="24" t="n"/>
      <c r="H234" s="24" t="n"/>
      <c r="I234" s="24" t="n"/>
    </row>
    <row r="235">
      <c r="G235" s="24" t="n"/>
      <c r="H235" s="24" t="n"/>
      <c r="I235" s="24" t="n"/>
    </row>
    <row r="236">
      <c r="G236" s="24" t="n"/>
      <c r="H236" s="24" t="n"/>
      <c r="I236" s="24" t="n"/>
    </row>
    <row r="237">
      <c r="G237" s="24" t="n"/>
      <c r="H237" s="24" t="n"/>
      <c r="I237" s="24" t="n"/>
    </row>
    <row r="238">
      <c r="G238" s="24" t="n"/>
      <c r="H238" s="24" t="n"/>
      <c r="I238" s="24" t="n"/>
    </row>
    <row r="239">
      <c r="G239" s="24" t="n"/>
      <c r="H239" s="24" t="n"/>
      <c r="I239" s="24" t="n"/>
    </row>
    <row r="240">
      <c r="G240" s="24" t="n"/>
      <c r="H240" s="24" t="n"/>
      <c r="I240" s="24" t="n"/>
    </row>
    <row r="241">
      <c r="G241" s="24" t="n"/>
      <c r="H241" s="24" t="n"/>
      <c r="I241" s="24" t="n"/>
    </row>
    <row r="242">
      <c r="G242" s="24" t="n"/>
      <c r="H242" s="24" t="n"/>
      <c r="I242" s="24" t="n"/>
    </row>
    <row r="243">
      <c r="G243" s="24" t="n"/>
      <c r="H243" s="24" t="n"/>
      <c r="I243" s="24" t="n"/>
    </row>
    <row r="244">
      <c r="G244" s="24" t="n"/>
      <c r="H244" s="24" t="n"/>
      <c r="I244" s="24" t="n"/>
    </row>
    <row r="245">
      <c r="G245" s="24" t="n"/>
      <c r="H245" s="24" t="n"/>
      <c r="I245" s="24" t="n"/>
    </row>
    <row r="246">
      <c r="G246" s="24" t="n"/>
      <c r="H246" s="24" t="n"/>
      <c r="I246" s="24" t="n"/>
    </row>
    <row r="247">
      <c r="G247" s="24" t="n"/>
      <c r="H247" s="24" t="n"/>
      <c r="I247" s="24" t="n"/>
    </row>
    <row r="248">
      <c r="G248" s="24" t="n"/>
      <c r="H248" s="24" t="n"/>
      <c r="I248" s="24" t="n"/>
    </row>
    <row r="249">
      <c r="G249" s="24" t="n"/>
      <c r="H249" s="24" t="n"/>
      <c r="I249" s="24" t="n"/>
    </row>
    <row r="250">
      <c r="G250" s="24" t="n"/>
      <c r="H250" s="24" t="n"/>
      <c r="I250" s="24" t="n"/>
    </row>
    <row r="251">
      <c r="G251" s="24" t="n"/>
      <c r="H251" s="24" t="n"/>
      <c r="I251" s="24" t="n"/>
    </row>
    <row r="252">
      <c r="G252" s="24" t="n"/>
      <c r="H252" s="24" t="n"/>
      <c r="I252" s="24" t="n"/>
    </row>
    <row r="253">
      <c r="G253" s="24" t="n"/>
      <c r="H253" s="24" t="n"/>
      <c r="I253" s="24" t="n"/>
    </row>
    <row r="254">
      <c r="G254" s="24" t="n"/>
      <c r="H254" s="24" t="n"/>
      <c r="I254" s="24" t="n"/>
    </row>
    <row r="255">
      <c r="G255" s="24" t="n"/>
      <c r="H255" s="24" t="n"/>
      <c r="I255" s="24" t="n"/>
    </row>
    <row r="256">
      <c r="G256" s="24" t="n"/>
      <c r="H256" s="24" t="n"/>
      <c r="I256" s="24" t="n"/>
    </row>
    <row r="257">
      <c r="G257" s="24" t="n"/>
      <c r="H257" s="24" t="n"/>
      <c r="I257" s="24" t="n"/>
    </row>
    <row r="258">
      <c r="G258" s="24" t="n"/>
      <c r="H258" s="24" t="n"/>
      <c r="I258" s="24" t="n"/>
    </row>
    <row r="259">
      <c r="G259" s="24" t="n"/>
      <c r="H259" s="24" t="n"/>
      <c r="I259" s="24" t="n"/>
    </row>
    <row r="260">
      <c r="G260" s="24" t="n"/>
      <c r="H260" s="24" t="n"/>
      <c r="I260" s="24" t="n"/>
    </row>
    <row r="261">
      <c r="G261" s="24" t="n"/>
      <c r="H261" s="24" t="n"/>
      <c r="I261" s="24" t="n"/>
    </row>
    <row r="262">
      <c r="G262" s="24" t="n"/>
      <c r="H262" s="24" t="n"/>
      <c r="I262" s="24" t="n"/>
    </row>
    <row r="263">
      <c r="G263" s="24" t="n"/>
      <c r="H263" s="24" t="n"/>
      <c r="I263" s="24" t="n"/>
    </row>
    <row r="264">
      <c r="G264" s="24" t="n"/>
      <c r="H264" s="24" t="n"/>
      <c r="I264" s="24" t="n"/>
    </row>
    <row r="265">
      <c r="G265" s="24" t="n"/>
      <c r="H265" s="24" t="n"/>
      <c r="I265" s="24" t="n"/>
    </row>
    <row r="266">
      <c r="G266" s="24" t="n"/>
      <c r="H266" s="24" t="n"/>
      <c r="I266" s="24" t="n"/>
    </row>
    <row r="267">
      <c r="G267" s="24" t="n"/>
      <c r="H267" s="24" t="n"/>
      <c r="I267" s="24" t="n"/>
    </row>
    <row r="268">
      <c r="G268" s="24" t="n"/>
      <c r="H268" s="24" t="n"/>
      <c r="I268" s="24" t="n"/>
    </row>
    <row r="269">
      <c r="G269" s="24" t="n"/>
      <c r="H269" s="24" t="n"/>
      <c r="I269" s="24" t="n"/>
    </row>
    <row r="270">
      <c r="G270" s="24" t="n"/>
      <c r="H270" s="24" t="n"/>
      <c r="I270" s="24" t="n"/>
    </row>
    <row r="271">
      <c r="G271" s="24" t="n"/>
      <c r="H271" s="24" t="n"/>
      <c r="I271" s="24" t="n"/>
    </row>
    <row r="272">
      <c r="G272" s="24" t="n"/>
      <c r="H272" s="24" t="n"/>
      <c r="I272" s="24" t="n"/>
    </row>
    <row r="273">
      <c r="G273" s="24" t="n"/>
      <c r="H273" s="24" t="n"/>
      <c r="I273" s="24" t="n"/>
    </row>
    <row r="274">
      <c r="G274" s="24" t="n"/>
      <c r="H274" s="24" t="n"/>
      <c r="I274" s="24" t="n"/>
    </row>
    <row r="275">
      <c r="G275" s="24" t="n"/>
      <c r="H275" s="24" t="n"/>
      <c r="I275" s="24" t="n"/>
    </row>
    <row r="276">
      <c r="G276" s="24" t="n"/>
      <c r="H276" s="24" t="n"/>
      <c r="I276" s="24" t="n"/>
    </row>
    <row r="277">
      <c r="G277" s="24" t="n"/>
      <c r="H277" s="24" t="n"/>
      <c r="I277" s="24" t="n"/>
    </row>
    <row r="278">
      <c r="G278" s="24" t="n"/>
      <c r="H278" s="24" t="n"/>
      <c r="I278" s="24" t="n"/>
    </row>
    <row r="279">
      <c r="G279" s="24" t="n"/>
      <c r="H279" s="24" t="n"/>
      <c r="I279" s="24" t="n"/>
    </row>
    <row r="280">
      <c r="G280" s="24" t="n"/>
      <c r="H280" s="24" t="n"/>
      <c r="I280" s="24" t="n"/>
    </row>
    <row r="281">
      <c r="G281" s="24" t="n"/>
      <c r="H281" s="24" t="n"/>
      <c r="I281" s="24" t="n"/>
    </row>
    <row r="282">
      <c r="G282" s="24" t="n"/>
      <c r="H282" s="24" t="n"/>
      <c r="I282" s="24" t="n"/>
    </row>
    <row r="283">
      <c r="G283" s="24" t="n"/>
      <c r="H283" s="24" t="n"/>
      <c r="I283" s="24" t="n"/>
    </row>
    <row r="284">
      <c r="G284" s="24" t="n"/>
      <c r="H284" s="24" t="n"/>
      <c r="I284" s="24" t="n"/>
    </row>
    <row r="285">
      <c r="G285" s="24" t="n"/>
      <c r="H285" s="24" t="n"/>
      <c r="I285" s="24" t="n"/>
    </row>
    <row r="286">
      <c r="G286" s="24" t="n"/>
      <c r="H286" s="24" t="n"/>
      <c r="I286" s="24" t="n"/>
    </row>
    <row r="287">
      <c r="G287" s="24" t="n"/>
      <c r="H287" s="24" t="n"/>
      <c r="I287" s="24" t="n"/>
    </row>
    <row r="288">
      <c r="G288" s="24" t="n"/>
      <c r="H288" s="24" t="n"/>
      <c r="I288" s="24" t="n"/>
    </row>
    <row r="289">
      <c r="G289" s="24" t="n"/>
      <c r="H289" s="24" t="n"/>
      <c r="I289" s="24" t="n"/>
    </row>
    <row r="290">
      <c r="G290" s="24" t="n"/>
      <c r="H290" s="24" t="n"/>
      <c r="I290" s="24" t="n"/>
    </row>
    <row r="291">
      <c r="G291" s="24" t="n"/>
      <c r="H291" s="24" t="n"/>
      <c r="I291" s="24" t="n"/>
    </row>
    <row r="292">
      <c r="G292" s="24" t="n"/>
      <c r="H292" s="24" t="n"/>
      <c r="I292" s="24" t="n"/>
    </row>
    <row r="293">
      <c r="G293" s="24" t="n"/>
      <c r="H293" s="24" t="n"/>
      <c r="I293" s="24" t="n"/>
    </row>
    <row r="294">
      <c r="G294" s="24" t="n"/>
      <c r="H294" s="24" t="n"/>
      <c r="I294" s="24" t="n"/>
    </row>
    <row r="295">
      <c r="G295" s="24" t="n"/>
      <c r="H295" s="24" t="n"/>
      <c r="I295" s="24" t="n"/>
    </row>
    <row r="296">
      <c r="G296" s="24" t="n"/>
      <c r="H296" s="24" t="n"/>
      <c r="I296" s="24" t="n"/>
    </row>
    <row r="297">
      <c r="G297" s="24" t="n"/>
      <c r="H297" s="24" t="n"/>
      <c r="I297" s="24" t="n"/>
    </row>
    <row r="298">
      <c r="G298" s="24" t="n"/>
      <c r="H298" s="24" t="n"/>
      <c r="I298" s="24" t="n"/>
    </row>
    <row r="299">
      <c r="G299" s="24" t="n"/>
      <c r="H299" s="24" t="n"/>
      <c r="I299" s="24" t="n"/>
    </row>
    <row r="300">
      <c r="G300" s="24" t="n"/>
      <c r="H300" s="24" t="n"/>
      <c r="I300" s="24" t="n"/>
    </row>
    <row r="301">
      <c r="G301" s="24" t="n"/>
      <c r="H301" s="24" t="n"/>
      <c r="I301" s="24" t="n"/>
    </row>
    <row r="302">
      <c r="G302" s="24" t="n"/>
      <c r="H302" s="24" t="n"/>
      <c r="I302" s="24" t="n"/>
    </row>
    <row r="303">
      <c r="G303" s="24" t="n"/>
      <c r="H303" s="24" t="n"/>
      <c r="I303" s="24" t="n"/>
    </row>
    <row r="304">
      <c r="G304" s="24" t="n"/>
      <c r="H304" s="24" t="n"/>
      <c r="I304" s="24" t="n"/>
    </row>
    <row r="305">
      <c r="G305" s="24" t="n"/>
      <c r="H305" s="24" t="n"/>
      <c r="I305" s="24" t="n"/>
    </row>
    <row r="306">
      <c r="G306" s="24" t="n"/>
      <c r="H306" s="24" t="n"/>
      <c r="I306" s="24" t="n"/>
    </row>
    <row r="307">
      <c r="G307" s="24" t="n"/>
      <c r="H307" s="24" t="n"/>
      <c r="I307" s="24" t="n"/>
    </row>
    <row r="308">
      <c r="G308" s="24" t="n"/>
      <c r="H308" s="24" t="n"/>
      <c r="I308" s="24" t="n"/>
    </row>
    <row r="309">
      <c r="G309" s="24" t="n"/>
      <c r="H309" s="24" t="n"/>
      <c r="I309" s="24" t="n"/>
    </row>
    <row r="310">
      <c r="G310" s="24" t="n"/>
      <c r="H310" s="24" t="n"/>
      <c r="I310" s="24" t="n"/>
    </row>
    <row r="311">
      <c r="G311" s="24" t="n"/>
      <c r="H311" s="24" t="n"/>
      <c r="I311" s="24" t="n"/>
    </row>
    <row r="312">
      <c r="G312" s="24" t="n"/>
      <c r="H312" s="24" t="n"/>
      <c r="I312" s="24" t="n"/>
    </row>
    <row r="313">
      <c r="G313" s="24" t="n"/>
      <c r="H313" s="24" t="n"/>
      <c r="I313" s="24" t="n"/>
    </row>
    <row r="314">
      <c r="G314" s="24" t="n"/>
      <c r="H314" s="24" t="n"/>
      <c r="I314" s="24" t="n"/>
    </row>
    <row r="315">
      <c r="G315" s="24" t="n"/>
      <c r="H315" s="24" t="n"/>
      <c r="I315" s="24" t="n"/>
    </row>
    <row r="316">
      <c r="G316" s="24" t="n"/>
      <c r="H316" s="24" t="n"/>
      <c r="I316" s="24" t="n"/>
    </row>
    <row r="317">
      <c r="G317" s="24" t="n"/>
      <c r="H317" s="24" t="n"/>
      <c r="I317" s="24" t="n"/>
    </row>
    <row r="318">
      <c r="G318" s="24" t="n"/>
      <c r="H318" s="24" t="n"/>
      <c r="I318" s="24" t="n"/>
    </row>
    <row r="319">
      <c r="G319" s="24" t="n"/>
      <c r="H319" s="24" t="n"/>
      <c r="I319" s="24" t="n"/>
    </row>
    <row r="320">
      <c r="G320" s="24" t="n"/>
      <c r="H320" s="24" t="n"/>
      <c r="I320" s="24" t="n"/>
    </row>
    <row r="321">
      <c r="G321" s="24" t="n"/>
      <c r="H321" s="24" t="n"/>
      <c r="I321" s="24" t="n"/>
    </row>
    <row r="322">
      <c r="G322" s="24" t="n"/>
      <c r="H322" s="24" t="n"/>
      <c r="I322" s="24" t="n"/>
    </row>
    <row r="323">
      <c r="G323" s="24" t="n"/>
      <c r="H323" s="24" t="n"/>
      <c r="I323" s="24" t="n"/>
    </row>
    <row r="324">
      <c r="G324" s="24" t="n"/>
      <c r="H324" s="24" t="n"/>
      <c r="I324" s="24" t="n"/>
    </row>
    <row r="325">
      <c r="G325" s="24" t="n"/>
      <c r="H325" s="24" t="n"/>
      <c r="I325" s="24" t="n"/>
    </row>
    <row r="326">
      <c r="G326" s="24" t="n"/>
      <c r="H326" s="24" t="n"/>
      <c r="I326" s="24" t="n"/>
    </row>
    <row r="327">
      <c r="G327" s="24" t="n"/>
      <c r="H327" s="24" t="n"/>
      <c r="I327" s="24" t="n"/>
    </row>
    <row r="328">
      <c r="G328" s="24" t="n"/>
      <c r="H328" s="24" t="n"/>
      <c r="I328" s="24" t="n"/>
    </row>
    <row r="329">
      <c r="G329" s="24" t="n"/>
      <c r="H329" s="24" t="n"/>
      <c r="I329" s="24" t="n"/>
    </row>
    <row r="330">
      <c r="G330" s="24" t="n"/>
      <c r="H330" s="24" t="n"/>
      <c r="I330" s="24" t="n"/>
    </row>
    <row r="331">
      <c r="G331" s="24" t="n"/>
      <c r="H331" s="24" t="n"/>
      <c r="I331" s="24" t="n"/>
    </row>
    <row r="332">
      <c r="G332" s="24" t="n"/>
      <c r="H332" s="24" t="n"/>
      <c r="I332" s="24" t="n"/>
    </row>
    <row r="333">
      <c r="G333" s="24" t="n"/>
      <c r="H333" s="24" t="n"/>
      <c r="I333" s="24" t="n"/>
    </row>
    <row r="334">
      <c r="G334" s="24" t="n"/>
      <c r="H334" s="24" t="n"/>
      <c r="I334" s="24" t="n"/>
    </row>
    <row r="335">
      <c r="G335" s="24" t="n"/>
      <c r="H335" s="24" t="n"/>
      <c r="I335" s="24" t="n"/>
    </row>
    <row r="336">
      <c r="G336" s="24" t="n"/>
      <c r="H336" s="24" t="n"/>
      <c r="I336" s="24" t="n"/>
    </row>
    <row r="337">
      <c r="G337" s="24" t="n"/>
      <c r="H337" s="24" t="n"/>
      <c r="I337" s="24" t="n"/>
    </row>
    <row r="338">
      <c r="G338" s="24" t="n"/>
      <c r="H338" s="24" t="n"/>
      <c r="I338" s="24" t="n"/>
    </row>
    <row r="339">
      <c r="G339" s="24" t="n"/>
      <c r="H339" s="24" t="n"/>
      <c r="I339" s="24" t="n"/>
    </row>
    <row r="340">
      <c r="G340" s="24" t="n"/>
      <c r="H340" s="24" t="n"/>
      <c r="I340" s="24" t="n"/>
    </row>
    <row r="341">
      <c r="G341" s="24" t="n"/>
      <c r="H341" s="24" t="n"/>
      <c r="I341" s="24" t="n"/>
    </row>
    <row r="342">
      <c r="G342" s="24" t="n"/>
      <c r="H342" s="24" t="n"/>
      <c r="I342" s="24" t="n"/>
    </row>
    <row r="343">
      <c r="G343" s="24" t="n"/>
      <c r="H343" s="24" t="n"/>
      <c r="I343" s="24" t="n"/>
    </row>
    <row r="344">
      <c r="G344" s="24" t="n"/>
      <c r="H344" s="24" t="n"/>
      <c r="I344" s="24" t="n"/>
    </row>
    <row r="345">
      <c r="G345" s="24" t="n"/>
      <c r="H345" s="24" t="n"/>
      <c r="I345" s="24" t="n"/>
    </row>
    <row r="346">
      <c r="G346" s="24" t="n"/>
      <c r="H346" s="24" t="n"/>
      <c r="I346" s="24" t="n"/>
    </row>
    <row r="347">
      <c r="G347" s="24" t="n"/>
      <c r="H347" s="24" t="n"/>
      <c r="I347" s="24" t="n"/>
    </row>
    <row r="348">
      <c r="G348" s="24" t="n"/>
      <c r="H348" s="24" t="n"/>
      <c r="I348" s="24" t="n"/>
    </row>
    <row r="349">
      <c r="G349" s="24" t="n"/>
      <c r="H349" s="24" t="n"/>
      <c r="I349" s="24" t="n"/>
    </row>
    <row r="350">
      <c r="G350" s="24" t="n"/>
      <c r="H350" s="24" t="n"/>
      <c r="I350" s="24" t="n"/>
    </row>
    <row r="351">
      <c r="G351" s="24" t="n"/>
      <c r="H351" s="24" t="n"/>
      <c r="I351" s="24" t="n"/>
    </row>
    <row r="352">
      <c r="G352" s="24" t="n"/>
      <c r="H352" s="24" t="n"/>
      <c r="I352" s="24" t="n"/>
    </row>
    <row r="353">
      <c r="G353" s="24" t="n"/>
      <c r="H353" s="24" t="n"/>
      <c r="I353" s="24" t="n"/>
    </row>
    <row r="354">
      <c r="G354" s="24" t="n"/>
      <c r="H354" s="24" t="n"/>
      <c r="I354" s="24" t="n"/>
    </row>
    <row r="355">
      <c r="G355" s="24" t="n"/>
      <c r="H355" s="24" t="n"/>
      <c r="I355" s="24" t="n"/>
    </row>
    <row r="356">
      <c r="G356" s="24" t="n"/>
      <c r="H356" s="24" t="n"/>
      <c r="I356" s="24" t="n"/>
    </row>
    <row r="357">
      <c r="G357" s="24" t="n"/>
      <c r="H357" s="24" t="n"/>
      <c r="I357" s="24" t="n"/>
    </row>
    <row r="358">
      <c r="G358" s="24" t="n"/>
      <c r="H358" s="24" t="n"/>
      <c r="I358" s="24" t="n"/>
    </row>
    <row r="359">
      <c r="G359" s="24" t="n"/>
      <c r="H359" s="24" t="n"/>
      <c r="I359" s="24" t="n"/>
    </row>
    <row r="360">
      <c r="G360" s="24" t="n"/>
      <c r="H360" s="24" t="n"/>
      <c r="I360" s="24" t="n"/>
    </row>
    <row r="361">
      <c r="G361" s="24" t="n"/>
      <c r="H361" s="24" t="n"/>
      <c r="I361" s="24" t="n"/>
    </row>
    <row r="362">
      <c r="G362" s="24" t="n"/>
      <c r="H362" s="24" t="n"/>
      <c r="I362" s="24" t="n"/>
    </row>
    <row r="363">
      <c r="G363" s="24" t="n"/>
      <c r="H363" s="24" t="n"/>
      <c r="I363" s="24" t="n"/>
    </row>
    <row r="364">
      <c r="G364" s="24" t="n"/>
      <c r="H364" s="24" t="n"/>
      <c r="I364" s="24" t="n"/>
    </row>
    <row r="365">
      <c r="G365" s="24" t="n"/>
      <c r="H365" s="24" t="n"/>
      <c r="I365" s="24" t="n"/>
    </row>
    <row r="366">
      <c r="G366" s="24" t="n"/>
      <c r="H366" s="24" t="n"/>
      <c r="I366" s="24" t="n"/>
    </row>
    <row r="367">
      <c r="G367" s="24" t="n"/>
      <c r="H367" s="24" t="n"/>
      <c r="I367" s="24" t="n"/>
    </row>
    <row r="368">
      <c r="G368" s="24" t="n"/>
      <c r="H368" s="24" t="n"/>
      <c r="I368" s="24" t="n"/>
    </row>
    <row r="369">
      <c r="G369" s="24" t="n"/>
      <c r="H369" s="24" t="n"/>
      <c r="I369" s="24" t="n"/>
    </row>
    <row r="370">
      <c r="G370" s="24" t="n"/>
      <c r="H370" s="24" t="n"/>
      <c r="I370" s="24" t="n"/>
    </row>
    <row r="371">
      <c r="G371" s="24" t="n"/>
      <c r="H371" s="24" t="n"/>
      <c r="I371" s="24" t="n"/>
    </row>
    <row r="372">
      <c r="G372" s="24" t="n"/>
      <c r="H372" s="24" t="n"/>
      <c r="I372" s="24" t="n"/>
    </row>
    <row r="373">
      <c r="G373" s="24" t="n"/>
      <c r="H373" s="24" t="n"/>
      <c r="I373" s="24" t="n"/>
    </row>
    <row r="374">
      <c r="G374" s="24" t="n"/>
      <c r="H374" s="24" t="n"/>
      <c r="I374" s="24" t="n"/>
    </row>
    <row r="375">
      <c r="G375" s="24" t="n"/>
      <c r="H375" s="24" t="n"/>
      <c r="I375" s="24" t="n"/>
    </row>
    <row r="376">
      <c r="G376" s="24" t="n"/>
      <c r="H376" s="24" t="n"/>
      <c r="I376" s="24" t="n"/>
    </row>
    <row r="377">
      <c r="G377" s="24" t="n"/>
      <c r="H377" s="24" t="n"/>
      <c r="I377" s="24" t="n"/>
    </row>
    <row r="378">
      <c r="G378" s="24" t="n"/>
      <c r="H378" s="24" t="n"/>
      <c r="I378" s="24" t="n"/>
    </row>
    <row r="379">
      <c r="G379" s="24" t="n"/>
      <c r="H379" s="24" t="n"/>
      <c r="I379" s="24" t="n"/>
    </row>
    <row r="380">
      <c r="G380" s="24" t="n"/>
      <c r="H380" s="24" t="n"/>
      <c r="I380" s="24" t="n"/>
    </row>
    <row r="381">
      <c r="G381" s="24" t="n"/>
      <c r="H381" s="24" t="n"/>
      <c r="I381" s="24" t="n"/>
    </row>
    <row r="382">
      <c r="G382" s="24" t="n"/>
      <c r="H382" s="24" t="n"/>
      <c r="I382" s="24" t="n"/>
    </row>
    <row r="383">
      <c r="G383" s="24" t="n"/>
      <c r="H383" s="24" t="n"/>
      <c r="I383" s="24" t="n"/>
    </row>
    <row r="384">
      <c r="G384" s="24" t="n"/>
      <c r="H384" s="24" t="n"/>
      <c r="I384" s="24" t="n"/>
    </row>
    <row r="385">
      <c r="G385" s="24" t="n"/>
      <c r="H385" s="24" t="n"/>
      <c r="I385" s="24" t="n"/>
    </row>
    <row r="386">
      <c r="G386" s="24" t="n"/>
      <c r="H386" s="24" t="n"/>
      <c r="I386" s="24" t="n"/>
    </row>
    <row r="387">
      <c r="G387" s="24" t="n"/>
      <c r="H387" s="24" t="n"/>
      <c r="I387" s="24" t="n"/>
    </row>
    <row r="388">
      <c r="G388" s="24" t="n"/>
      <c r="H388" s="24" t="n"/>
      <c r="I388" s="24" t="n"/>
    </row>
    <row r="389">
      <c r="G389" s="24" t="n"/>
      <c r="H389" s="24" t="n"/>
      <c r="I389" s="24" t="n"/>
    </row>
    <row r="390">
      <c r="G390" s="24" t="n"/>
      <c r="H390" s="24" t="n"/>
      <c r="I390" s="24" t="n"/>
    </row>
    <row r="391">
      <c r="G391" s="24" t="n"/>
      <c r="H391" s="24" t="n"/>
      <c r="I391" s="24" t="n"/>
    </row>
    <row r="392">
      <c r="G392" s="24" t="n"/>
      <c r="H392" s="24" t="n"/>
      <c r="I392" s="24" t="n"/>
    </row>
    <row r="393">
      <c r="G393" s="24" t="n"/>
      <c r="H393" s="24" t="n"/>
      <c r="I393" s="24" t="n"/>
    </row>
    <row r="394">
      <c r="G394" s="24" t="n"/>
      <c r="H394" s="24" t="n"/>
      <c r="I394" s="24" t="n"/>
    </row>
    <row r="395">
      <c r="G395" s="24" t="n"/>
      <c r="H395" s="24" t="n"/>
      <c r="I395" s="24" t="n"/>
    </row>
    <row r="396">
      <c r="G396" s="24" t="n"/>
      <c r="H396" s="24" t="n"/>
      <c r="I396" s="24" t="n"/>
    </row>
    <row r="397">
      <c r="G397" s="24" t="n"/>
      <c r="H397" s="24" t="n"/>
      <c r="I397" s="24" t="n"/>
    </row>
    <row r="398">
      <c r="G398" s="24" t="n"/>
      <c r="H398" s="24" t="n"/>
      <c r="I398" s="24" t="n"/>
    </row>
    <row r="399">
      <c r="G399" s="24" t="n"/>
      <c r="H399" s="24" t="n"/>
      <c r="I399" s="24" t="n"/>
    </row>
    <row r="400">
      <c r="G400" s="24" t="n"/>
      <c r="H400" s="24" t="n"/>
      <c r="I400" s="24" t="n"/>
    </row>
    <row r="401">
      <c r="G401" s="24" t="n"/>
      <c r="H401" s="24" t="n"/>
      <c r="I401" s="24" t="n"/>
    </row>
    <row r="402">
      <c r="G402" s="24" t="n"/>
      <c r="H402" s="24" t="n"/>
      <c r="I402" s="24" t="n"/>
    </row>
    <row r="403">
      <c r="G403" s="24" t="n"/>
      <c r="H403" s="24" t="n"/>
      <c r="I403" s="24" t="n"/>
    </row>
    <row r="404">
      <c r="G404" s="24" t="n"/>
      <c r="H404" s="24" t="n"/>
      <c r="I404" s="24" t="n"/>
    </row>
    <row r="405">
      <c r="G405" s="24" t="n"/>
      <c r="H405" s="24" t="n"/>
      <c r="I405" s="24" t="n"/>
    </row>
    <row r="406">
      <c r="G406" s="24" t="n"/>
      <c r="H406" s="24" t="n"/>
      <c r="I406" s="24" t="n"/>
    </row>
    <row r="407">
      <c r="G407" s="24" t="n"/>
      <c r="H407" s="24" t="n"/>
      <c r="I407" s="24" t="n"/>
    </row>
    <row r="408">
      <c r="G408" s="24" t="n"/>
      <c r="H408" s="24" t="n"/>
      <c r="I408" s="24" t="n"/>
    </row>
    <row r="409">
      <c r="G409" s="24" t="n"/>
      <c r="H409" s="24" t="n"/>
      <c r="I409" s="24" t="n"/>
    </row>
    <row r="410">
      <c r="G410" s="24" t="n"/>
      <c r="H410" s="24" t="n"/>
      <c r="I410" s="24" t="n"/>
    </row>
    <row r="411">
      <c r="G411" s="24" t="n"/>
      <c r="H411" s="24" t="n"/>
      <c r="I411" s="24" t="n"/>
    </row>
    <row r="412">
      <c r="G412" s="24" t="n"/>
      <c r="H412" s="24" t="n"/>
      <c r="I412" s="24" t="n"/>
    </row>
    <row r="413">
      <c r="G413" s="24" t="n"/>
      <c r="H413" s="24" t="n"/>
      <c r="I413" s="24" t="n"/>
    </row>
    <row r="414">
      <c r="G414" s="24" t="n"/>
      <c r="H414" s="24" t="n"/>
      <c r="I414" s="24" t="n"/>
    </row>
    <row r="415">
      <c r="G415" s="24" t="n"/>
      <c r="H415" s="24" t="n"/>
      <c r="I415" s="24" t="n"/>
    </row>
    <row r="416">
      <c r="G416" s="24" t="n"/>
      <c r="H416" s="24" t="n"/>
      <c r="I416" s="24" t="n"/>
    </row>
    <row r="417">
      <c r="G417" s="24" t="n"/>
      <c r="H417" s="24" t="n"/>
      <c r="I417" s="24" t="n"/>
    </row>
    <row r="418">
      <c r="G418" s="24" t="n"/>
      <c r="H418" s="24" t="n"/>
      <c r="I418" s="24" t="n"/>
    </row>
    <row r="419">
      <c r="G419" s="24" t="n"/>
      <c r="H419" s="24" t="n"/>
      <c r="I419" s="24" t="n"/>
    </row>
    <row r="420">
      <c r="G420" s="24" t="n"/>
      <c r="H420" s="24" t="n"/>
      <c r="I420" s="24" t="n"/>
    </row>
    <row r="421">
      <c r="G421" s="24" t="n"/>
      <c r="H421" s="24" t="n"/>
      <c r="I421" s="24" t="n"/>
    </row>
    <row r="422">
      <c r="G422" s="24" t="n"/>
      <c r="H422" s="24" t="n"/>
      <c r="I422" s="24" t="n"/>
    </row>
    <row r="423">
      <c r="G423" s="24" t="n"/>
      <c r="H423" s="24" t="n"/>
      <c r="I423" s="24" t="n"/>
    </row>
    <row r="424">
      <c r="G424" s="24" t="n"/>
      <c r="H424" s="24" t="n"/>
      <c r="I424" s="24" t="n"/>
    </row>
    <row r="425">
      <c r="G425" s="24" t="n"/>
      <c r="H425" s="24" t="n"/>
      <c r="I425" s="24" t="n"/>
    </row>
    <row r="426">
      <c r="G426" s="24" t="n"/>
      <c r="H426" s="24" t="n"/>
      <c r="I426" s="24" t="n"/>
    </row>
    <row r="427">
      <c r="G427" s="24" t="n"/>
      <c r="H427" s="24" t="n"/>
      <c r="I427" s="24" t="n"/>
    </row>
    <row r="428">
      <c r="G428" s="24" t="n"/>
      <c r="H428" s="24" t="n"/>
      <c r="I428" s="24" t="n"/>
    </row>
    <row r="429">
      <c r="G429" s="24" t="n"/>
      <c r="H429" s="24" t="n"/>
      <c r="I429" s="24" t="n"/>
    </row>
    <row r="430">
      <c r="G430" s="24" t="n"/>
      <c r="H430" s="24" t="n"/>
      <c r="I430" s="24" t="n"/>
    </row>
    <row r="431">
      <c r="G431" s="24" t="n"/>
      <c r="H431" s="24" t="n"/>
      <c r="I431" s="24" t="n"/>
    </row>
    <row r="432">
      <c r="G432" s="24" t="n"/>
      <c r="H432" s="24" t="n"/>
      <c r="I432" s="24" t="n"/>
    </row>
    <row r="433">
      <c r="G433" s="24" t="n"/>
      <c r="H433" s="24" t="n"/>
      <c r="I433" s="24" t="n"/>
    </row>
    <row r="434">
      <c r="G434" s="24" t="n"/>
      <c r="H434" s="24" t="n"/>
      <c r="I434" s="24" t="n"/>
    </row>
    <row r="435">
      <c r="G435" s="24" t="n"/>
      <c r="H435" s="24" t="n"/>
      <c r="I435" s="24" t="n"/>
    </row>
    <row r="436">
      <c r="G436" s="24" t="n"/>
      <c r="H436" s="24" t="n"/>
      <c r="I436" s="24" t="n"/>
    </row>
    <row r="437">
      <c r="G437" s="24" t="n"/>
      <c r="H437" s="24" t="n"/>
      <c r="I437" s="24" t="n"/>
    </row>
    <row r="438">
      <c r="G438" s="24" t="n"/>
      <c r="H438" s="24" t="n"/>
      <c r="I438" s="24" t="n"/>
    </row>
    <row r="439">
      <c r="G439" s="24" t="n"/>
      <c r="H439" s="24" t="n"/>
      <c r="I439" s="24" t="n"/>
    </row>
    <row r="440">
      <c r="G440" s="24" t="n"/>
      <c r="H440" s="24" t="n"/>
      <c r="I440" s="24" t="n"/>
    </row>
    <row r="441">
      <c r="G441" s="24" t="n"/>
      <c r="H441" s="24" t="n"/>
      <c r="I441" s="24" t="n"/>
    </row>
    <row r="442">
      <c r="G442" s="24" t="n"/>
      <c r="H442" s="24" t="n"/>
      <c r="I442" s="24" t="n"/>
    </row>
    <row r="443">
      <c r="G443" s="24" t="n"/>
      <c r="H443" s="24" t="n"/>
      <c r="I443" s="24" t="n"/>
    </row>
    <row r="444">
      <c r="G444" s="24" t="n"/>
      <c r="H444" s="24" t="n"/>
      <c r="I444" s="24" t="n"/>
    </row>
    <row r="445">
      <c r="G445" s="24" t="n"/>
      <c r="H445" s="24" t="n"/>
      <c r="I445" s="24" t="n"/>
    </row>
    <row r="446">
      <c r="G446" s="24" t="n"/>
      <c r="H446" s="24" t="n"/>
      <c r="I446" s="24" t="n"/>
    </row>
    <row r="447">
      <c r="G447" s="24" t="n"/>
      <c r="H447" s="24" t="n"/>
      <c r="I447" s="24" t="n"/>
    </row>
    <row r="448">
      <c r="G448" s="24" t="n"/>
      <c r="H448" s="24" t="n"/>
      <c r="I448" s="24" t="n"/>
    </row>
    <row r="449">
      <c r="G449" s="24" t="n"/>
      <c r="H449" s="24" t="n"/>
      <c r="I449" s="24" t="n"/>
    </row>
    <row r="450">
      <c r="G450" s="24" t="n"/>
      <c r="H450" s="24" t="n"/>
      <c r="I450" s="24" t="n"/>
    </row>
    <row r="451">
      <c r="G451" s="24" t="n"/>
      <c r="H451" s="24" t="n"/>
      <c r="I451" s="24" t="n"/>
    </row>
    <row r="452">
      <c r="G452" s="24" t="n"/>
      <c r="H452" s="24" t="n"/>
      <c r="I452" s="24" t="n"/>
    </row>
    <row r="453">
      <c r="G453" s="24" t="n"/>
      <c r="H453" s="24" t="n"/>
      <c r="I453" s="24" t="n"/>
    </row>
    <row r="454">
      <c r="G454" s="24" t="n"/>
      <c r="H454" s="24" t="n"/>
      <c r="I454" s="24" t="n"/>
    </row>
    <row r="455">
      <c r="G455" s="24" t="n"/>
      <c r="H455" s="24" t="n"/>
      <c r="I455" s="24" t="n"/>
    </row>
    <row r="456">
      <c r="G456" s="24" t="n"/>
      <c r="H456" s="24" t="n"/>
      <c r="I456" s="24" t="n"/>
    </row>
    <row r="457">
      <c r="G457" s="24" t="n"/>
      <c r="H457" s="24" t="n"/>
      <c r="I457" s="24" t="n"/>
    </row>
    <row r="458">
      <c r="G458" s="24" t="n"/>
      <c r="H458" s="24" t="n"/>
      <c r="I458" s="24" t="n"/>
    </row>
    <row r="459">
      <c r="G459" s="24" t="n"/>
      <c r="H459" s="24" t="n"/>
      <c r="I459" s="24" t="n"/>
    </row>
    <row r="460">
      <c r="G460" s="24" t="n"/>
      <c r="H460" s="24" t="n"/>
      <c r="I460" s="24" t="n"/>
    </row>
    <row r="461">
      <c r="G461" s="24" t="n"/>
      <c r="H461" s="24" t="n"/>
      <c r="I461" s="24" t="n"/>
    </row>
    <row r="462">
      <c r="G462" s="24" t="n"/>
      <c r="H462" s="24" t="n"/>
      <c r="I462" s="24" t="n"/>
    </row>
    <row r="463">
      <c r="G463" s="24" t="n"/>
      <c r="H463" s="24" t="n"/>
      <c r="I463" s="24" t="n"/>
    </row>
    <row r="464">
      <c r="G464" s="24" t="n"/>
      <c r="H464" s="24" t="n"/>
      <c r="I464" s="24" t="n"/>
    </row>
    <row r="465">
      <c r="G465" s="24" t="n"/>
      <c r="H465" s="24" t="n"/>
      <c r="I465" s="24" t="n"/>
    </row>
    <row r="466">
      <c r="G466" s="24" t="n"/>
      <c r="H466" s="24" t="n"/>
      <c r="I466" s="24" t="n"/>
    </row>
    <row r="467">
      <c r="G467" s="24" t="n"/>
      <c r="H467" s="24" t="n"/>
      <c r="I467" s="24" t="n"/>
    </row>
    <row r="468">
      <c r="G468" s="24" t="n"/>
      <c r="H468" s="24" t="n"/>
      <c r="I468" s="24" t="n"/>
    </row>
    <row r="469">
      <c r="G469" s="24" t="n"/>
      <c r="H469" s="24" t="n"/>
      <c r="I469" s="24" t="n"/>
    </row>
    <row r="470">
      <c r="G470" s="24" t="n"/>
      <c r="H470" s="24" t="n"/>
      <c r="I470" s="24" t="n"/>
    </row>
    <row r="471">
      <c r="G471" s="24" t="n"/>
      <c r="H471" s="24" t="n"/>
      <c r="I471" s="24" t="n"/>
    </row>
    <row r="472">
      <c r="G472" s="24" t="n"/>
      <c r="H472" s="24" t="n"/>
      <c r="I472" s="24" t="n"/>
    </row>
    <row r="473">
      <c r="G473" s="24" t="n"/>
      <c r="H473" s="24" t="n"/>
      <c r="I473" s="24" t="n"/>
    </row>
    <row r="474">
      <c r="G474" s="24" t="n"/>
      <c r="H474" s="24" t="n"/>
      <c r="I474" s="24" t="n"/>
    </row>
    <row r="475">
      <c r="G475" s="24" t="n"/>
      <c r="H475" s="24" t="n"/>
      <c r="I475" s="24" t="n"/>
    </row>
    <row r="476">
      <c r="G476" s="24" t="n"/>
      <c r="H476" s="24" t="n"/>
      <c r="I476" s="24" t="n"/>
    </row>
    <row r="477">
      <c r="G477" s="24" t="n"/>
      <c r="H477" s="24" t="n"/>
      <c r="I477" s="24" t="n"/>
    </row>
    <row r="478">
      <c r="G478" s="24" t="n"/>
      <c r="H478" s="24" t="n"/>
      <c r="I478" s="24" t="n"/>
    </row>
    <row r="479">
      <c r="G479" s="24" t="n"/>
      <c r="H479" s="24" t="n"/>
      <c r="I479" s="24" t="n"/>
    </row>
    <row r="480">
      <c r="G480" s="24" t="n"/>
      <c r="H480" s="24" t="n"/>
      <c r="I480" s="24" t="n"/>
    </row>
    <row r="481">
      <c r="G481" s="24" t="n"/>
      <c r="H481" s="24" t="n"/>
      <c r="I481" s="24" t="n"/>
    </row>
    <row r="482">
      <c r="G482" s="24" t="n"/>
      <c r="H482" s="24" t="n"/>
      <c r="I482" s="24" t="n"/>
    </row>
    <row r="483">
      <c r="G483" s="24" t="n"/>
      <c r="H483" s="24" t="n"/>
      <c r="I483" s="24" t="n"/>
    </row>
    <row r="484">
      <c r="G484" s="24" t="n"/>
      <c r="H484" s="24" t="n"/>
      <c r="I484" s="24" t="n"/>
    </row>
    <row r="485">
      <c r="G485" s="24" t="n"/>
      <c r="H485" s="24" t="n"/>
      <c r="I485" s="24" t="n"/>
    </row>
    <row r="486">
      <c r="G486" s="24" t="n"/>
      <c r="H486" s="24" t="n"/>
      <c r="I486" s="24" t="n"/>
    </row>
    <row r="487">
      <c r="G487" s="24" t="n"/>
      <c r="H487" s="24" t="n"/>
      <c r="I487" s="24" t="n"/>
    </row>
    <row r="488">
      <c r="G488" s="24" t="n"/>
      <c r="H488" s="24" t="n"/>
      <c r="I488" s="24" t="n"/>
    </row>
    <row r="489">
      <c r="G489" s="24" t="n"/>
      <c r="H489" s="24" t="n"/>
      <c r="I489" s="24" t="n"/>
    </row>
    <row r="490">
      <c r="G490" s="24" t="n"/>
      <c r="H490" s="24" t="n"/>
      <c r="I490" s="24" t="n"/>
    </row>
    <row r="491">
      <c r="G491" s="24" t="n"/>
      <c r="H491" s="24" t="n"/>
      <c r="I491" s="24" t="n"/>
    </row>
    <row r="492">
      <c r="G492" s="24" t="n"/>
      <c r="H492" s="24" t="n"/>
      <c r="I492" s="24" t="n"/>
    </row>
    <row r="493">
      <c r="G493" s="24" t="n"/>
      <c r="H493" s="24" t="n"/>
      <c r="I493" s="24" t="n"/>
    </row>
    <row r="494">
      <c r="G494" s="24" t="n"/>
      <c r="H494" s="24" t="n"/>
      <c r="I494" s="24" t="n"/>
    </row>
    <row r="495">
      <c r="G495" s="24" t="n"/>
      <c r="H495" s="24" t="n"/>
      <c r="I495" s="24" t="n"/>
    </row>
    <row r="496">
      <c r="G496" s="24" t="n"/>
      <c r="H496" s="24" t="n"/>
      <c r="I496" s="24" t="n"/>
    </row>
    <row r="497">
      <c r="G497" s="24" t="n"/>
      <c r="H497" s="24" t="n"/>
      <c r="I497" s="24" t="n"/>
    </row>
    <row r="498">
      <c r="G498" s="24" t="n"/>
      <c r="H498" s="24" t="n"/>
      <c r="I498" s="24" t="n"/>
    </row>
    <row r="499">
      <c r="G499" s="24" t="n"/>
      <c r="H499" s="24" t="n"/>
      <c r="I499" s="24" t="n"/>
    </row>
    <row r="500">
      <c r="G500" s="24" t="n"/>
      <c r="H500" s="24" t="n"/>
      <c r="I500" s="24" t="n"/>
    </row>
    <row r="501">
      <c r="G501" s="24" t="n"/>
      <c r="H501" s="24" t="n"/>
      <c r="I501" s="24" t="n"/>
    </row>
    <row r="502">
      <c r="G502" s="24" t="n"/>
      <c r="H502" s="24" t="n"/>
      <c r="I502" s="24" t="n"/>
    </row>
    <row r="503">
      <c r="G503" s="24" t="n"/>
      <c r="H503" s="24" t="n"/>
      <c r="I503" s="24" t="n"/>
    </row>
    <row r="504">
      <c r="G504" s="24" t="n"/>
      <c r="H504" s="24" t="n"/>
      <c r="I504" s="24" t="n"/>
    </row>
    <row r="505">
      <c r="G505" s="24" t="n"/>
      <c r="H505" s="24" t="n"/>
      <c r="I505" s="24" t="n"/>
    </row>
    <row r="506">
      <c r="G506" s="24" t="n"/>
      <c r="H506" s="24" t="n"/>
      <c r="I506" s="24" t="n"/>
    </row>
    <row r="507">
      <c r="G507" s="24" t="n"/>
      <c r="H507" s="24" t="n"/>
      <c r="I507" s="24" t="n"/>
    </row>
    <row r="508">
      <c r="G508" s="24" t="n"/>
      <c r="H508" s="24" t="n"/>
      <c r="I508" s="24" t="n"/>
    </row>
    <row r="509">
      <c r="G509" s="24" t="n"/>
      <c r="H509" s="24" t="n"/>
      <c r="I509" s="24" t="n"/>
    </row>
    <row r="510">
      <c r="G510" s="24" t="n"/>
      <c r="H510" s="24" t="n"/>
      <c r="I510" s="24" t="n"/>
    </row>
    <row r="511">
      <c r="G511" s="24" t="n"/>
      <c r="H511" s="24" t="n"/>
      <c r="I511" s="24" t="n"/>
    </row>
    <row r="512">
      <c r="G512" s="24" t="n"/>
      <c r="H512" s="24" t="n"/>
      <c r="I512" s="24" t="n"/>
    </row>
    <row r="513">
      <c r="G513" s="24" t="n"/>
      <c r="H513" s="24" t="n"/>
      <c r="I513" s="24" t="n"/>
    </row>
    <row r="514">
      <c r="G514" s="24" t="n"/>
      <c r="H514" s="24" t="n"/>
      <c r="I514" s="24" t="n"/>
    </row>
    <row r="515">
      <c r="G515" s="24" t="n"/>
      <c r="H515" s="24" t="n"/>
      <c r="I515" s="24" t="n"/>
    </row>
    <row r="516">
      <c r="G516" s="24" t="n"/>
      <c r="H516" s="24" t="n"/>
      <c r="I516" s="24" t="n"/>
    </row>
    <row r="517">
      <c r="G517" s="24" t="n"/>
      <c r="H517" s="24" t="n"/>
      <c r="I517" s="24" t="n"/>
    </row>
    <row r="518">
      <c r="G518" s="24" t="n"/>
      <c r="H518" s="24" t="n"/>
      <c r="I518" s="24" t="n"/>
    </row>
    <row r="519">
      <c r="G519" s="24" t="n"/>
      <c r="H519" s="24" t="n"/>
      <c r="I519" s="24" t="n"/>
    </row>
    <row r="520">
      <c r="G520" s="24" t="n"/>
      <c r="H520" s="24" t="n"/>
      <c r="I520" s="24" t="n"/>
    </row>
    <row r="521">
      <c r="G521" s="24" t="n"/>
      <c r="H521" s="24" t="n"/>
      <c r="I521" s="24" t="n"/>
    </row>
    <row r="522">
      <c r="G522" s="24" t="n"/>
      <c r="H522" s="24" t="n"/>
      <c r="I522" s="24" t="n"/>
    </row>
    <row r="523">
      <c r="G523" s="24" t="n"/>
      <c r="H523" s="24" t="n"/>
      <c r="I523" s="24" t="n"/>
    </row>
    <row r="524">
      <c r="G524" s="24" t="n"/>
      <c r="H524" s="24" t="n"/>
      <c r="I524" s="24" t="n"/>
    </row>
    <row r="525">
      <c r="G525" s="24" t="n"/>
      <c r="H525" s="24" t="n"/>
      <c r="I525" s="24" t="n"/>
    </row>
    <row r="526">
      <c r="G526" s="24" t="n"/>
      <c r="H526" s="24" t="n"/>
      <c r="I526" s="24" t="n"/>
    </row>
    <row r="527">
      <c r="G527" s="24" t="n"/>
      <c r="H527" s="24" t="n"/>
      <c r="I527" s="24" t="n"/>
    </row>
    <row r="528">
      <c r="G528" s="24" t="n"/>
      <c r="H528" s="24" t="n"/>
      <c r="I528" s="24" t="n"/>
    </row>
    <row r="529">
      <c r="G529" s="24" t="n"/>
      <c r="H529" s="24" t="n"/>
      <c r="I529" s="24" t="n"/>
    </row>
    <row r="530">
      <c r="G530" s="24" t="n"/>
      <c r="H530" s="24" t="n"/>
      <c r="I530" s="24" t="n"/>
    </row>
    <row r="531">
      <c r="G531" s="24" t="n"/>
      <c r="H531" s="24" t="n"/>
      <c r="I531" s="24" t="n"/>
    </row>
    <row r="532">
      <c r="G532" s="24" t="n"/>
      <c r="H532" s="24" t="n"/>
      <c r="I532" s="24" t="n"/>
    </row>
    <row r="533">
      <c r="G533" s="24" t="n"/>
      <c r="H533" s="24" t="n"/>
      <c r="I533" s="24" t="n"/>
    </row>
    <row r="534">
      <c r="G534" s="24" t="n"/>
      <c r="H534" s="24" t="n"/>
      <c r="I534" s="24" t="n"/>
    </row>
    <row r="535">
      <c r="G535" s="24" t="n"/>
      <c r="H535" s="24" t="n"/>
      <c r="I535" s="24" t="n"/>
    </row>
    <row r="536">
      <c r="G536" s="24" t="n"/>
      <c r="H536" s="24" t="n"/>
      <c r="I536" s="24" t="n"/>
    </row>
    <row r="537">
      <c r="G537" s="24" t="n"/>
      <c r="H537" s="24" t="n"/>
      <c r="I537" s="24" t="n"/>
    </row>
    <row r="538">
      <c r="G538" s="24" t="n"/>
      <c r="H538" s="24" t="n"/>
      <c r="I538" s="24" t="n"/>
    </row>
    <row r="539">
      <c r="G539" s="24" t="n"/>
      <c r="H539" s="24" t="n"/>
      <c r="I539" s="24" t="n"/>
    </row>
    <row r="540">
      <c r="G540" s="24" t="n"/>
      <c r="H540" s="24" t="n"/>
      <c r="I540" s="24" t="n"/>
    </row>
    <row r="541">
      <c r="G541" s="24" t="n"/>
      <c r="H541" s="24" t="n"/>
      <c r="I541" s="24" t="n"/>
    </row>
    <row r="542">
      <c r="G542" s="24" t="n"/>
      <c r="H542" s="24" t="n"/>
      <c r="I542" s="24" t="n"/>
    </row>
    <row r="543">
      <c r="G543" s="24" t="n"/>
      <c r="H543" s="24" t="n"/>
      <c r="I543" s="24" t="n"/>
    </row>
    <row r="544">
      <c r="G544" s="24" t="n"/>
      <c r="H544" s="24" t="n"/>
      <c r="I544" s="24" t="n"/>
    </row>
    <row r="545">
      <c r="G545" s="24" t="n"/>
      <c r="H545" s="24" t="n"/>
      <c r="I545" s="24" t="n"/>
    </row>
    <row r="546">
      <c r="G546" s="24" t="n"/>
      <c r="H546" s="24" t="n"/>
      <c r="I546" s="24" t="n"/>
    </row>
    <row r="547">
      <c r="G547" s="24" t="n"/>
      <c r="H547" s="24" t="n"/>
      <c r="I547" s="24" t="n"/>
    </row>
    <row r="548">
      <c r="G548" s="24" t="n"/>
      <c r="H548" s="24" t="n"/>
      <c r="I548" s="24" t="n"/>
    </row>
    <row r="549">
      <c r="G549" s="24" t="n"/>
      <c r="H549" s="24" t="n"/>
      <c r="I549" s="24" t="n"/>
    </row>
    <row r="550">
      <c r="G550" s="24" t="n"/>
      <c r="H550" s="24" t="n"/>
      <c r="I550" s="24" t="n"/>
    </row>
    <row r="551">
      <c r="G551" s="24" t="n"/>
      <c r="H551" s="24" t="n"/>
      <c r="I551" s="24" t="n"/>
    </row>
    <row r="552">
      <c r="G552" s="24" t="n"/>
      <c r="H552" s="24" t="n"/>
      <c r="I552" s="24" t="n"/>
    </row>
    <row r="553">
      <c r="G553" s="24" t="n"/>
      <c r="H553" s="24" t="n"/>
      <c r="I553" s="24" t="n"/>
    </row>
    <row r="554">
      <c r="G554" s="24" t="n"/>
      <c r="H554" s="24" t="n"/>
      <c r="I554" s="24" t="n"/>
    </row>
    <row r="555">
      <c r="G555" s="24" t="n"/>
      <c r="H555" s="24" t="n"/>
      <c r="I555" s="24" t="n"/>
    </row>
    <row r="556">
      <c r="G556" s="24" t="n"/>
      <c r="H556" s="24" t="n"/>
      <c r="I556" s="24" t="n"/>
    </row>
    <row r="557">
      <c r="G557" s="24" t="n"/>
      <c r="H557" s="24" t="n"/>
      <c r="I557" s="24" t="n"/>
    </row>
    <row r="558">
      <c r="G558" s="24" t="n"/>
      <c r="H558" s="24" t="n"/>
      <c r="I558" s="24" t="n"/>
    </row>
    <row r="559">
      <c r="G559" s="24" t="n"/>
      <c r="H559" s="24" t="n"/>
      <c r="I559" s="24" t="n"/>
    </row>
    <row r="560">
      <c r="G560" s="24" t="n"/>
      <c r="H560" s="24" t="n"/>
      <c r="I560" s="24" t="n"/>
    </row>
    <row r="561">
      <c r="G561" s="24" t="n"/>
      <c r="H561" s="24" t="n"/>
      <c r="I561" s="24" t="n"/>
    </row>
    <row r="562">
      <c r="G562" s="24" t="n"/>
      <c r="H562" s="24" t="n"/>
      <c r="I562" s="24" t="n"/>
    </row>
    <row r="563">
      <c r="G563" s="24" t="n"/>
      <c r="H563" s="24" t="n"/>
      <c r="I563" s="24" t="n"/>
    </row>
    <row r="564">
      <c r="G564" s="24" t="n"/>
      <c r="H564" s="24" t="n"/>
      <c r="I564" s="24" t="n"/>
    </row>
    <row r="565">
      <c r="G565" s="24" t="n"/>
      <c r="H565" s="24" t="n"/>
      <c r="I565" s="24" t="n"/>
    </row>
    <row r="566">
      <c r="G566" s="24" t="n"/>
      <c r="H566" s="24" t="n"/>
      <c r="I566" s="24" t="n"/>
    </row>
    <row r="567">
      <c r="G567" s="24" t="n"/>
      <c r="H567" s="24" t="n"/>
      <c r="I567" s="24" t="n"/>
    </row>
    <row r="568">
      <c r="G568" s="24" t="n"/>
      <c r="H568" s="24" t="n"/>
      <c r="I568" s="24" t="n"/>
    </row>
    <row r="569">
      <c r="G569" s="24" t="n"/>
      <c r="H569" s="24" t="n"/>
      <c r="I569" s="24" t="n"/>
    </row>
    <row r="570">
      <c r="G570" s="24" t="n"/>
      <c r="H570" s="24" t="n"/>
      <c r="I570" s="24" t="n"/>
    </row>
    <row r="571">
      <c r="G571" s="24" t="n"/>
      <c r="H571" s="24" t="n"/>
      <c r="I571" s="24" t="n"/>
    </row>
    <row r="572">
      <c r="G572" s="24" t="n"/>
      <c r="H572" s="24" t="n"/>
      <c r="I572" s="24" t="n"/>
    </row>
    <row r="573">
      <c r="G573" s="24" t="n"/>
      <c r="H573" s="24" t="n"/>
      <c r="I573" s="24" t="n"/>
    </row>
    <row r="574">
      <c r="G574" s="24" t="n"/>
      <c r="H574" s="24" t="n"/>
      <c r="I574" s="24" t="n"/>
    </row>
    <row r="575">
      <c r="G575" s="24" t="n"/>
      <c r="H575" s="24" t="n"/>
      <c r="I575" s="24" t="n"/>
    </row>
    <row r="576">
      <c r="G576" s="24" t="n"/>
      <c r="H576" s="24" t="n"/>
      <c r="I576" s="24" t="n"/>
    </row>
    <row r="577">
      <c r="G577" s="24" t="n"/>
      <c r="H577" s="24" t="n"/>
      <c r="I577" s="24" t="n"/>
    </row>
    <row r="578">
      <c r="G578" s="24" t="n"/>
      <c r="H578" s="24" t="n"/>
      <c r="I578" s="24" t="n"/>
    </row>
    <row r="579">
      <c r="G579" s="24" t="n"/>
      <c r="H579" s="24" t="n"/>
      <c r="I579" s="24" t="n"/>
    </row>
    <row r="580">
      <c r="G580" s="24" t="n"/>
      <c r="H580" s="24" t="n"/>
      <c r="I580" s="24" t="n"/>
    </row>
    <row r="581">
      <c r="G581" s="24" t="n"/>
      <c r="H581" s="24" t="n"/>
      <c r="I581" s="24" t="n"/>
    </row>
    <row r="582">
      <c r="G582" s="24" t="n"/>
      <c r="H582" s="24" t="n"/>
      <c r="I582" s="24" t="n"/>
    </row>
    <row r="583">
      <c r="G583" s="24" t="n"/>
      <c r="H583" s="24" t="n"/>
      <c r="I583" s="24" t="n"/>
    </row>
    <row r="584">
      <c r="G584" s="24" t="n"/>
      <c r="H584" s="24" t="n"/>
      <c r="I584" s="24" t="n"/>
    </row>
    <row r="585">
      <c r="G585" s="24" t="n"/>
      <c r="H585" s="24" t="n"/>
      <c r="I585" s="24" t="n"/>
    </row>
    <row r="586">
      <c r="G586" s="24" t="n"/>
      <c r="H586" s="24" t="n"/>
      <c r="I586" s="24" t="n"/>
    </row>
    <row r="587">
      <c r="G587" s="24" t="n"/>
      <c r="H587" s="24" t="n"/>
      <c r="I587" s="24" t="n"/>
    </row>
    <row r="588">
      <c r="G588" s="24" t="n"/>
      <c r="H588" s="24" t="n"/>
      <c r="I588" s="24" t="n"/>
    </row>
    <row r="589">
      <c r="G589" s="24" t="n"/>
      <c r="H589" s="24" t="n"/>
      <c r="I589" s="24" t="n"/>
    </row>
    <row r="590">
      <c r="G590" s="24" t="n"/>
      <c r="H590" s="24" t="n"/>
      <c r="I590" s="24" t="n"/>
    </row>
    <row r="591">
      <c r="G591" s="24" t="n"/>
      <c r="H591" s="24" t="n"/>
      <c r="I591" s="24" t="n"/>
    </row>
    <row r="592">
      <c r="G592" s="24" t="n"/>
      <c r="H592" s="24" t="n"/>
      <c r="I592" s="24" t="n"/>
    </row>
    <row r="593">
      <c r="G593" s="24" t="n"/>
      <c r="H593" s="24" t="n"/>
      <c r="I593" s="24" t="n"/>
    </row>
    <row r="594">
      <c r="G594" s="24" t="n"/>
      <c r="H594" s="24" t="n"/>
      <c r="I594" s="24" t="n"/>
    </row>
    <row r="595">
      <c r="G595" s="24" t="n"/>
      <c r="H595" s="24" t="n"/>
      <c r="I595" s="24" t="n"/>
    </row>
    <row r="596">
      <c r="G596" s="24" t="n"/>
      <c r="H596" s="24" t="n"/>
      <c r="I596" s="24" t="n"/>
    </row>
    <row r="597">
      <c r="G597" s="24" t="n"/>
      <c r="H597" s="24" t="n"/>
      <c r="I597" s="24" t="n"/>
    </row>
    <row r="598">
      <c r="G598" s="24" t="n"/>
      <c r="H598" s="24" t="n"/>
      <c r="I598" s="24" t="n"/>
    </row>
    <row r="599">
      <c r="G599" s="24" t="n"/>
      <c r="H599" s="24" t="n"/>
      <c r="I599" s="24" t="n"/>
    </row>
    <row r="600">
      <c r="G600" s="24" t="n"/>
      <c r="H600" s="24" t="n"/>
      <c r="I600" s="24" t="n"/>
    </row>
    <row r="601">
      <c r="G601" s="24" t="n"/>
      <c r="H601" s="24" t="n"/>
      <c r="I601" s="24" t="n"/>
    </row>
    <row r="602">
      <c r="G602" s="24" t="n"/>
      <c r="H602" s="24" t="n"/>
      <c r="I602" s="24" t="n"/>
    </row>
    <row r="603">
      <c r="G603" s="24" t="n"/>
      <c r="H603" s="24" t="n"/>
      <c r="I603" s="24" t="n"/>
    </row>
    <row r="604">
      <c r="G604" s="24" t="n"/>
      <c r="H604" s="24" t="n"/>
      <c r="I604" s="24" t="n"/>
    </row>
    <row r="605">
      <c r="G605" s="24" t="n"/>
      <c r="H605" s="24" t="n"/>
      <c r="I605" s="24" t="n"/>
    </row>
    <row r="606">
      <c r="G606" s="24" t="n"/>
      <c r="H606" s="24" t="n"/>
      <c r="I606" s="24" t="n"/>
    </row>
    <row r="607">
      <c r="G607" s="24" t="n"/>
      <c r="H607" s="24" t="n"/>
      <c r="I607" s="24" t="n"/>
    </row>
    <row r="608">
      <c r="G608" s="24" t="n"/>
      <c r="H608" s="24" t="n"/>
      <c r="I608" s="24" t="n"/>
    </row>
    <row r="609">
      <c r="G609" s="24" t="n"/>
      <c r="H609" s="24" t="n"/>
      <c r="I609" s="24" t="n"/>
    </row>
    <row r="610">
      <c r="G610" s="24" t="n"/>
      <c r="H610" s="24" t="n"/>
      <c r="I610" s="24" t="n"/>
    </row>
    <row r="611">
      <c r="G611" s="24" t="n"/>
      <c r="H611" s="24" t="n"/>
      <c r="I611" s="24" t="n"/>
    </row>
    <row r="612">
      <c r="G612" s="24" t="n"/>
      <c r="H612" s="24" t="n"/>
      <c r="I612" s="24" t="n"/>
    </row>
    <row r="613">
      <c r="G613" s="24" t="n"/>
      <c r="H613" s="24" t="n"/>
      <c r="I613" s="24" t="n"/>
    </row>
    <row r="614">
      <c r="G614" s="24" t="n"/>
      <c r="H614" s="24" t="n"/>
      <c r="I614" s="24" t="n"/>
    </row>
    <row r="615">
      <c r="G615" s="24" t="n"/>
      <c r="H615" s="24" t="n"/>
      <c r="I615" s="24" t="n"/>
    </row>
    <row r="616">
      <c r="G616" s="24" t="n"/>
      <c r="H616" s="24" t="n"/>
      <c r="I616" s="24" t="n"/>
    </row>
    <row r="617">
      <c r="G617" s="24" t="n"/>
      <c r="H617" s="24" t="n"/>
      <c r="I617" s="24" t="n"/>
    </row>
    <row r="618">
      <c r="G618" s="24" t="n"/>
      <c r="H618" s="24" t="n"/>
      <c r="I618" s="24" t="n"/>
    </row>
    <row r="619">
      <c r="G619" s="24" t="n"/>
      <c r="H619" s="24" t="n"/>
      <c r="I619" s="24" t="n"/>
    </row>
    <row r="620">
      <c r="G620" s="24" t="n"/>
      <c r="H620" s="24" t="n"/>
      <c r="I620" s="24" t="n"/>
    </row>
    <row r="621">
      <c r="G621" s="24" t="n"/>
      <c r="H621" s="24" t="n"/>
      <c r="I621" s="24" t="n"/>
    </row>
    <row r="622">
      <c r="G622" s="24" t="n"/>
      <c r="H622" s="24" t="n"/>
      <c r="I622" s="24" t="n"/>
    </row>
    <row r="623">
      <c r="G623" s="24" t="n"/>
      <c r="H623" s="24" t="n"/>
      <c r="I623" s="24" t="n"/>
    </row>
    <row r="624">
      <c r="G624" s="24" t="n"/>
      <c r="H624" s="24" t="n"/>
      <c r="I624" s="24" t="n"/>
    </row>
    <row r="625">
      <c r="G625" s="24" t="n"/>
      <c r="H625" s="24" t="n"/>
      <c r="I625" s="24" t="n"/>
    </row>
    <row r="626">
      <c r="G626" s="24" t="n"/>
      <c r="H626" s="24" t="n"/>
      <c r="I626" s="24" t="n"/>
    </row>
    <row r="627">
      <c r="G627" s="24" t="n"/>
      <c r="H627" s="24" t="n"/>
      <c r="I627" s="24" t="n"/>
    </row>
    <row r="628">
      <c r="G628" s="24" t="n"/>
      <c r="H628" s="24" t="n"/>
      <c r="I628" s="24" t="n"/>
    </row>
    <row r="629">
      <c r="G629" s="24" t="n"/>
      <c r="H629" s="24" t="n"/>
      <c r="I629" s="24" t="n"/>
    </row>
    <row r="630">
      <c r="G630" s="24" t="n"/>
      <c r="H630" s="24" t="n"/>
      <c r="I630" s="24" t="n"/>
    </row>
    <row r="631">
      <c r="G631" s="24" t="n"/>
      <c r="H631" s="24" t="n"/>
      <c r="I631" s="24" t="n"/>
    </row>
    <row r="632">
      <c r="G632" s="24" t="n"/>
      <c r="H632" s="24" t="n"/>
      <c r="I632" s="24" t="n"/>
    </row>
    <row r="633">
      <c r="G633" s="24" t="n"/>
      <c r="H633" s="24" t="n"/>
      <c r="I633" s="24" t="n"/>
    </row>
    <row r="634">
      <c r="G634" s="24" t="n"/>
      <c r="H634" s="24" t="n"/>
      <c r="I634" s="24" t="n"/>
    </row>
    <row r="635">
      <c r="G635" s="24" t="n"/>
      <c r="H635" s="24" t="n"/>
      <c r="I635" s="24" t="n"/>
    </row>
    <row r="636">
      <c r="G636" s="24" t="n"/>
      <c r="H636" s="24" t="n"/>
      <c r="I636" s="24" t="n"/>
    </row>
    <row r="637">
      <c r="G637" s="24" t="n"/>
      <c r="H637" s="24" t="n"/>
      <c r="I637" s="24" t="n"/>
    </row>
    <row r="638">
      <c r="G638" s="24" t="n"/>
      <c r="H638" s="24" t="n"/>
      <c r="I638" s="24" t="n"/>
    </row>
    <row r="639">
      <c r="G639" s="24" t="n"/>
      <c r="H639" s="24" t="n"/>
      <c r="I639" s="24" t="n"/>
    </row>
    <row r="640">
      <c r="G640" s="24" t="n"/>
      <c r="H640" s="24" t="n"/>
      <c r="I640" s="24" t="n"/>
    </row>
    <row r="641">
      <c r="G641" s="24" t="n"/>
      <c r="H641" s="24" t="n"/>
      <c r="I641" s="24" t="n"/>
    </row>
    <row r="642">
      <c r="G642" s="24" t="n"/>
      <c r="H642" s="24" t="n"/>
      <c r="I642" s="24" t="n"/>
    </row>
    <row r="643">
      <c r="G643" s="24" t="n"/>
      <c r="H643" s="24" t="n"/>
      <c r="I643" s="24" t="n"/>
    </row>
    <row r="644">
      <c r="G644" s="24" t="n"/>
      <c r="H644" s="24" t="n"/>
      <c r="I644" s="24" t="n"/>
    </row>
    <row r="645">
      <c r="G645" s="24" t="n"/>
      <c r="H645" s="24" t="n"/>
      <c r="I645" s="24" t="n"/>
    </row>
    <row r="646">
      <c r="G646" s="24" t="n"/>
      <c r="H646" s="24" t="n"/>
      <c r="I646" s="24" t="n"/>
    </row>
    <row r="647">
      <c r="G647" s="24" t="n"/>
      <c r="H647" s="24" t="n"/>
      <c r="I647" s="24" t="n"/>
    </row>
    <row r="648">
      <c r="G648" s="24" t="n"/>
      <c r="H648" s="24" t="n"/>
      <c r="I648" s="24" t="n"/>
    </row>
    <row r="649">
      <c r="G649" s="24" t="n"/>
      <c r="H649" s="24" t="n"/>
      <c r="I649" s="24" t="n"/>
    </row>
    <row r="650">
      <c r="G650" s="24" t="n"/>
      <c r="H650" s="24" t="n"/>
      <c r="I650" s="24" t="n"/>
    </row>
    <row r="651">
      <c r="G651" s="24" t="n"/>
      <c r="H651" s="24" t="n"/>
      <c r="I651" s="24" t="n"/>
    </row>
    <row r="652">
      <c r="G652" s="24" t="n"/>
      <c r="H652" s="24" t="n"/>
      <c r="I652" s="24" t="n"/>
    </row>
    <row r="653">
      <c r="G653" s="24" t="n"/>
      <c r="H653" s="24" t="n"/>
      <c r="I653" s="24" t="n"/>
    </row>
    <row r="654">
      <c r="G654" s="24" t="n"/>
      <c r="H654" s="24" t="n"/>
      <c r="I654" s="24" t="n"/>
    </row>
    <row r="655">
      <c r="G655" s="24" t="n"/>
      <c r="H655" s="24" t="n"/>
      <c r="I655" s="24" t="n"/>
    </row>
    <row r="656">
      <c r="G656" s="24" t="n"/>
      <c r="H656" s="24" t="n"/>
      <c r="I656" s="24" t="n"/>
    </row>
    <row r="657">
      <c r="G657" s="24" t="n"/>
      <c r="H657" s="24" t="n"/>
      <c r="I657" s="24" t="n"/>
    </row>
    <row r="658">
      <c r="G658" s="24" t="n"/>
      <c r="H658" s="24" t="n"/>
      <c r="I658" s="24" t="n"/>
    </row>
    <row r="659">
      <c r="G659" s="24" t="n"/>
      <c r="H659" s="24" t="n"/>
      <c r="I659" s="24" t="n"/>
    </row>
    <row r="660">
      <c r="G660" s="24" t="n"/>
      <c r="H660" s="24" t="n"/>
      <c r="I660" s="24" t="n"/>
    </row>
    <row r="661">
      <c r="G661" s="24" t="n"/>
      <c r="H661" s="24" t="n"/>
      <c r="I661" s="24" t="n"/>
    </row>
    <row r="662">
      <c r="G662" s="24" t="n"/>
      <c r="H662" s="24" t="n"/>
      <c r="I662" s="24" t="n"/>
    </row>
    <row r="663">
      <c r="G663" s="24" t="n"/>
      <c r="H663" s="24" t="n"/>
      <c r="I663" s="24" t="n"/>
    </row>
    <row r="664">
      <c r="G664" s="24" t="n"/>
      <c r="H664" s="24" t="n"/>
      <c r="I664" s="24" t="n"/>
    </row>
    <row r="665">
      <c r="G665" s="24" t="n"/>
      <c r="H665" s="24" t="n"/>
      <c r="I665" s="24" t="n"/>
    </row>
    <row r="666">
      <c r="G666" s="24" t="n"/>
      <c r="H666" s="24" t="n"/>
      <c r="I666" s="24" t="n"/>
    </row>
    <row r="667">
      <c r="G667" s="24" t="n"/>
      <c r="H667" s="24" t="n"/>
      <c r="I667" s="24" t="n"/>
    </row>
    <row r="668">
      <c r="G668" s="24" t="n"/>
      <c r="H668" s="24" t="n"/>
      <c r="I668" s="24" t="n"/>
    </row>
    <row r="669">
      <c r="G669" s="24" t="n"/>
      <c r="H669" s="24" t="n"/>
      <c r="I669" s="24" t="n"/>
    </row>
    <row r="670">
      <c r="G670" s="24" t="n"/>
      <c r="H670" s="24" t="n"/>
      <c r="I670" s="24" t="n"/>
    </row>
    <row r="671">
      <c r="G671" s="24" t="n"/>
      <c r="H671" s="24" t="n"/>
      <c r="I671" s="24" t="n"/>
    </row>
    <row r="672">
      <c r="G672" s="24" t="n"/>
      <c r="H672" s="24" t="n"/>
      <c r="I672" s="24" t="n"/>
    </row>
    <row r="673">
      <c r="G673" s="24" t="n"/>
      <c r="H673" s="24" t="n"/>
      <c r="I673" s="24" t="n"/>
    </row>
    <row r="674">
      <c r="G674" s="24" t="n"/>
      <c r="H674" s="24" t="n"/>
      <c r="I674" s="24" t="n"/>
    </row>
    <row r="675">
      <c r="G675" s="24" t="n"/>
      <c r="H675" s="24" t="n"/>
      <c r="I675" s="24" t="n"/>
    </row>
    <row r="676">
      <c r="G676" s="24" t="n"/>
      <c r="H676" s="24" t="n"/>
      <c r="I676" s="24" t="n"/>
    </row>
    <row r="677">
      <c r="G677" s="24" t="n"/>
      <c r="H677" s="24" t="n"/>
      <c r="I677" s="24" t="n"/>
    </row>
    <row r="678">
      <c r="G678" s="24" t="n"/>
      <c r="H678" s="24" t="n"/>
      <c r="I678" s="24" t="n"/>
    </row>
    <row r="679">
      <c r="G679" s="24" t="n"/>
      <c r="H679" s="24" t="n"/>
      <c r="I679" s="24" t="n"/>
    </row>
    <row r="680">
      <c r="G680" s="24" t="n"/>
      <c r="H680" s="24" t="n"/>
      <c r="I680" s="24" t="n"/>
    </row>
    <row r="681">
      <c r="G681" s="24" t="n"/>
      <c r="H681" s="24" t="n"/>
      <c r="I681" s="24" t="n"/>
    </row>
    <row r="682">
      <c r="G682" s="24" t="n"/>
      <c r="H682" s="24" t="n"/>
      <c r="I682" s="24" t="n"/>
    </row>
    <row r="683">
      <c r="G683" s="24" t="n"/>
      <c r="H683" s="24" t="n"/>
      <c r="I683" s="24" t="n"/>
    </row>
    <row r="684">
      <c r="G684" s="24" t="n"/>
      <c r="H684" s="24" t="n"/>
      <c r="I684" s="24" t="n"/>
    </row>
    <row r="685">
      <c r="G685" s="24" t="n"/>
      <c r="H685" s="24" t="n"/>
      <c r="I685" s="24" t="n"/>
    </row>
    <row r="686">
      <c r="G686" s="24" t="n"/>
      <c r="H686" s="24" t="n"/>
      <c r="I686" s="24" t="n"/>
    </row>
    <row r="687">
      <c r="G687" s="24" t="n"/>
      <c r="H687" s="24" t="n"/>
      <c r="I687" s="24" t="n"/>
    </row>
    <row r="688">
      <c r="G688" s="24" t="n"/>
      <c r="H688" s="24" t="n"/>
      <c r="I688" s="24" t="n"/>
    </row>
    <row r="689">
      <c r="G689" s="24" t="n"/>
      <c r="H689" s="24" t="n"/>
      <c r="I689" s="24" t="n"/>
    </row>
    <row r="690">
      <c r="G690" s="24" t="n"/>
      <c r="H690" s="24" t="n"/>
      <c r="I690" s="24" t="n"/>
    </row>
    <row r="691">
      <c r="G691" s="24" t="n"/>
      <c r="H691" s="24" t="n"/>
      <c r="I691" s="24" t="n"/>
    </row>
    <row r="692">
      <c r="G692" s="24" t="n"/>
      <c r="H692" s="24" t="n"/>
      <c r="I692" s="24" t="n"/>
    </row>
    <row r="693">
      <c r="G693" s="24" t="n"/>
      <c r="H693" s="24" t="n"/>
      <c r="I693" s="24" t="n"/>
    </row>
    <row r="694">
      <c r="G694" s="24" t="n"/>
      <c r="H694" s="24" t="n"/>
      <c r="I694" s="24" t="n"/>
    </row>
    <row r="695">
      <c r="G695" s="24" t="n"/>
      <c r="H695" s="24" t="n"/>
      <c r="I695" s="24" t="n"/>
    </row>
    <row r="696">
      <c r="G696" s="24" t="n"/>
      <c r="H696" s="24" t="n"/>
      <c r="I696" s="24" t="n"/>
    </row>
    <row r="697">
      <c r="G697" s="24" t="n"/>
      <c r="H697" s="24" t="n"/>
      <c r="I697" s="24" t="n"/>
    </row>
    <row r="698">
      <c r="G698" s="24" t="n"/>
      <c r="H698" s="24" t="n"/>
      <c r="I698" s="24" t="n"/>
    </row>
    <row r="699">
      <c r="G699" s="24" t="n"/>
      <c r="H699" s="24" t="n"/>
      <c r="I699" s="24" t="n"/>
    </row>
    <row r="700">
      <c r="G700" s="24" t="n"/>
      <c r="H700" s="24" t="n"/>
      <c r="I700" s="24" t="n"/>
    </row>
    <row r="701">
      <c r="G701" s="24" t="n"/>
      <c r="H701" s="24" t="n"/>
      <c r="I701" s="24" t="n"/>
    </row>
    <row r="702">
      <c r="G702" s="24" t="n"/>
      <c r="H702" s="24" t="n"/>
      <c r="I702" s="24" t="n"/>
    </row>
    <row r="703">
      <c r="G703" s="24" t="n"/>
      <c r="H703" s="24" t="n"/>
      <c r="I703" s="24" t="n"/>
    </row>
    <row r="704">
      <c r="G704" s="24" t="n"/>
      <c r="H704" s="24" t="n"/>
      <c r="I704" s="24" t="n"/>
    </row>
    <row r="705">
      <c r="G705" s="24" t="n"/>
      <c r="H705" s="24" t="n"/>
      <c r="I705" s="24" t="n"/>
    </row>
    <row r="706">
      <c r="G706" s="24" t="n"/>
      <c r="H706" s="24" t="n"/>
      <c r="I706" s="24" t="n"/>
    </row>
    <row r="707">
      <c r="G707" s="24" t="n"/>
      <c r="H707" s="24" t="n"/>
      <c r="I707" s="24" t="n"/>
    </row>
    <row r="708">
      <c r="G708" s="24" t="n"/>
      <c r="H708" s="24" t="n"/>
      <c r="I708" s="24" t="n"/>
    </row>
    <row r="709">
      <c r="G709" s="24" t="n"/>
      <c r="H709" s="24" t="n"/>
      <c r="I709" s="24" t="n"/>
    </row>
    <row r="710">
      <c r="G710" s="24" t="n"/>
      <c r="H710" s="24" t="n"/>
      <c r="I710" s="24" t="n"/>
    </row>
    <row r="711">
      <c r="G711" s="24" t="n"/>
      <c r="H711" s="24" t="n"/>
      <c r="I711" s="24" t="n"/>
    </row>
    <row r="712">
      <c r="G712" s="24" t="n"/>
      <c r="H712" s="24" t="n"/>
      <c r="I712" s="24" t="n"/>
    </row>
    <row r="713">
      <c r="G713" s="24" t="n"/>
      <c r="H713" s="24" t="n"/>
      <c r="I713" s="24" t="n"/>
    </row>
    <row r="714">
      <c r="G714" s="24" t="n"/>
      <c r="H714" s="24" t="n"/>
      <c r="I714" s="24" t="n"/>
    </row>
    <row r="715">
      <c r="G715" s="24" t="n"/>
      <c r="H715" s="24" t="n"/>
      <c r="I715" s="24" t="n"/>
    </row>
    <row r="716">
      <c r="G716" s="24" t="n"/>
      <c r="H716" s="24" t="n"/>
      <c r="I716" s="24" t="n"/>
    </row>
    <row r="717">
      <c r="G717" s="24" t="n"/>
      <c r="H717" s="24" t="n"/>
      <c r="I717" s="24" t="n"/>
    </row>
    <row r="718">
      <c r="G718" s="24" t="n"/>
      <c r="H718" s="24" t="n"/>
      <c r="I718" s="24" t="n"/>
    </row>
    <row r="719">
      <c r="G719" s="24" t="n"/>
      <c r="H719" s="24" t="n"/>
      <c r="I719" s="24" t="n"/>
    </row>
    <row r="720">
      <c r="G720" s="24" t="n"/>
      <c r="H720" s="24" t="n"/>
      <c r="I720" s="24" t="n"/>
    </row>
    <row r="721">
      <c r="G721" s="24" t="n"/>
      <c r="H721" s="24" t="n"/>
      <c r="I721" s="24" t="n"/>
    </row>
    <row r="722">
      <c r="G722" s="24" t="n"/>
      <c r="H722" s="24" t="n"/>
      <c r="I722" s="24" t="n"/>
    </row>
    <row r="723">
      <c r="G723" s="24" t="n"/>
      <c r="H723" s="24" t="n"/>
      <c r="I723" s="24" t="n"/>
    </row>
    <row r="724">
      <c r="G724" s="24" t="n"/>
      <c r="H724" s="24" t="n"/>
      <c r="I724" s="24" t="n"/>
    </row>
    <row r="725">
      <c r="G725" s="24" t="n"/>
      <c r="H725" s="24" t="n"/>
      <c r="I725" s="24" t="n"/>
    </row>
    <row r="726">
      <c r="G726" s="24" t="n"/>
      <c r="H726" s="24" t="n"/>
      <c r="I726" s="24" t="n"/>
    </row>
    <row r="727">
      <c r="G727" s="24" t="n"/>
      <c r="H727" s="24" t="n"/>
      <c r="I727" s="24" t="n"/>
    </row>
    <row r="728">
      <c r="G728" s="24" t="n"/>
      <c r="H728" s="24" t="n"/>
      <c r="I728" s="24" t="n"/>
    </row>
    <row r="729">
      <c r="G729" s="24" t="n"/>
      <c r="H729" s="24" t="n"/>
      <c r="I729" s="24" t="n"/>
    </row>
    <row r="730">
      <c r="G730" s="24" t="n"/>
      <c r="H730" s="24" t="n"/>
      <c r="I730" s="24" t="n"/>
    </row>
    <row r="731">
      <c r="G731" s="24" t="n"/>
      <c r="H731" s="24" t="n"/>
      <c r="I731" s="24" t="n"/>
    </row>
    <row r="732">
      <c r="G732" s="24" t="n"/>
      <c r="H732" s="24" t="n"/>
      <c r="I732" s="24" t="n"/>
    </row>
    <row r="733">
      <c r="G733" s="24" t="n"/>
      <c r="H733" s="24" t="n"/>
      <c r="I733" s="24" t="n"/>
    </row>
    <row r="734">
      <c r="G734" s="24" t="n"/>
      <c r="H734" s="24" t="n"/>
      <c r="I734" s="24" t="n"/>
    </row>
    <row r="735">
      <c r="G735" s="24" t="n"/>
      <c r="H735" s="24" t="n"/>
      <c r="I735" s="24" t="n"/>
    </row>
    <row r="736">
      <c r="G736" s="24" t="n"/>
      <c r="H736" s="24" t="n"/>
      <c r="I736" s="24" t="n"/>
    </row>
    <row r="737">
      <c r="G737" s="24" t="n"/>
      <c r="H737" s="24" t="n"/>
      <c r="I737" s="24" t="n"/>
    </row>
    <row r="738">
      <c r="G738" s="24" t="n"/>
      <c r="H738" s="24" t="n"/>
      <c r="I738" s="24" t="n"/>
    </row>
    <row r="739">
      <c r="G739" s="24" t="n"/>
      <c r="H739" s="24" t="n"/>
      <c r="I739" s="24" t="n"/>
    </row>
    <row r="740">
      <c r="G740" s="24" t="n"/>
      <c r="H740" s="24" t="n"/>
      <c r="I740" s="24" t="n"/>
    </row>
    <row r="741">
      <c r="G741" s="24" t="n"/>
      <c r="H741" s="24" t="n"/>
      <c r="I741" s="24" t="n"/>
    </row>
    <row r="742">
      <c r="G742" s="24" t="n"/>
      <c r="H742" s="24" t="n"/>
      <c r="I742" s="24" t="n"/>
    </row>
    <row r="743">
      <c r="G743" s="24" t="n"/>
      <c r="H743" s="24" t="n"/>
      <c r="I743" s="24" t="n"/>
    </row>
    <row r="744">
      <c r="G744" s="24" t="n"/>
      <c r="H744" s="24" t="n"/>
      <c r="I744" s="24" t="n"/>
    </row>
    <row r="745">
      <c r="G745" s="24" t="n"/>
      <c r="H745" s="24" t="n"/>
      <c r="I745" s="24" t="n"/>
    </row>
    <row r="746">
      <c r="G746" s="24" t="n"/>
      <c r="H746" s="24" t="n"/>
      <c r="I746" s="24" t="n"/>
    </row>
    <row r="747">
      <c r="G747" s="24" t="n"/>
      <c r="H747" s="24" t="n"/>
      <c r="I747" s="24" t="n"/>
    </row>
    <row r="748">
      <c r="G748" s="24" t="n"/>
      <c r="H748" s="24" t="n"/>
      <c r="I748" s="24" t="n"/>
    </row>
    <row r="749">
      <c r="G749" s="24" t="n"/>
      <c r="H749" s="24" t="n"/>
      <c r="I749" s="24" t="n"/>
    </row>
    <row r="750">
      <c r="G750" s="24" t="n"/>
      <c r="H750" s="24" t="n"/>
      <c r="I750" s="24" t="n"/>
    </row>
    <row r="751">
      <c r="G751" s="24" t="n"/>
      <c r="H751" s="24" t="n"/>
      <c r="I751" s="24" t="n"/>
    </row>
    <row r="752">
      <c r="G752" s="24" t="n"/>
      <c r="H752" s="24" t="n"/>
      <c r="I752" s="24" t="n"/>
    </row>
    <row r="753">
      <c r="G753" s="24" t="n"/>
      <c r="H753" s="24" t="n"/>
      <c r="I753" s="24" t="n"/>
    </row>
    <row r="754">
      <c r="G754" s="24" t="n"/>
      <c r="H754" s="24" t="n"/>
      <c r="I754" s="24" t="n"/>
    </row>
    <row r="755">
      <c r="G755" s="24" t="n"/>
      <c r="H755" s="24" t="n"/>
      <c r="I755" s="24" t="n"/>
    </row>
    <row r="756">
      <c r="G756" s="24" t="n"/>
      <c r="H756" s="24" t="n"/>
      <c r="I756" s="24" t="n"/>
    </row>
    <row r="757">
      <c r="G757" s="24" t="n"/>
      <c r="H757" s="24" t="n"/>
      <c r="I757" s="24" t="n"/>
    </row>
    <row r="758">
      <c r="G758" s="24" t="n"/>
      <c r="H758" s="24" t="n"/>
      <c r="I758" s="24" t="n"/>
    </row>
    <row r="759">
      <c r="G759" s="24" t="n"/>
      <c r="H759" s="24" t="n"/>
      <c r="I759" s="24" t="n"/>
    </row>
    <row r="760">
      <c r="G760" s="24" t="n"/>
      <c r="H760" s="24" t="n"/>
      <c r="I760" s="24" t="n"/>
    </row>
    <row r="761">
      <c r="G761" s="24" t="n"/>
      <c r="H761" s="24" t="n"/>
      <c r="I761" s="24" t="n"/>
    </row>
    <row r="762">
      <c r="G762" s="24" t="n"/>
      <c r="H762" s="24" t="n"/>
      <c r="I762" s="24" t="n"/>
    </row>
    <row r="763">
      <c r="G763" s="24" t="n"/>
      <c r="H763" s="24" t="n"/>
      <c r="I763" s="24" t="n"/>
    </row>
    <row r="764">
      <c r="G764" s="24" t="n"/>
      <c r="H764" s="24" t="n"/>
      <c r="I764" s="24" t="n"/>
    </row>
    <row r="765">
      <c r="G765" s="24" t="n"/>
      <c r="H765" s="24" t="n"/>
      <c r="I765" s="24" t="n"/>
    </row>
    <row r="766">
      <c r="G766" s="24" t="n"/>
      <c r="H766" s="24" t="n"/>
      <c r="I766" s="24" t="n"/>
    </row>
    <row r="767">
      <c r="G767" s="24" t="n"/>
      <c r="H767" s="24" t="n"/>
      <c r="I767" s="24" t="n"/>
    </row>
    <row r="768">
      <c r="G768" s="24" t="n"/>
      <c r="H768" s="24" t="n"/>
      <c r="I768" s="24" t="n"/>
    </row>
    <row r="769">
      <c r="G769" s="24" t="n"/>
      <c r="H769" s="24" t="n"/>
      <c r="I769" s="24" t="n"/>
    </row>
    <row r="770">
      <c r="G770" s="24" t="n"/>
      <c r="H770" s="24" t="n"/>
      <c r="I770" s="24" t="n"/>
    </row>
    <row r="771">
      <c r="G771" s="24" t="n"/>
      <c r="H771" s="24" t="n"/>
      <c r="I771" s="24" t="n"/>
    </row>
    <row r="772">
      <c r="G772" s="24" t="n"/>
      <c r="H772" s="24" t="n"/>
      <c r="I772" s="24" t="n"/>
    </row>
    <row r="773">
      <c r="G773" s="24" t="n"/>
      <c r="H773" s="24" t="n"/>
      <c r="I773" s="24" t="n"/>
    </row>
    <row r="774">
      <c r="G774" s="24" t="n"/>
      <c r="H774" s="24" t="n"/>
      <c r="I774" s="24" t="n"/>
    </row>
    <row r="775">
      <c r="G775" s="24" t="n"/>
      <c r="H775" s="24" t="n"/>
      <c r="I775" s="24" t="n"/>
    </row>
    <row r="776">
      <c r="G776" s="24" t="n"/>
      <c r="H776" s="24" t="n"/>
      <c r="I776" s="24" t="n"/>
    </row>
    <row r="777">
      <c r="G777" s="24" t="n"/>
      <c r="H777" s="24" t="n"/>
      <c r="I777" s="24" t="n"/>
    </row>
    <row r="778">
      <c r="G778" s="24" t="n"/>
      <c r="H778" s="24" t="n"/>
      <c r="I778" s="24" t="n"/>
    </row>
    <row r="779">
      <c r="G779" s="24" t="n"/>
      <c r="H779" s="24" t="n"/>
      <c r="I779" s="24" t="n"/>
    </row>
    <row r="780">
      <c r="G780" s="24" t="n"/>
      <c r="H780" s="24" t="n"/>
      <c r="I780" s="24" t="n"/>
    </row>
    <row r="781">
      <c r="G781" s="24" t="n"/>
      <c r="H781" s="24" t="n"/>
      <c r="I781" s="24" t="n"/>
    </row>
    <row r="782">
      <c r="G782" s="24" t="n"/>
      <c r="H782" s="24" t="n"/>
      <c r="I782" s="24" t="n"/>
    </row>
    <row r="783">
      <c r="G783" s="24" t="n"/>
      <c r="H783" s="24" t="n"/>
      <c r="I783" s="24" t="n"/>
    </row>
    <row r="784">
      <c r="G784" s="24" t="n"/>
      <c r="H784" s="24" t="n"/>
      <c r="I784" s="24" t="n"/>
    </row>
    <row r="785">
      <c r="G785" s="24" t="n"/>
      <c r="H785" s="24" t="n"/>
      <c r="I785" s="24" t="n"/>
    </row>
    <row r="786">
      <c r="G786" s="24" t="n"/>
      <c r="H786" s="24" t="n"/>
      <c r="I786" s="24" t="n"/>
    </row>
    <row r="787">
      <c r="G787" s="24" t="n"/>
      <c r="H787" s="24" t="n"/>
      <c r="I787" s="24" t="n"/>
    </row>
    <row r="788">
      <c r="G788" s="24" t="n"/>
      <c r="H788" s="24" t="n"/>
      <c r="I788" s="24" t="n"/>
    </row>
    <row r="789">
      <c r="G789" s="24" t="n"/>
      <c r="H789" s="24" t="n"/>
      <c r="I789" s="24" t="n"/>
    </row>
    <row r="790">
      <c r="G790" s="24" t="n"/>
      <c r="H790" s="24" t="n"/>
      <c r="I790" s="24" t="n"/>
    </row>
    <row r="791">
      <c r="G791" s="24" t="n"/>
      <c r="H791" s="24" t="n"/>
      <c r="I791" s="24" t="n"/>
    </row>
    <row r="792">
      <c r="G792" s="24" t="n"/>
      <c r="H792" s="24" t="n"/>
      <c r="I792" s="24" t="n"/>
    </row>
    <row r="793">
      <c r="G793" s="24" t="n"/>
      <c r="H793" s="24" t="n"/>
      <c r="I793" s="24" t="n"/>
    </row>
    <row r="794">
      <c r="G794" s="24" t="n"/>
      <c r="H794" s="24" t="n"/>
      <c r="I794" s="24" t="n"/>
    </row>
    <row r="795">
      <c r="G795" s="24" t="n"/>
      <c r="H795" s="24" t="n"/>
      <c r="I795" s="24" t="n"/>
    </row>
    <row r="796">
      <c r="G796" s="24" t="n"/>
      <c r="H796" s="24" t="n"/>
      <c r="I796" s="24" t="n"/>
    </row>
    <row r="797">
      <c r="G797" s="24" t="n"/>
      <c r="H797" s="24" t="n"/>
      <c r="I797" s="24" t="n"/>
    </row>
    <row r="798">
      <c r="G798" s="24" t="n"/>
      <c r="H798" s="24" t="n"/>
      <c r="I798" s="24" t="n"/>
    </row>
    <row r="799">
      <c r="G799" s="24" t="n"/>
      <c r="H799" s="24" t="n"/>
      <c r="I799" s="24" t="n"/>
    </row>
    <row r="800">
      <c r="G800" s="24" t="n"/>
      <c r="H800" s="24" t="n"/>
      <c r="I800" s="24" t="n"/>
    </row>
    <row r="801">
      <c r="G801" s="24" t="n"/>
      <c r="H801" s="24" t="n"/>
      <c r="I801" s="24" t="n"/>
    </row>
    <row r="802">
      <c r="G802" s="24" t="n"/>
      <c r="H802" s="24" t="n"/>
      <c r="I802" s="24" t="n"/>
    </row>
    <row r="803">
      <c r="G803" s="24" t="n"/>
      <c r="H803" s="24" t="n"/>
      <c r="I803" s="24" t="n"/>
    </row>
    <row r="804">
      <c r="G804" s="24" t="n"/>
      <c r="H804" s="24" t="n"/>
      <c r="I804" s="24" t="n"/>
    </row>
    <row r="805">
      <c r="G805" s="24" t="n"/>
      <c r="H805" s="24" t="n"/>
      <c r="I805" s="24" t="n"/>
    </row>
    <row r="806">
      <c r="G806" s="24" t="n"/>
      <c r="H806" s="24" t="n"/>
      <c r="I806" s="24" t="n"/>
    </row>
    <row r="807">
      <c r="G807" s="24" t="n"/>
      <c r="H807" s="24" t="n"/>
      <c r="I807" s="24" t="n"/>
    </row>
    <row r="808">
      <c r="G808" s="24" t="n"/>
      <c r="H808" s="24" t="n"/>
      <c r="I808" s="24" t="n"/>
    </row>
    <row r="809">
      <c r="G809" s="24" t="n"/>
      <c r="H809" s="24" t="n"/>
      <c r="I809" s="24" t="n"/>
    </row>
    <row r="810">
      <c r="G810" s="24" t="n"/>
      <c r="H810" s="24" t="n"/>
      <c r="I810" s="24" t="n"/>
    </row>
    <row r="811">
      <c r="G811" s="24" t="n"/>
      <c r="H811" s="24" t="n"/>
      <c r="I811" s="24" t="n"/>
    </row>
    <row r="812">
      <c r="G812" s="24" t="n"/>
      <c r="H812" s="24" t="n"/>
      <c r="I812" s="24" t="n"/>
    </row>
    <row r="813">
      <c r="G813" s="24" t="n"/>
      <c r="H813" s="24" t="n"/>
      <c r="I813" s="24" t="n"/>
    </row>
    <row r="814">
      <c r="G814" s="24" t="n"/>
      <c r="H814" s="24" t="n"/>
      <c r="I814" s="24" t="n"/>
    </row>
    <row r="815">
      <c r="G815" s="24" t="n"/>
      <c r="H815" s="24" t="n"/>
      <c r="I815" s="24" t="n"/>
    </row>
    <row r="816">
      <c r="G816" s="24" t="n"/>
      <c r="H816" s="24" t="n"/>
      <c r="I816" s="24" t="n"/>
    </row>
    <row r="817">
      <c r="G817" s="24" t="n"/>
      <c r="H817" s="24" t="n"/>
      <c r="I817" s="24" t="n"/>
    </row>
    <row r="818">
      <c r="G818" s="24" t="n"/>
      <c r="H818" s="24" t="n"/>
      <c r="I818" s="24" t="n"/>
    </row>
    <row r="819">
      <c r="G819" s="24" t="n"/>
      <c r="H819" s="24" t="n"/>
      <c r="I819" s="24" t="n"/>
    </row>
    <row r="820">
      <c r="G820" s="24" t="n"/>
      <c r="H820" s="24" t="n"/>
      <c r="I820" s="24" t="n"/>
    </row>
    <row r="821">
      <c r="G821" s="24" t="n"/>
      <c r="H821" s="24" t="n"/>
      <c r="I821" s="24" t="n"/>
    </row>
    <row r="822">
      <c r="G822" s="24" t="n"/>
      <c r="H822" s="24" t="n"/>
      <c r="I822" s="24" t="n"/>
    </row>
    <row r="823">
      <c r="G823" s="24" t="n"/>
      <c r="H823" s="24" t="n"/>
      <c r="I823" s="24" t="n"/>
    </row>
    <row r="824">
      <c r="G824" s="24" t="n"/>
      <c r="H824" s="24" t="n"/>
      <c r="I824" s="24" t="n"/>
    </row>
    <row r="825">
      <c r="G825" s="24" t="n"/>
      <c r="H825" s="24" t="n"/>
      <c r="I825" s="24" t="n"/>
    </row>
    <row r="826">
      <c r="G826" s="24" t="n"/>
      <c r="H826" s="24" t="n"/>
      <c r="I826" s="24" t="n"/>
    </row>
    <row r="827">
      <c r="G827" s="24" t="n"/>
      <c r="H827" s="24" t="n"/>
      <c r="I827" s="24" t="n"/>
    </row>
    <row r="828">
      <c r="G828" s="24" t="n"/>
      <c r="H828" s="24" t="n"/>
      <c r="I828" s="24" t="n"/>
    </row>
    <row r="829">
      <c r="G829" s="24" t="n"/>
      <c r="H829" s="24" t="n"/>
      <c r="I829" s="24" t="n"/>
    </row>
    <row r="830">
      <c r="G830" s="24" t="n"/>
      <c r="H830" s="24" t="n"/>
      <c r="I830" s="24" t="n"/>
    </row>
    <row r="831">
      <c r="G831" s="24" t="n"/>
      <c r="H831" s="24" t="n"/>
      <c r="I831" s="24" t="n"/>
    </row>
    <row r="832">
      <c r="G832" s="24" t="n"/>
      <c r="H832" s="24" t="n"/>
      <c r="I832" s="24" t="n"/>
    </row>
    <row r="833">
      <c r="G833" s="24" t="n"/>
      <c r="H833" s="24" t="n"/>
      <c r="I833" s="24" t="n"/>
    </row>
    <row r="834">
      <c r="G834" s="24" t="n"/>
      <c r="H834" s="24" t="n"/>
      <c r="I834" s="24" t="n"/>
    </row>
    <row r="835">
      <c r="G835" s="24" t="n"/>
      <c r="H835" s="24" t="n"/>
      <c r="I835" s="24" t="n"/>
    </row>
    <row r="836">
      <c r="G836" s="24" t="n"/>
      <c r="H836" s="24" t="n"/>
      <c r="I836" s="24" t="n"/>
    </row>
    <row r="837">
      <c r="G837" s="24" t="n"/>
      <c r="H837" s="24" t="n"/>
      <c r="I837" s="24" t="n"/>
    </row>
    <row r="838">
      <c r="G838" s="24" t="n"/>
      <c r="H838" s="24" t="n"/>
      <c r="I838" s="24" t="n"/>
    </row>
    <row r="839">
      <c r="G839" s="24" t="n"/>
      <c r="H839" s="24" t="n"/>
      <c r="I839" s="24" t="n"/>
    </row>
    <row r="840">
      <c r="G840" s="24" t="n"/>
      <c r="H840" s="24" t="n"/>
      <c r="I840" s="24" t="n"/>
    </row>
    <row r="841">
      <c r="G841" s="24" t="n"/>
      <c r="H841" s="24" t="n"/>
      <c r="I841" s="24" t="n"/>
    </row>
    <row r="842">
      <c r="G842" s="24" t="n"/>
      <c r="H842" s="24" t="n"/>
      <c r="I842" s="24" t="n"/>
    </row>
    <row r="843">
      <c r="G843" s="24" t="n"/>
      <c r="H843" s="24" t="n"/>
      <c r="I843" s="24" t="n"/>
    </row>
    <row r="844">
      <c r="G844" s="24" t="n"/>
      <c r="H844" s="24" t="n"/>
      <c r="I844" s="24" t="n"/>
    </row>
    <row r="845">
      <c r="G845" s="24" t="n"/>
      <c r="H845" s="24" t="n"/>
      <c r="I845" s="24" t="n"/>
    </row>
    <row r="846">
      <c r="G846" s="24" t="n"/>
      <c r="H846" s="24" t="n"/>
      <c r="I846" s="24" t="n"/>
    </row>
    <row r="847">
      <c r="G847" s="24" t="n"/>
      <c r="H847" s="24" t="n"/>
      <c r="I847" s="24" t="n"/>
    </row>
    <row r="848">
      <c r="G848" s="24" t="n"/>
      <c r="H848" s="24" t="n"/>
      <c r="I848" s="24" t="n"/>
    </row>
    <row r="849">
      <c r="G849" s="24" t="n"/>
      <c r="H849" s="24" t="n"/>
      <c r="I849" s="24" t="n"/>
    </row>
    <row r="850">
      <c r="G850" s="24" t="n"/>
      <c r="H850" s="24" t="n"/>
      <c r="I850" s="24" t="n"/>
    </row>
    <row r="851">
      <c r="G851" s="24" t="n"/>
      <c r="H851" s="24" t="n"/>
      <c r="I851" s="24" t="n"/>
    </row>
    <row r="852">
      <c r="G852" s="24" t="n"/>
      <c r="H852" s="24" t="n"/>
      <c r="I852" s="24" t="n"/>
    </row>
    <row r="853">
      <c r="G853" s="24" t="n"/>
      <c r="H853" s="24" t="n"/>
      <c r="I853" s="24" t="n"/>
    </row>
    <row r="854">
      <c r="G854" s="24" t="n"/>
      <c r="H854" s="24" t="n"/>
      <c r="I854" s="24" t="n"/>
    </row>
    <row r="855">
      <c r="G855" s="24" t="n"/>
      <c r="H855" s="24" t="n"/>
      <c r="I855" s="24" t="n"/>
    </row>
    <row r="856">
      <c r="G856" s="24" t="n"/>
      <c r="H856" s="24" t="n"/>
      <c r="I856" s="24" t="n"/>
    </row>
    <row r="857">
      <c r="G857" s="24" t="n"/>
      <c r="H857" s="24" t="n"/>
      <c r="I857" s="24" t="n"/>
    </row>
    <row r="858">
      <c r="G858" s="24" t="n"/>
      <c r="H858" s="24" t="n"/>
      <c r="I858" s="24" t="n"/>
    </row>
    <row r="859">
      <c r="G859" s="24" t="n"/>
      <c r="H859" s="24" t="n"/>
      <c r="I859" s="24" t="n"/>
    </row>
    <row r="860">
      <c r="G860" s="24" t="n"/>
      <c r="H860" s="24" t="n"/>
      <c r="I860" s="24" t="n"/>
    </row>
    <row r="861">
      <c r="G861" s="24" t="n"/>
      <c r="H861" s="24" t="n"/>
      <c r="I861" s="24" t="n"/>
    </row>
    <row r="862">
      <c r="G862" s="24" t="n"/>
      <c r="H862" s="24" t="n"/>
      <c r="I862" s="24" t="n"/>
    </row>
    <row r="863">
      <c r="G863" s="24" t="n"/>
      <c r="H863" s="24" t="n"/>
      <c r="I863" s="24" t="n"/>
    </row>
    <row r="864">
      <c r="G864" s="24" t="n"/>
      <c r="H864" s="24" t="n"/>
      <c r="I864" s="24" t="n"/>
    </row>
    <row r="865">
      <c r="G865" s="24" t="n"/>
      <c r="H865" s="24" t="n"/>
      <c r="I865" s="24" t="n"/>
    </row>
    <row r="866">
      <c r="G866" s="24" t="n"/>
      <c r="H866" s="24" t="n"/>
      <c r="I866" s="24" t="n"/>
    </row>
    <row r="867">
      <c r="G867" s="24" t="n"/>
      <c r="H867" s="24" t="n"/>
      <c r="I867" s="24" t="n"/>
    </row>
    <row r="868">
      <c r="G868" s="24" t="n"/>
      <c r="H868" s="24" t="n"/>
      <c r="I868" s="24" t="n"/>
    </row>
    <row r="869">
      <c r="G869" s="24" t="n"/>
      <c r="H869" s="24" t="n"/>
      <c r="I869" s="24" t="n"/>
    </row>
    <row r="870">
      <c r="G870" s="24" t="n"/>
      <c r="H870" s="24" t="n"/>
      <c r="I870" s="24" t="n"/>
    </row>
    <row r="871">
      <c r="G871" s="24" t="n"/>
      <c r="H871" s="24" t="n"/>
      <c r="I871" s="24" t="n"/>
    </row>
    <row r="872">
      <c r="G872" s="24" t="n"/>
      <c r="H872" s="24" t="n"/>
      <c r="I872" s="24" t="n"/>
    </row>
    <row r="873">
      <c r="G873" s="24" t="n"/>
      <c r="H873" s="24" t="n"/>
      <c r="I873" s="24" t="n"/>
    </row>
    <row r="874">
      <c r="G874" s="24" t="n"/>
      <c r="H874" s="24" t="n"/>
      <c r="I874" s="24" t="n"/>
    </row>
    <row r="875">
      <c r="G875" s="24" t="n"/>
      <c r="H875" s="24" t="n"/>
      <c r="I875" s="24" t="n"/>
    </row>
    <row r="876">
      <c r="G876" s="24" t="n"/>
      <c r="H876" s="24" t="n"/>
      <c r="I876" s="24" t="n"/>
    </row>
    <row r="877">
      <c r="G877" s="24" t="n"/>
      <c r="H877" s="24" t="n"/>
      <c r="I877" s="24" t="n"/>
    </row>
    <row r="878">
      <c r="G878" s="24" t="n"/>
      <c r="H878" s="24" t="n"/>
      <c r="I878" s="24" t="n"/>
    </row>
    <row r="879">
      <c r="G879" s="24" t="n"/>
      <c r="H879" s="24" t="n"/>
      <c r="I879" s="24" t="n"/>
    </row>
    <row r="880">
      <c r="G880" s="24" t="n"/>
      <c r="H880" s="24" t="n"/>
      <c r="I880" s="24" t="n"/>
    </row>
    <row r="881">
      <c r="G881" s="24" t="n"/>
      <c r="H881" s="24" t="n"/>
      <c r="I881" s="24" t="n"/>
    </row>
    <row r="882">
      <c r="G882" s="24" t="n"/>
      <c r="H882" s="24" t="n"/>
      <c r="I882" s="24" t="n"/>
    </row>
    <row r="883">
      <c r="G883" s="24" t="n"/>
      <c r="H883" s="24" t="n"/>
      <c r="I883" s="24" t="n"/>
    </row>
    <row r="884">
      <c r="G884" s="24" t="n"/>
      <c r="H884" s="24" t="n"/>
      <c r="I884" s="24" t="n"/>
    </row>
    <row r="885">
      <c r="G885" s="24" t="n"/>
      <c r="H885" s="24" t="n"/>
      <c r="I885" s="24" t="n"/>
    </row>
    <row r="886">
      <c r="G886" s="24" t="n"/>
      <c r="H886" s="24" t="n"/>
      <c r="I886" s="24" t="n"/>
    </row>
    <row r="887">
      <c r="G887" s="24" t="n"/>
      <c r="H887" s="24" t="n"/>
      <c r="I887" s="24" t="n"/>
    </row>
    <row r="888">
      <c r="G888" s="24" t="n"/>
      <c r="H888" s="24" t="n"/>
      <c r="I888" s="24" t="n"/>
    </row>
    <row r="889">
      <c r="G889" s="24" t="n"/>
      <c r="H889" s="24" t="n"/>
      <c r="I889" s="24" t="n"/>
    </row>
    <row r="890">
      <c r="G890" s="24" t="n"/>
      <c r="H890" s="24" t="n"/>
      <c r="I890" s="24" t="n"/>
    </row>
    <row r="891">
      <c r="G891" s="24" t="n"/>
      <c r="H891" s="24" t="n"/>
      <c r="I891" s="24" t="n"/>
    </row>
    <row r="892">
      <c r="G892" s="24" t="n"/>
      <c r="H892" s="24" t="n"/>
      <c r="I892" s="24" t="n"/>
    </row>
    <row r="893">
      <c r="G893" s="24" t="n"/>
      <c r="H893" s="24" t="n"/>
      <c r="I893" s="24" t="n"/>
    </row>
    <row r="894">
      <c r="G894" s="24" t="n"/>
      <c r="H894" s="24" t="n"/>
      <c r="I894" s="24" t="n"/>
    </row>
    <row r="895">
      <c r="G895" s="24" t="n"/>
      <c r="H895" s="24" t="n"/>
      <c r="I895" s="24" t="n"/>
    </row>
    <row r="896">
      <c r="G896" s="24" t="n"/>
      <c r="H896" s="24" t="n"/>
      <c r="I896" s="24" t="n"/>
    </row>
    <row r="897">
      <c r="G897" s="24" t="n"/>
      <c r="H897" s="24" t="n"/>
      <c r="I897" s="24" t="n"/>
    </row>
    <row r="898">
      <c r="G898" s="24" t="n"/>
      <c r="H898" s="24" t="n"/>
      <c r="I898" s="24" t="n"/>
    </row>
    <row r="899">
      <c r="G899" s="24" t="n"/>
      <c r="H899" s="24" t="n"/>
      <c r="I899" s="24" t="n"/>
    </row>
    <row r="900">
      <c r="G900" s="24" t="n"/>
      <c r="H900" s="24" t="n"/>
      <c r="I900" s="24" t="n"/>
    </row>
    <row r="901">
      <c r="G901" s="24" t="n"/>
      <c r="H901" s="24" t="n"/>
      <c r="I901" s="24" t="n"/>
    </row>
    <row r="902">
      <c r="G902" s="24" t="n"/>
      <c r="H902" s="24" t="n"/>
      <c r="I902" s="24" t="n"/>
    </row>
    <row r="903">
      <c r="G903" s="24" t="n"/>
      <c r="H903" s="24" t="n"/>
      <c r="I903" s="24" t="n"/>
    </row>
    <row r="904">
      <c r="G904" s="24" t="n"/>
      <c r="H904" s="24" t="n"/>
      <c r="I904" s="24" t="n"/>
    </row>
    <row r="905">
      <c r="G905" s="24" t="n"/>
      <c r="H905" s="24" t="n"/>
      <c r="I905" s="24" t="n"/>
    </row>
    <row r="906">
      <c r="G906" s="24" t="n"/>
      <c r="H906" s="24" t="n"/>
      <c r="I906" s="24" t="n"/>
    </row>
    <row r="907">
      <c r="G907" s="24" t="n"/>
      <c r="H907" s="24" t="n"/>
      <c r="I907" s="24" t="n"/>
    </row>
    <row r="908">
      <c r="G908" s="24" t="n"/>
      <c r="H908" s="24" t="n"/>
      <c r="I908" s="24" t="n"/>
    </row>
    <row r="909">
      <c r="G909" s="24" t="n"/>
      <c r="H909" s="24" t="n"/>
      <c r="I909" s="24" t="n"/>
    </row>
    <row r="910">
      <c r="G910" s="24" t="n"/>
      <c r="H910" s="24" t="n"/>
      <c r="I910" s="24" t="n"/>
    </row>
    <row r="911">
      <c r="G911" s="24" t="n"/>
      <c r="H911" s="24" t="n"/>
      <c r="I911" s="24" t="n"/>
    </row>
    <row r="912">
      <c r="G912" s="24" t="n"/>
      <c r="H912" s="24" t="n"/>
      <c r="I912" s="24" t="n"/>
    </row>
    <row r="913">
      <c r="G913" s="24" t="n"/>
      <c r="H913" s="24" t="n"/>
      <c r="I913" s="24" t="n"/>
    </row>
    <row r="914">
      <c r="G914" s="24" t="n"/>
      <c r="H914" s="24" t="n"/>
      <c r="I914" s="24" t="n"/>
    </row>
    <row r="915">
      <c r="G915" s="24" t="n"/>
      <c r="H915" s="24" t="n"/>
      <c r="I915" s="24" t="n"/>
    </row>
    <row r="916">
      <c r="G916" s="24" t="n"/>
      <c r="H916" s="24" t="n"/>
      <c r="I916" s="24" t="n"/>
    </row>
    <row r="917">
      <c r="G917" s="24" t="n"/>
      <c r="H917" s="24" t="n"/>
      <c r="I917" s="24" t="n"/>
    </row>
    <row r="918">
      <c r="G918" s="24" t="n"/>
      <c r="H918" s="24" t="n"/>
      <c r="I918" s="24" t="n"/>
    </row>
    <row r="919">
      <c r="G919" s="24" t="n"/>
      <c r="H919" s="24" t="n"/>
      <c r="I919" s="24" t="n"/>
    </row>
    <row r="920">
      <c r="G920" s="24" t="n"/>
      <c r="H920" s="24" t="n"/>
      <c r="I920" s="24" t="n"/>
    </row>
    <row r="921">
      <c r="G921" s="24" t="n"/>
      <c r="H921" s="24" t="n"/>
      <c r="I921" s="24" t="n"/>
    </row>
    <row r="922">
      <c r="G922" s="24" t="n"/>
      <c r="H922" s="24" t="n"/>
      <c r="I922" s="24" t="n"/>
    </row>
    <row r="923">
      <c r="G923" s="24" t="n"/>
      <c r="H923" s="24" t="n"/>
      <c r="I923" s="24" t="n"/>
    </row>
    <row r="924">
      <c r="G924" s="24" t="n"/>
      <c r="H924" s="24" t="n"/>
      <c r="I924" s="24" t="n"/>
    </row>
    <row r="925">
      <c r="G925" s="24" t="n"/>
      <c r="H925" s="24" t="n"/>
      <c r="I925" s="24" t="n"/>
    </row>
    <row r="926">
      <c r="G926" s="24" t="n"/>
      <c r="H926" s="24" t="n"/>
      <c r="I926" s="24" t="n"/>
    </row>
    <row r="927">
      <c r="G927" s="24" t="n"/>
      <c r="H927" s="24" t="n"/>
      <c r="I927" s="24" t="n"/>
    </row>
    <row r="928">
      <c r="G928" s="24" t="n"/>
      <c r="H928" s="24" t="n"/>
      <c r="I928" s="24" t="n"/>
    </row>
    <row r="929">
      <c r="G929" s="24" t="n"/>
      <c r="H929" s="24" t="n"/>
      <c r="I929" s="24" t="n"/>
    </row>
    <row r="930">
      <c r="G930" s="24" t="n"/>
      <c r="H930" s="24" t="n"/>
      <c r="I930" s="24" t="n"/>
    </row>
    <row r="931">
      <c r="G931" s="24" t="n"/>
      <c r="H931" s="24" t="n"/>
      <c r="I931" s="24" t="n"/>
    </row>
    <row r="932">
      <c r="G932" s="24" t="n"/>
      <c r="H932" s="24" t="n"/>
      <c r="I932" s="24" t="n"/>
    </row>
    <row r="933">
      <c r="G933" s="24" t="n"/>
      <c r="H933" s="24" t="n"/>
      <c r="I933" s="24" t="n"/>
    </row>
    <row r="934">
      <c r="G934" s="24" t="n"/>
      <c r="H934" s="24" t="n"/>
      <c r="I934" s="24" t="n"/>
    </row>
    <row r="935">
      <c r="G935" s="24" t="n"/>
      <c r="H935" s="24" t="n"/>
      <c r="I935" s="24" t="n"/>
    </row>
    <row r="936">
      <c r="G936" s="24" t="n"/>
      <c r="H936" s="24" t="n"/>
      <c r="I936" s="24" t="n"/>
    </row>
    <row r="937">
      <c r="G937" s="24" t="n"/>
      <c r="H937" s="24" t="n"/>
      <c r="I937" s="24" t="n"/>
    </row>
    <row r="938">
      <c r="G938" s="24" t="n"/>
      <c r="H938" s="24" t="n"/>
      <c r="I938" s="24" t="n"/>
    </row>
    <row r="939">
      <c r="G939" s="24" t="n"/>
      <c r="H939" s="24" t="n"/>
      <c r="I939" s="24" t="n"/>
    </row>
    <row r="940">
      <c r="G940" s="24" t="n"/>
      <c r="H940" s="24" t="n"/>
      <c r="I940" s="24" t="n"/>
    </row>
    <row r="941">
      <c r="G941" s="24" t="n"/>
      <c r="H941" s="24" t="n"/>
      <c r="I941" s="24" t="n"/>
    </row>
    <row r="942">
      <c r="G942" s="24" t="n"/>
      <c r="H942" s="24" t="n"/>
      <c r="I942" s="24" t="n"/>
    </row>
    <row r="943">
      <c r="G943" s="24" t="n"/>
      <c r="H943" s="24" t="n"/>
      <c r="I943" s="24" t="n"/>
    </row>
    <row r="944">
      <c r="G944" s="24" t="n"/>
      <c r="H944" s="24" t="n"/>
      <c r="I944" s="24" t="n"/>
    </row>
    <row r="945">
      <c r="G945" s="24" t="n"/>
      <c r="H945" s="24" t="n"/>
      <c r="I945" s="24" t="n"/>
    </row>
    <row r="946">
      <c r="G946" s="24" t="n"/>
      <c r="H946" s="24" t="n"/>
      <c r="I946" s="24" t="n"/>
    </row>
    <row r="947">
      <c r="G947" s="24" t="n"/>
      <c r="H947" s="24" t="n"/>
      <c r="I947" s="24" t="n"/>
    </row>
    <row r="948">
      <c r="G948" s="24" t="n"/>
      <c r="H948" s="24" t="n"/>
      <c r="I948" s="24" t="n"/>
    </row>
    <row r="949">
      <c r="G949" s="24" t="n"/>
      <c r="H949" s="24" t="n"/>
      <c r="I949" s="24" t="n"/>
    </row>
    <row r="950">
      <c r="G950" s="24" t="n"/>
      <c r="H950" s="24" t="n"/>
      <c r="I950" s="24" t="n"/>
    </row>
    <row r="951">
      <c r="G951" s="24" t="n"/>
      <c r="H951" s="24" t="n"/>
      <c r="I951" s="24" t="n"/>
    </row>
    <row r="952">
      <c r="G952" s="24" t="n"/>
      <c r="H952" s="24" t="n"/>
      <c r="I952" s="24" t="n"/>
    </row>
    <row r="953">
      <c r="G953" s="24" t="n"/>
      <c r="H953" s="24" t="n"/>
      <c r="I953" s="24" t="n"/>
    </row>
    <row r="954">
      <c r="G954" s="24" t="n"/>
      <c r="H954" s="24" t="n"/>
      <c r="I954" s="24" t="n"/>
    </row>
    <row r="955">
      <c r="G955" s="24" t="n"/>
      <c r="H955" s="24" t="n"/>
      <c r="I955" s="24" t="n"/>
    </row>
    <row r="956">
      <c r="G956" s="24" t="n"/>
      <c r="H956" s="24" t="n"/>
      <c r="I956" s="24" t="n"/>
    </row>
    <row r="957">
      <c r="G957" s="24" t="n"/>
      <c r="H957" s="24" t="n"/>
      <c r="I957" s="24" t="n"/>
    </row>
    <row r="958">
      <c r="G958" s="24" t="n"/>
      <c r="H958" s="24" t="n"/>
      <c r="I958" s="24" t="n"/>
    </row>
    <row r="959">
      <c r="G959" s="24" t="n"/>
      <c r="H959" s="24" t="n"/>
      <c r="I959" s="24" t="n"/>
    </row>
    <row r="960">
      <c r="G960" s="24" t="n"/>
      <c r="H960" s="24" t="n"/>
      <c r="I960" s="24" t="n"/>
    </row>
    <row r="961">
      <c r="G961" s="24" t="n"/>
      <c r="H961" s="24" t="n"/>
      <c r="I961" s="24" t="n"/>
    </row>
    <row r="962">
      <c r="G962" s="24" t="n"/>
      <c r="H962" s="24" t="n"/>
      <c r="I962" s="24" t="n"/>
    </row>
    <row r="963">
      <c r="G963" s="24" t="n"/>
      <c r="H963" s="24" t="n"/>
      <c r="I963" s="24" t="n"/>
    </row>
    <row r="964">
      <c r="G964" s="24" t="n"/>
      <c r="H964" s="24" t="n"/>
      <c r="I964" s="24" t="n"/>
    </row>
    <row r="965">
      <c r="G965" s="24" t="n"/>
      <c r="H965" s="24" t="n"/>
      <c r="I965" s="24" t="n"/>
    </row>
    <row r="966">
      <c r="G966" s="24" t="n"/>
      <c r="H966" s="24" t="n"/>
      <c r="I966" s="24" t="n"/>
    </row>
    <row r="967">
      <c r="G967" s="24" t="n"/>
      <c r="H967" s="24" t="n"/>
      <c r="I967" s="24" t="n"/>
    </row>
    <row r="968">
      <c r="G968" s="24" t="n"/>
      <c r="H968" s="24" t="n"/>
      <c r="I968" s="24" t="n"/>
    </row>
    <row r="969">
      <c r="G969" s="24" t="n"/>
      <c r="H969" s="24" t="n"/>
      <c r="I969" s="24" t="n"/>
    </row>
    <row r="970">
      <c r="G970" s="24" t="n"/>
      <c r="H970" s="24" t="n"/>
      <c r="I970" s="24" t="n"/>
    </row>
    <row r="971">
      <c r="G971" s="24" t="n"/>
      <c r="H971" s="24" t="n"/>
      <c r="I971" s="24" t="n"/>
    </row>
    <row r="972">
      <c r="G972" s="24" t="n"/>
      <c r="H972" s="24" t="n"/>
      <c r="I972" s="24" t="n"/>
    </row>
    <row r="973">
      <c r="G973" s="24" t="n"/>
      <c r="H973" s="24" t="n"/>
      <c r="I973" s="24" t="n"/>
    </row>
    <row r="974">
      <c r="G974" s="24" t="n"/>
      <c r="H974" s="24" t="n"/>
      <c r="I974" s="24" t="n"/>
    </row>
    <row r="975">
      <c r="G975" s="24" t="n"/>
      <c r="H975" s="24" t="n"/>
      <c r="I975" s="24" t="n"/>
    </row>
    <row r="976">
      <c r="G976" s="24" t="n"/>
      <c r="H976" s="24" t="n"/>
      <c r="I976" s="24" t="n"/>
    </row>
    <row r="977">
      <c r="G977" s="24" t="n"/>
      <c r="H977" s="24" t="n"/>
      <c r="I977" s="24" t="n"/>
    </row>
    <row r="978">
      <c r="G978" s="24" t="n"/>
      <c r="H978" s="24" t="n"/>
      <c r="I978" s="24" t="n"/>
    </row>
    <row r="979">
      <c r="G979" s="24" t="n"/>
      <c r="H979" s="24" t="n"/>
      <c r="I979" s="24" t="n"/>
    </row>
    <row r="980">
      <c r="G980" s="24" t="n"/>
      <c r="H980" s="24" t="n"/>
      <c r="I980" s="24" t="n"/>
    </row>
    <row r="981">
      <c r="G981" s="24" t="n"/>
      <c r="H981" s="24" t="n"/>
      <c r="I981" s="24" t="n"/>
    </row>
    <row r="982">
      <c r="G982" s="24" t="n"/>
      <c r="H982" s="24" t="n"/>
      <c r="I982" s="24" t="n"/>
    </row>
    <row r="983">
      <c r="G983" s="24" t="n"/>
      <c r="H983" s="24" t="n"/>
      <c r="I983" s="24" t="n"/>
    </row>
    <row r="984">
      <c r="G984" s="24" t="n"/>
      <c r="H984" s="24" t="n"/>
      <c r="I984" s="24" t="n"/>
    </row>
    <row r="985">
      <c r="G985" s="24" t="n"/>
      <c r="H985" s="24" t="n"/>
      <c r="I985" s="24" t="n"/>
    </row>
    <row r="986">
      <c r="G986" s="24" t="n"/>
      <c r="H986" s="24" t="n"/>
      <c r="I986" s="24" t="n"/>
    </row>
    <row r="987">
      <c r="G987" s="24" t="n"/>
      <c r="H987" s="24" t="n"/>
      <c r="I987" s="24" t="n"/>
    </row>
    <row r="988">
      <c r="G988" s="24" t="n"/>
      <c r="H988" s="24" t="n"/>
      <c r="I988" s="24" t="n"/>
    </row>
    <row r="989">
      <c r="G989" s="24" t="n"/>
      <c r="H989" s="24" t="n"/>
      <c r="I989" s="24" t="n"/>
    </row>
    <row r="990">
      <c r="G990" s="24" t="n"/>
      <c r="H990" s="24" t="n"/>
      <c r="I990" s="24" t="n"/>
    </row>
    <row r="991">
      <c r="G991" s="24" t="n"/>
      <c r="H991" s="24" t="n"/>
      <c r="I991" s="24" t="n"/>
    </row>
    <row r="992">
      <c r="G992" s="24" t="n"/>
      <c r="H992" s="24" t="n"/>
      <c r="I992" s="24" t="n"/>
    </row>
    <row r="993">
      <c r="G993" s="24" t="n"/>
      <c r="H993" s="24" t="n"/>
      <c r="I993" s="24" t="n"/>
    </row>
    <row r="994">
      <c r="G994" s="24" t="n"/>
      <c r="H994" s="24" t="n"/>
      <c r="I994" s="24" t="n"/>
    </row>
    <row r="995">
      <c r="G995" s="24" t="n"/>
      <c r="H995" s="24" t="n"/>
      <c r="I995" s="24" t="n"/>
    </row>
    <row r="996">
      <c r="G996" s="24" t="n"/>
      <c r="H996" s="24" t="n"/>
      <c r="I996" s="24" t="n"/>
    </row>
    <row r="997">
      <c r="G997" s="24" t="n"/>
      <c r="H997" s="24" t="n"/>
      <c r="I997" s="24" t="n"/>
    </row>
    <row r="998">
      <c r="G998" s="24" t="n"/>
      <c r="H998" s="24" t="n"/>
      <c r="I998" s="24" t="n"/>
    </row>
    <row r="999">
      <c r="G999" s="24" t="n"/>
      <c r="H999" s="24" t="n"/>
      <c r="I999" s="24" t="n"/>
    </row>
    <row r="1000">
      <c r="G1000" s="24" t="n"/>
      <c r="H1000" s="24" t="n"/>
      <c r="I1000" s="24" t="n"/>
    </row>
  </sheetData>
  <autoFilter ref="$A$1:$D$157"/>
  <mergeCells count="4">
    <mergeCell ref="F3:F12"/>
    <mergeCell ref="G2:H2"/>
    <mergeCell ref="F23:F25"/>
    <mergeCell ref="F13:F22"/>
  </mergeCells>
  <conditionalFormatting sqref="G23:H25">
    <cfRule type="cellIs" priority="1" operator="equal" dxfId="14">
      <formula>"GR"</formula>
    </cfRule>
  </conditionalFormatting>
  <conditionalFormatting sqref="G2:H1000">
    <cfRule type="containsText" priority="2" operator="containsText" dxfId="2" text="A m">
      <formula>NOT(ISERROR(SEARCH(("A m"),(G2))))</formula>
    </cfRule>
    <cfRule type="containsText" priority="3" operator="containsText" dxfId="3" text="A v">
      <formula>NOT(ISERROR(SEARCH(("A v"),(G2))))</formula>
    </cfRule>
    <cfRule type="containsText" priority="4" operator="containsText" dxfId="4" text="B1 m">
      <formula>NOT(ISERROR(SEARCH(("B1 m"),(G2))))</formula>
    </cfRule>
    <cfRule type="containsText" priority="5" operator="containsText" dxfId="5" text="B1 v">
      <formula>NOT(ISERROR(SEARCH(("B1 v"),(G2))))</formula>
    </cfRule>
    <cfRule type="containsText" priority="6" operator="containsText" dxfId="6" text="B2 m">
      <formula>NOT(ISERROR(SEARCH(("B2 m"),(G2))))</formula>
    </cfRule>
    <cfRule type="containsText" priority="7" operator="containsText" dxfId="7" text="B2 v">
      <formula>NOT(ISERROR(SEARCH(("B2 v"),(G2))))</formula>
    </cfRule>
    <cfRule type="containsText" priority="8" operator="containsText" dxfId="8" text="C m">
      <formula>NOT(ISERROR(SEARCH(("C m"),(G2))))</formula>
    </cfRule>
    <cfRule type="containsText" priority="9" operator="containsText" dxfId="9" text="C v">
      <formula>NOT(ISERROR(SEARCH(("C v"),(G2))))</formula>
    </cfRule>
    <cfRule type="containsText" priority="10" operator="containsText" dxfId="10" text="D v">
      <formula>NOT(ISERROR(SEARCH(("D v"),(G2))))</formula>
    </cfRule>
    <cfRule type="containsText" priority="11" operator="containsText" dxfId="11" text="D m">
      <formula>NOT(ISERROR(SEARCH(("D m"),(G2))))</formula>
    </cfRule>
    <cfRule type="containsText" priority="12" operator="containsText" dxfId="12" text="E m">
      <formula>NOT(ISERROR(SEARCH(("E m"),(G2))))</formula>
    </cfRule>
    <cfRule type="containsText" priority="13" operator="containsText" dxfId="13" text="E v">
      <formula>NOT(ISERROR(SEARCH(("E v"),(G2))))</formula>
    </cfRule>
  </conditionalFormatting>
  <dataValidations count="1">
    <dataValidation sqref="D2:D157" showDropDown="0" showInputMessage="0" showErrorMessage="1" allowBlank="1" type="list">
      <formula1>"Veio,Não Veio"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.75" customHeight="1"/>
  <cols>
    <col width="40.25" customWidth="1" style="128" min="1" max="1"/>
    <col width="21" customWidth="1" style="128" min="11" max="11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F1" s="69" t="inlineStr">
        <is>
          <t>CONFRONTOS</t>
        </is>
      </c>
      <c r="G1" s="130" t="n"/>
      <c r="H1" s="130" t="n"/>
      <c r="I1" s="131" t="n"/>
    </row>
    <row r="2">
      <c r="A2" s="34">
        <f>IFERROR(__xludf.DUMMYFUNCTION("FILTER(Alunos!A:A, Alunos!$G:$G = ""Participa"")"),"ADILSON EVÊNCIO DA SILVA JUNIOR")</f>
        <v/>
      </c>
      <c r="B2" s="34">
        <f>IFERROR(__xludf.DUMMYFUNCTION("FILTER(Alunos!B:B, Alunos!$G:$G = ""Participa"")"),"Turma E")</f>
        <v/>
      </c>
      <c r="C2" s="34">
        <f>IFERROR(__xludf.DUMMYFUNCTION("FILTER(Alunos!C:C, Alunos!$G:$G = ""Participa"")"),"Matutino")</f>
        <v/>
      </c>
      <c r="D2" s="34" t="inlineStr">
        <is>
          <t>Veio</t>
        </is>
      </c>
      <c r="F2" s="61" t="inlineStr">
        <is>
          <t>Categoria</t>
        </is>
      </c>
      <c r="G2" s="61" t="inlineStr">
        <is>
          <t>Turmas</t>
        </is>
      </c>
      <c r="H2" s="131" t="n"/>
      <c r="I2" s="61" t="inlineStr">
        <is>
          <t>Resultados</t>
        </is>
      </c>
    </row>
    <row r="3">
      <c r="A3" s="34">
        <f>IFERROR(__xludf.DUMMYFUNCTION("""COMPUTED_VALUE"""),"AGATA LORRAINE ARAÚJO DA COSTA")</f>
        <v/>
      </c>
      <c r="B3" s="34">
        <f>IFERROR(__xludf.DUMMYFUNCTION("""COMPUTED_VALUE"""),"Turma A")</f>
        <v/>
      </c>
      <c r="C3" s="34">
        <f>IFERROR(__xludf.DUMMYFUNCTION("""COMPUTED_VALUE"""),"Vespertino")</f>
        <v/>
      </c>
      <c r="D3" s="34" t="inlineStr">
        <is>
          <t>Veio</t>
        </is>
      </c>
      <c r="F3" s="67" t="inlineStr">
        <is>
          <t>Infantil</t>
        </is>
      </c>
      <c r="G3" s="114" t="inlineStr">
        <is>
          <t>A v</t>
        </is>
      </c>
      <c r="H3" s="114" t="inlineStr">
        <is>
          <t>B2 m</t>
        </is>
      </c>
      <c r="I3" s="65" t="inlineStr">
        <is>
          <t>A v</t>
        </is>
      </c>
    </row>
    <row r="4">
      <c r="A4" s="34">
        <f>IFERROR(__xludf.DUMMYFUNCTION("""COMPUTED_VALUE"""),"Ágatha Sophhie Da Silva Basílio")</f>
        <v/>
      </c>
      <c r="B4" s="34">
        <f>IFERROR(__xludf.DUMMYFUNCTION("""COMPUTED_VALUE"""),"Turma A")</f>
        <v/>
      </c>
      <c r="C4" s="34">
        <f>IFERROR(__xludf.DUMMYFUNCTION("""COMPUTED_VALUE"""),"Matutino")</f>
        <v/>
      </c>
      <c r="D4" s="34" t="inlineStr">
        <is>
          <t>Veio</t>
        </is>
      </c>
      <c r="F4" s="134" t="n"/>
      <c r="G4" s="114" t="inlineStr">
        <is>
          <t>B1 m</t>
        </is>
      </c>
      <c r="H4" s="114" t="inlineStr">
        <is>
          <t>B1 v</t>
        </is>
      </c>
      <c r="I4" s="65" t="inlineStr">
        <is>
          <t>Empate</t>
        </is>
      </c>
    </row>
    <row r="5">
      <c r="A5" s="34">
        <f>IFERROR(__xludf.DUMMYFUNCTION("""COMPUTED_VALUE"""),"ALLAN ALVES RIBEIRO")</f>
        <v/>
      </c>
      <c r="B5" s="34">
        <f>IFERROR(__xludf.DUMMYFUNCTION("""COMPUTED_VALUE"""),"Turma E")</f>
        <v/>
      </c>
      <c r="C5" s="34">
        <f>IFERROR(__xludf.DUMMYFUNCTION("""COMPUTED_VALUE"""),"Vespertino")</f>
        <v/>
      </c>
      <c r="D5" s="34" t="inlineStr">
        <is>
          <t>Veio</t>
        </is>
      </c>
      <c r="F5" s="134" t="n"/>
      <c r="G5" s="114" t="inlineStr">
        <is>
          <t>A m</t>
        </is>
      </c>
      <c r="H5" s="114" t="inlineStr">
        <is>
          <t>B2 m</t>
        </is>
      </c>
      <c r="I5" s="65" t="inlineStr">
        <is>
          <t>A m</t>
        </is>
      </c>
    </row>
    <row r="6">
      <c r="A6" s="34">
        <f>IFERROR(__xludf.DUMMYFUNCTION("""COMPUTED_VALUE"""),"ALLANA FERREIRA DA SILVA")</f>
        <v/>
      </c>
      <c r="B6" s="34">
        <f>IFERROR(__xludf.DUMMYFUNCTION("""COMPUTED_VALUE"""),"Turma B1")</f>
        <v/>
      </c>
      <c r="C6" s="34">
        <f>IFERROR(__xludf.DUMMYFUNCTION("""COMPUTED_VALUE"""),"Vespertino")</f>
        <v/>
      </c>
      <c r="D6" s="34" t="inlineStr">
        <is>
          <t>Veio</t>
        </is>
      </c>
      <c r="F6" s="134" t="n"/>
      <c r="G6" s="114" t="inlineStr">
        <is>
          <t>A v</t>
        </is>
      </c>
      <c r="H6" s="114" t="inlineStr">
        <is>
          <t>B1 m</t>
        </is>
      </c>
      <c r="I6" s="65" t="inlineStr">
        <is>
          <t>B1 m</t>
        </is>
      </c>
    </row>
    <row r="7">
      <c r="A7" s="34">
        <f>IFERROR(__xludf.DUMMYFUNCTION("""COMPUTED_VALUE"""),"Allana Gonçalves Da Silva")</f>
        <v/>
      </c>
      <c r="B7" s="34">
        <f>IFERROR(__xludf.DUMMYFUNCTION("""COMPUTED_VALUE"""),"Turma C")</f>
        <v/>
      </c>
      <c r="C7" s="34">
        <f>IFERROR(__xludf.DUMMYFUNCTION("""COMPUTED_VALUE"""),"Matutino")</f>
        <v/>
      </c>
      <c r="D7" s="34" t="inlineStr">
        <is>
          <t>Veio</t>
        </is>
      </c>
      <c r="F7" s="134" t="n"/>
      <c r="G7" s="114" t="inlineStr">
        <is>
          <t>A m</t>
        </is>
      </c>
      <c r="H7" s="114" t="inlineStr">
        <is>
          <t>B1 v</t>
        </is>
      </c>
      <c r="I7" s="65" t="inlineStr">
        <is>
          <t>B1 v</t>
        </is>
      </c>
      <c r="K7" s="34" t="inlineStr">
        <is>
          <t xml:space="preserve">Aluno (n/d) não joga B2 </t>
        </is>
      </c>
    </row>
    <row r="8">
      <c r="A8" s="34">
        <f>IFERROR(__xludf.DUMMYFUNCTION("""COMPUTED_VALUE"""),"ANA BEATRIZ FLAUZINO DOS SANTOS")</f>
        <v/>
      </c>
      <c r="B8" s="34">
        <f>IFERROR(__xludf.DUMMYFUNCTION("""COMPUTED_VALUE"""),"Turma A")</f>
        <v/>
      </c>
      <c r="C8" s="34">
        <f>IFERROR(__xludf.DUMMYFUNCTION("""COMPUTED_VALUE"""),"Vespertino")</f>
        <v/>
      </c>
      <c r="D8" s="34" t="inlineStr">
        <is>
          <t>Não Veio</t>
        </is>
      </c>
      <c r="F8" s="134" t="n"/>
      <c r="G8" s="114" t="inlineStr">
        <is>
          <t>B2 m</t>
        </is>
      </c>
      <c r="H8" s="114" t="inlineStr">
        <is>
          <t>B1 m</t>
        </is>
      </c>
      <c r="I8" s="65" t="inlineStr">
        <is>
          <t>B1 m</t>
        </is>
      </c>
    </row>
    <row r="9">
      <c r="A9" s="34">
        <f>IFERROR(__xludf.DUMMYFUNCTION("""COMPUTED_VALUE"""),"ANA CLARA DE FREITAS TEIXEIRA")</f>
        <v/>
      </c>
      <c r="B9" s="34">
        <f>IFERROR(__xludf.DUMMYFUNCTION("""COMPUTED_VALUE"""),"Turma GR")</f>
        <v/>
      </c>
      <c r="C9" s="34">
        <f>IFERROR(__xludf.DUMMYFUNCTION("""COMPUTED_VALUE"""),"Vespertino")</f>
        <v/>
      </c>
      <c r="D9" s="34" t="inlineStr">
        <is>
          <t>Veio</t>
        </is>
      </c>
      <c r="F9" s="134" t="n"/>
      <c r="G9" s="114" t="inlineStr">
        <is>
          <t>A m</t>
        </is>
      </c>
      <c r="H9" s="114" t="inlineStr">
        <is>
          <t>B1 m</t>
        </is>
      </c>
      <c r="I9" s="65" t="inlineStr">
        <is>
          <t>B1 m</t>
        </is>
      </c>
    </row>
    <row r="10">
      <c r="A10" s="34">
        <f>IFERROR(__xludf.DUMMYFUNCTION("""COMPUTED_VALUE"""),"Ana Julia Da Cruz Oliveira")</f>
        <v/>
      </c>
      <c r="B10" s="34">
        <f>IFERROR(__xludf.DUMMYFUNCTION("""COMPUTED_VALUE"""),"Turma A")</f>
        <v/>
      </c>
      <c r="C10" s="34">
        <f>IFERROR(__xludf.DUMMYFUNCTION("""COMPUTED_VALUE"""),"Matutino")</f>
        <v/>
      </c>
      <c r="D10" s="34" t="inlineStr">
        <is>
          <t>Veio</t>
        </is>
      </c>
      <c r="F10" s="134" t="n"/>
      <c r="G10" s="114" t="inlineStr">
        <is>
          <t>B1 v</t>
        </is>
      </c>
      <c r="H10" s="114" t="inlineStr">
        <is>
          <t>A v</t>
        </is>
      </c>
      <c r="I10" s="65" t="inlineStr">
        <is>
          <t>B1 v</t>
        </is>
      </c>
    </row>
    <row r="11">
      <c r="A11" s="34">
        <f>IFERROR(__xludf.DUMMYFUNCTION("""COMPUTED_VALUE"""),"ANA LUIZA DA SILVA BORGES")</f>
        <v/>
      </c>
      <c r="B11" s="34">
        <f>IFERROR(__xludf.DUMMYFUNCTION("""COMPUTED_VALUE"""),"Turma E")</f>
        <v/>
      </c>
      <c r="C11" s="34">
        <f>IFERROR(__xludf.DUMMYFUNCTION("""COMPUTED_VALUE"""),"Matutino")</f>
        <v/>
      </c>
      <c r="D11" s="34" t="inlineStr">
        <is>
          <t>Veio</t>
        </is>
      </c>
      <c r="F11" s="134" t="n"/>
      <c r="G11" s="114" t="inlineStr">
        <is>
          <t>A m</t>
        </is>
      </c>
      <c r="H11" s="114" t="inlineStr">
        <is>
          <t>A v</t>
        </is>
      </c>
      <c r="I11" s="65" t="inlineStr">
        <is>
          <t>A v</t>
        </is>
      </c>
    </row>
    <row r="12">
      <c r="A12" s="34">
        <f>IFERROR(__xludf.DUMMYFUNCTION("""COMPUTED_VALUE"""),"Ana Vitória Santana Oliveira Da Silva")</f>
        <v/>
      </c>
      <c r="B12" s="34">
        <f>IFERROR(__xludf.DUMMYFUNCTION("""COMPUTED_VALUE"""),"Turma A")</f>
        <v/>
      </c>
      <c r="C12" s="34">
        <f>IFERROR(__xludf.DUMMYFUNCTION("""COMPUTED_VALUE"""),"Matutino")</f>
        <v/>
      </c>
      <c r="D12" s="34" t="inlineStr">
        <is>
          <t>Não Veio</t>
        </is>
      </c>
      <c r="F12" s="134" t="n"/>
      <c r="G12" s="114" t="inlineStr">
        <is>
          <t>B1 v</t>
        </is>
      </c>
      <c r="H12" s="114" t="inlineStr">
        <is>
          <t>B2 m</t>
        </is>
      </c>
      <c r="I12" s="65" t="inlineStr">
        <is>
          <t>B1 v</t>
        </is>
      </c>
      <c r="K12" s="34" t="inlineStr">
        <is>
          <t>Aluno (n/d) turma Dv - Aluno (n/d) de Aluno (n/d)</t>
        </is>
      </c>
    </row>
    <row r="13">
      <c r="A13" s="34">
        <f>IFERROR(__xludf.DUMMYFUNCTION("""COMPUTED_VALUE"""),"Andressa Campos De Barros")</f>
        <v/>
      </c>
      <c r="B13" s="34">
        <f>IFERROR(__xludf.DUMMYFUNCTION("""COMPUTED_VALUE"""),"Turma D")</f>
        <v/>
      </c>
      <c r="C13" s="34">
        <f>IFERROR(__xludf.DUMMYFUNCTION("""COMPUTED_VALUE"""),"Vespertino")</f>
        <v/>
      </c>
      <c r="D13" s="34" t="inlineStr">
        <is>
          <t>Veio</t>
        </is>
      </c>
      <c r="F13" s="67" t="inlineStr">
        <is>
          <t>Juvenil</t>
        </is>
      </c>
      <c r="G13" s="114" t="inlineStr">
        <is>
          <t>C m</t>
        </is>
      </c>
      <c r="H13" s="114" t="inlineStr">
        <is>
          <t>D v</t>
        </is>
      </c>
      <c r="I13" s="65" t="inlineStr">
        <is>
          <t>Empate</t>
        </is>
      </c>
    </row>
    <row r="14">
      <c r="A14" s="34">
        <f>IFERROR(__xludf.DUMMYFUNCTION("""COMPUTED_VALUE"""),"ANNY HELOISE OLIVEIRA DA SILVA")</f>
        <v/>
      </c>
      <c r="B14" s="34">
        <f>IFERROR(__xludf.DUMMYFUNCTION("""COMPUTED_VALUE"""),"Turma B2")</f>
        <v/>
      </c>
      <c r="C14" s="34">
        <f>IFERROR(__xludf.DUMMYFUNCTION("""COMPUTED_VALUE"""),"Vespertino")</f>
        <v/>
      </c>
      <c r="D14" s="34" t="inlineStr">
        <is>
          <t>Veio</t>
        </is>
      </c>
      <c r="F14" s="134" t="n"/>
      <c r="G14" s="114" t="inlineStr">
        <is>
          <t>C v</t>
        </is>
      </c>
      <c r="H14" s="114" t="inlineStr">
        <is>
          <t>D m</t>
        </is>
      </c>
      <c r="I14" s="65" t="inlineStr">
        <is>
          <t>C v</t>
        </is>
      </c>
    </row>
    <row r="15">
      <c r="A15" s="34">
        <f>IFERROR(__xludf.DUMMYFUNCTION("""COMPUTED_VALUE"""),"AQUIRIZ ARAUJO DE FREITAS")</f>
        <v/>
      </c>
      <c r="B15" s="34">
        <f>IFERROR(__xludf.DUMMYFUNCTION("""COMPUTED_VALUE"""),"Turma C")</f>
        <v/>
      </c>
      <c r="C15" s="34">
        <f>IFERROR(__xludf.DUMMYFUNCTION("""COMPUTED_VALUE"""),"Vespertino")</f>
        <v/>
      </c>
      <c r="D15" s="34" t="inlineStr">
        <is>
          <t>Veio</t>
        </is>
      </c>
      <c r="F15" s="134" t="n"/>
      <c r="G15" s="114" t="inlineStr">
        <is>
          <t>B2 v</t>
        </is>
      </c>
      <c r="H15" s="114" t="inlineStr">
        <is>
          <t>D v</t>
        </is>
      </c>
      <c r="I15" s="65" t="inlineStr">
        <is>
          <t>B2 v</t>
        </is>
      </c>
    </row>
    <row r="16">
      <c r="A16" s="34">
        <f>IFERROR(__xludf.DUMMYFUNCTION("""COMPUTED_VALUE"""),"ARTHUR FERREIRA NAPOLEÃO")</f>
        <v/>
      </c>
      <c r="B16" s="34">
        <f>IFERROR(__xludf.DUMMYFUNCTION("""COMPUTED_VALUE"""),"Turma D")</f>
        <v/>
      </c>
      <c r="C16" s="34">
        <f>IFERROR(__xludf.DUMMYFUNCTION("""COMPUTED_VALUE"""),"Matutino")</f>
        <v/>
      </c>
      <c r="D16" s="34" t="inlineStr">
        <is>
          <t>Veio</t>
        </is>
      </c>
      <c r="F16" s="134" t="n"/>
      <c r="G16" s="114" t="inlineStr">
        <is>
          <t>C m</t>
        </is>
      </c>
      <c r="H16" s="114" t="inlineStr">
        <is>
          <t>C v</t>
        </is>
      </c>
      <c r="I16" s="65" t="inlineStr">
        <is>
          <t>Empate</t>
        </is>
      </c>
    </row>
    <row r="17">
      <c r="A17" s="34">
        <f>IFERROR(__xludf.DUMMYFUNCTION("""COMPUTED_VALUE"""),"ARTHUR LOPES RODRIGUES NEVES")</f>
        <v/>
      </c>
      <c r="B17" s="34">
        <f>IFERROR(__xludf.DUMMYFUNCTION("""COMPUTED_VALUE"""),"Turma B2")</f>
        <v/>
      </c>
      <c r="C17" s="34">
        <f>IFERROR(__xludf.DUMMYFUNCTION("""COMPUTED_VALUE"""),"Vespertino")</f>
        <v/>
      </c>
      <c r="D17" s="34" t="inlineStr">
        <is>
          <t>Não Veio</t>
        </is>
      </c>
      <c r="F17" s="134" t="n"/>
      <c r="G17" s="114" t="inlineStr">
        <is>
          <t>B2 v</t>
        </is>
      </c>
      <c r="H17" s="114" t="inlineStr">
        <is>
          <t>D m</t>
        </is>
      </c>
      <c r="I17" s="65" t="inlineStr">
        <is>
          <t>Empate</t>
        </is>
      </c>
    </row>
    <row r="18">
      <c r="A18" s="34">
        <f>IFERROR(__xludf.DUMMYFUNCTION("""COMPUTED_VALUE"""),"ARTHUR SANTANA BARBOSA")</f>
        <v/>
      </c>
      <c r="B18" s="34">
        <f>IFERROR(__xludf.DUMMYFUNCTION("""COMPUTED_VALUE"""),"Turma A")</f>
        <v/>
      </c>
      <c r="C18" s="34">
        <f>IFERROR(__xludf.DUMMYFUNCTION("""COMPUTED_VALUE"""),"Vespertino")</f>
        <v/>
      </c>
      <c r="D18" s="34" t="inlineStr">
        <is>
          <t>Veio</t>
        </is>
      </c>
      <c r="F18" s="134" t="n"/>
      <c r="G18" s="24" t="inlineStr">
        <is>
          <t>D v</t>
        </is>
      </c>
      <c r="H18" s="24" t="inlineStr">
        <is>
          <t>C v</t>
        </is>
      </c>
      <c r="I18" s="65" t="inlineStr">
        <is>
          <t>Empate</t>
        </is>
      </c>
    </row>
    <row r="19">
      <c r="A19" s="34">
        <f>IFERROR(__xludf.DUMMYFUNCTION("""COMPUTED_VALUE"""),"ASAPH GABRIEL SALES ANICETO")</f>
        <v/>
      </c>
      <c r="B19" s="34">
        <f>IFERROR(__xludf.DUMMYFUNCTION("""COMPUTED_VALUE"""),"Turma B2")</f>
        <v/>
      </c>
      <c r="C19" s="34">
        <f>IFERROR(__xludf.DUMMYFUNCTION("""COMPUTED_VALUE"""),"Matutino")</f>
        <v/>
      </c>
      <c r="D19" s="34" t="inlineStr">
        <is>
          <t>Veio</t>
        </is>
      </c>
      <c r="F19" s="134" t="n"/>
      <c r="G19" s="24" t="inlineStr">
        <is>
          <t>B2 v</t>
        </is>
      </c>
      <c r="H19" s="24" t="inlineStr">
        <is>
          <t>C v</t>
        </is>
      </c>
      <c r="I19" s="65" t="inlineStr">
        <is>
          <t>Empate</t>
        </is>
      </c>
    </row>
    <row r="20">
      <c r="A20" s="34">
        <f>IFERROR(__xludf.DUMMYFUNCTION("""COMPUTED_VALUE"""),"BEATRIZ COSTA ARAGÃO")</f>
        <v/>
      </c>
      <c r="B20" s="34">
        <f>IFERROR(__xludf.DUMMYFUNCTION("""COMPUTED_VALUE"""),"Turma GR")</f>
        <v/>
      </c>
      <c r="C20" s="34">
        <f>IFERROR(__xludf.DUMMYFUNCTION("""COMPUTED_VALUE"""),"Vespertino")</f>
        <v/>
      </c>
      <c r="D20" s="34" t="inlineStr">
        <is>
          <t>Veio</t>
        </is>
      </c>
      <c r="F20" s="134" t="n"/>
      <c r="G20" s="24" t="inlineStr">
        <is>
          <t>D m</t>
        </is>
      </c>
      <c r="H20" s="24" t="inlineStr">
        <is>
          <t>C m</t>
        </is>
      </c>
      <c r="I20" s="65" t="inlineStr">
        <is>
          <t>Empate</t>
        </is>
      </c>
    </row>
    <row r="21">
      <c r="A21" s="34">
        <f>IFERROR(__xludf.DUMMYFUNCTION("""COMPUTED_VALUE"""),"CAIO RUAN GERÔNIMO OLIVEIRA")</f>
        <v/>
      </c>
      <c r="B21" s="34">
        <f>IFERROR(__xludf.DUMMYFUNCTION("""COMPUTED_VALUE"""),"Turma E")</f>
        <v/>
      </c>
      <c r="C21" s="34">
        <f>IFERROR(__xludf.DUMMYFUNCTION("""COMPUTED_VALUE"""),"Matutino")</f>
        <v/>
      </c>
      <c r="D21" s="34" t="inlineStr">
        <is>
          <t>Veio</t>
        </is>
      </c>
      <c r="F21" s="134" t="n"/>
      <c r="G21" s="24" t="inlineStr">
        <is>
          <t>B2 v</t>
        </is>
      </c>
      <c r="H21" s="24" t="inlineStr">
        <is>
          <t>C m</t>
        </is>
      </c>
      <c r="I21" s="65" t="inlineStr">
        <is>
          <t>C m</t>
        </is>
      </c>
    </row>
    <row r="22">
      <c r="A22" s="34">
        <f>IFERROR(__xludf.DUMMYFUNCTION("""COMPUTED_VALUE"""),"CAIO SOUZA PRÓCÓPIO DA SILVA")</f>
        <v/>
      </c>
      <c r="B22" s="34">
        <f>IFERROR(__xludf.DUMMYFUNCTION("""COMPUTED_VALUE"""),"Turma E")</f>
        <v/>
      </c>
      <c r="C22" s="34">
        <f>IFERROR(__xludf.DUMMYFUNCTION("""COMPUTED_VALUE"""),"Matutino")</f>
        <v/>
      </c>
      <c r="D22" s="34" t="inlineStr">
        <is>
          <t>Veio</t>
        </is>
      </c>
      <c r="F22" s="134" t="n"/>
      <c r="G22" s="24" t="inlineStr">
        <is>
          <t>D m</t>
        </is>
      </c>
      <c r="H22" s="24" t="inlineStr">
        <is>
          <t>D v</t>
        </is>
      </c>
      <c r="I22" s="65" t="inlineStr">
        <is>
          <t>D v</t>
        </is>
      </c>
    </row>
    <row r="23">
      <c r="A23" s="34">
        <f>IFERROR(__xludf.DUMMYFUNCTION("""COMPUTED_VALUE"""),"CAMILA BARROSO FERREIRA")</f>
        <v/>
      </c>
      <c r="B23" s="34">
        <f>IFERROR(__xludf.DUMMYFUNCTION("""COMPUTED_VALUE"""),"Turma B2")</f>
        <v/>
      </c>
      <c r="C23" s="34">
        <f>IFERROR(__xludf.DUMMYFUNCTION("""COMPUTED_VALUE"""),"Vespertino")</f>
        <v/>
      </c>
      <c r="D23" s="34" t="inlineStr">
        <is>
          <t>Veio</t>
        </is>
      </c>
      <c r="F23" s="137" t="inlineStr">
        <is>
          <t>Júnior</t>
        </is>
      </c>
      <c r="G23" s="114" t="inlineStr">
        <is>
          <t>E m</t>
        </is>
      </c>
      <c r="H23" s="114" t="inlineStr">
        <is>
          <t>E v</t>
        </is>
      </c>
      <c r="I23" s="65" t="inlineStr">
        <is>
          <t>Empate</t>
        </is>
      </c>
    </row>
    <row r="24">
      <c r="A24" s="34">
        <f>IFERROR(__xludf.DUMMYFUNCTION("""COMPUTED_VALUE"""),"CARLOS DANIEL BARROSO FERREIRA")</f>
        <v/>
      </c>
      <c r="B24" s="34">
        <f>IFERROR(__xludf.DUMMYFUNCTION("""COMPUTED_VALUE"""),"Turma C")</f>
        <v/>
      </c>
      <c r="C24" s="34">
        <f>IFERROR(__xludf.DUMMYFUNCTION("""COMPUTED_VALUE"""),"Vespertino")</f>
        <v/>
      </c>
      <c r="D24" s="34" t="inlineStr">
        <is>
          <t>Veio</t>
        </is>
      </c>
      <c r="F24" s="134" t="n"/>
      <c r="G24" s="114" t="inlineStr">
        <is>
          <t>GR</t>
        </is>
      </c>
      <c r="H24" s="114" t="inlineStr">
        <is>
          <t>E m</t>
        </is>
      </c>
      <c r="I24" s="65" t="inlineStr">
        <is>
          <t>Empate</t>
        </is>
      </c>
      <c r="J24" s="24" t="n"/>
    </row>
    <row r="25">
      <c r="A25" s="34">
        <f>IFERROR(__xludf.DUMMYFUNCTION("""COMPUTED_VALUE"""),"CARLOS EDUARDO GENUINO DE ALENCAR")</f>
        <v/>
      </c>
      <c r="B25" s="34">
        <f>IFERROR(__xludf.DUMMYFUNCTION("""COMPUTED_VALUE"""),"Turma C")</f>
        <v/>
      </c>
      <c r="C25" s="34">
        <f>IFERROR(__xludf.DUMMYFUNCTION("""COMPUTED_VALUE"""),"Vespertino")</f>
        <v/>
      </c>
      <c r="D25" s="34" t="inlineStr">
        <is>
          <t>Veio</t>
        </is>
      </c>
      <c r="F25" s="135" t="n"/>
      <c r="G25" s="114" t="inlineStr">
        <is>
          <t>E v</t>
        </is>
      </c>
      <c r="H25" s="114" t="inlineStr">
        <is>
          <t>GR</t>
        </is>
      </c>
      <c r="I25" s="65" t="inlineStr">
        <is>
          <t>Empate</t>
        </is>
      </c>
      <c r="J25" s="24" t="n"/>
    </row>
    <row r="26">
      <c r="A26" s="34">
        <f>IFERROR(__xludf.DUMMYFUNCTION("""COMPUTED_VALUE"""),"CARLOS EDUARDO VILLA NOVA DOS SANTOS")</f>
        <v/>
      </c>
      <c r="B26" s="34">
        <f>IFERROR(__xludf.DUMMYFUNCTION("""COMPUTED_VALUE"""),"Turma D")</f>
        <v/>
      </c>
      <c r="C26" s="34">
        <f>IFERROR(__xludf.DUMMYFUNCTION("""COMPUTED_VALUE"""),"Matutino")</f>
        <v/>
      </c>
      <c r="D26" s="34" t="inlineStr">
        <is>
          <t>Veio</t>
        </is>
      </c>
      <c r="F26" s="59" t="n"/>
      <c r="G26" s="24" t="n"/>
      <c r="H26" s="24" t="n"/>
      <c r="I26" s="24" t="n"/>
    </row>
    <row r="27">
      <c r="A27" s="34">
        <f>IFERROR(__xludf.DUMMYFUNCTION("""COMPUTED_VALUE"""),"CAUÃ SOUZA PROCÓPIO DA SILVA")</f>
        <v/>
      </c>
      <c r="B27" s="34">
        <f>IFERROR(__xludf.DUMMYFUNCTION("""COMPUTED_VALUE"""),"Turma A")</f>
        <v/>
      </c>
      <c r="C27" s="34">
        <f>IFERROR(__xludf.DUMMYFUNCTION("""COMPUTED_VALUE"""),"Vespertino")</f>
        <v/>
      </c>
      <c r="D27" s="34" t="inlineStr">
        <is>
          <t>Veio</t>
        </is>
      </c>
      <c r="F27" s="59" t="n"/>
      <c r="G27" s="24" t="n"/>
      <c r="H27" s="24" t="n"/>
      <c r="I27" s="24" t="n"/>
    </row>
    <row r="28">
      <c r="A28" s="34">
        <f>IFERROR(__xludf.DUMMYFUNCTION("""COMPUTED_VALUE"""),"CAUÃ VITORINO HOTTS DA SILVA")</f>
        <v/>
      </c>
      <c r="B28" s="34">
        <f>IFERROR(__xludf.DUMMYFUNCTION("""COMPUTED_VALUE"""),"Turma E")</f>
        <v/>
      </c>
      <c r="C28" s="34">
        <f>IFERROR(__xludf.DUMMYFUNCTION("""COMPUTED_VALUE"""),"Vespertino")</f>
        <v/>
      </c>
      <c r="D28" s="34" t="inlineStr">
        <is>
          <t>Veio</t>
        </is>
      </c>
      <c r="F28" s="59" t="n"/>
      <c r="G28" s="24" t="n"/>
      <c r="H28" s="24" t="n"/>
      <c r="I28" s="24" t="n"/>
    </row>
    <row r="29">
      <c r="A29" s="34">
        <f>IFERROR(__xludf.DUMMYFUNCTION("""COMPUTED_VALUE"""),"CLAUDIA GABRIELY CAMARGO MOREIRA")</f>
        <v/>
      </c>
      <c r="B29" s="34">
        <f>IFERROR(__xludf.DUMMYFUNCTION("""COMPUTED_VALUE"""),"Turma D")</f>
        <v/>
      </c>
      <c r="C29" s="34">
        <f>IFERROR(__xludf.DUMMYFUNCTION("""COMPUTED_VALUE"""),"Matutino")</f>
        <v/>
      </c>
      <c r="D29" s="34" t="inlineStr">
        <is>
          <t>Veio</t>
        </is>
      </c>
      <c r="F29" s="59" t="n"/>
      <c r="G29" s="24" t="n"/>
      <c r="H29" s="24" t="n"/>
      <c r="I29" s="24" t="n"/>
    </row>
    <row r="30">
      <c r="A30" s="34">
        <f>IFERROR(__xludf.DUMMYFUNCTION("""COMPUTED_VALUE"""),"Daffiny De Jesus Silva")</f>
        <v/>
      </c>
      <c r="B30" s="34">
        <f>IFERROR(__xludf.DUMMYFUNCTION("""COMPUTED_VALUE"""),"Turma A")</f>
        <v/>
      </c>
      <c r="C30" s="34">
        <f>IFERROR(__xludf.DUMMYFUNCTION("""COMPUTED_VALUE"""),"Matutino")</f>
        <v/>
      </c>
      <c r="D30" s="34" t="inlineStr">
        <is>
          <t>Veio</t>
        </is>
      </c>
      <c r="F30" s="59" t="n"/>
      <c r="G30" s="24" t="n"/>
      <c r="H30" s="24" t="n"/>
      <c r="I30" s="24" t="n"/>
    </row>
    <row r="31">
      <c r="A31" s="34">
        <f>IFERROR(__xludf.DUMMYFUNCTION("""COMPUTED_VALUE"""),"DANIEL VIEIRA MARTINS")</f>
        <v/>
      </c>
      <c r="B31" s="34">
        <f>IFERROR(__xludf.DUMMYFUNCTION("""COMPUTED_VALUE"""),"Turma B1")</f>
        <v/>
      </c>
      <c r="C31" s="34">
        <f>IFERROR(__xludf.DUMMYFUNCTION("""COMPUTED_VALUE"""),"Matutino")</f>
        <v/>
      </c>
      <c r="D31" s="34" t="inlineStr">
        <is>
          <t>Veio</t>
        </is>
      </c>
      <c r="F31" s="59" t="n"/>
      <c r="G31" s="24" t="n"/>
      <c r="H31" s="24" t="n"/>
      <c r="I31" s="24" t="n"/>
    </row>
    <row r="32">
      <c r="A32" s="34">
        <f>IFERROR(__xludf.DUMMYFUNCTION("""COMPUTED_VALUE"""),"DAVI LORENZO BARBOSA MOREIRA")</f>
        <v/>
      </c>
      <c r="B32" s="34">
        <f>IFERROR(__xludf.DUMMYFUNCTION("""COMPUTED_VALUE"""),"Turma C")</f>
        <v/>
      </c>
      <c r="C32" s="34">
        <f>IFERROR(__xludf.DUMMYFUNCTION("""COMPUTED_VALUE"""),"Vespertino")</f>
        <v/>
      </c>
      <c r="D32" s="34" t="inlineStr">
        <is>
          <t>Veio</t>
        </is>
      </c>
      <c r="F32" s="59" t="n"/>
      <c r="G32" s="24" t="n"/>
      <c r="H32" s="24" t="n"/>
      <c r="I32" s="24" t="n"/>
    </row>
    <row r="33">
      <c r="A33" s="34">
        <f>IFERROR(__xludf.DUMMYFUNCTION("""COMPUTED_VALUE"""),"DAVI LUCAS ALVES DE SOUZA")</f>
        <v/>
      </c>
      <c r="B33" s="34">
        <f>IFERROR(__xludf.DUMMYFUNCTION("""COMPUTED_VALUE"""),"Turma B1")</f>
        <v/>
      </c>
      <c r="C33" s="34">
        <f>IFERROR(__xludf.DUMMYFUNCTION("""COMPUTED_VALUE"""),"Matutino")</f>
        <v/>
      </c>
      <c r="D33" s="34" t="inlineStr">
        <is>
          <t>Não Veio</t>
        </is>
      </c>
      <c r="G33" s="24" t="n"/>
      <c r="H33" s="24" t="n"/>
      <c r="I33" s="24" t="n"/>
    </row>
    <row r="34">
      <c r="A34" s="34">
        <f>IFERROR(__xludf.DUMMYFUNCTION("""COMPUTED_VALUE"""),"DAVI LUCAS DE LIMA TRINDADE")</f>
        <v/>
      </c>
      <c r="B34" s="34">
        <f>IFERROR(__xludf.DUMMYFUNCTION("""COMPUTED_VALUE"""),"Turma C")</f>
        <v/>
      </c>
      <c r="C34" s="34">
        <f>IFERROR(__xludf.DUMMYFUNCTION("""COMPUTED_VALUE"""),"Vespertino")</f>
        <v/>
      </c>
      <c r="D34" s="34" t="inlineStr">
        <is>
          <t>Veio</t>
        </is>
      </c>
      <c r="G34" s="24" t="n"/>
      <c r="H34" s="24" t="n"/>
      <c r="I34" s="24" t="n"/>
    </row>
    <row r="35">
      <c r="A35" s="34">
        <f>IFERROR(__xludf.DUMMYFUNCTION("""COMPUTED_VALUE"""),"David William Pimenta Menezes")</f>
        <v/>
      </c>
      <c r="B35" s="34">
        <f>IFERROR(__xludf.DUMMYFUNCTION("""COMPUTED_VALUE"""),"Turma D")</f>
        <v/>
      </c>
      <c r="C35" s="34">
        <f>IFERROR(__xludf.DUMMYFUNCTION("""COMPUTED_VALUE"""),"Vespertino")</f>
        <v/>
      </c>
      <c r="D35" s="34" t="inlineStr">
        <is>
          <t>Veio</t>
        </is>
      </c>
      <c r="G35" s="24" t="n"/>
      <c r="H35" s="24" t="n"/>
      <c r="I35" s="24" t="n"/>
    </row>
    <row r="36">
      <c r="A36" s="34">
        <f>IFERROR(__xludf.DUMMYFUNCTION("""COMPUTED_VALUE"""),"DAVY CAMPOS BARROS")</f>
        <v/>
      </c>
      <c r="B36" s="34">
        <f>IFERROR(__xludf.DUMMYFUNCTION("""COMPUTED_VALUE"""),"Turma A")</f>
        <v/>
      </c>
      <c r="C36" s="34">
        <f>IFERROR(__xludf.DUMMYFUNCTION("""COMPUTED_VALUE"""),"Vespertino")</f>
        <v/>
      </c>
      <c r="D36" s="34" t="inlineStr">
        <is>
          <t>Veio</t>
        </is>
      </c>
      <c r="G36" s="24" t="n"/>
      <c r="H36" s="24" t="n"/>
      <c r="I36" s="24" t="n"/>
    </row>
    <row r="37">
      <c r="A37" s="34">
        <f>IFERROR(__xludf.DUMMYFUNCTION("""COMPUTED_VALUE"""),"DAVY THAYLOM OLIVEIRA DOS SANTOS")</f>
        <v/>
      </c>
      <c r="B37" s="34">
        <f>IFERROR(__xludf.DUMMYFUNCTION("""COMPUTED_VALUE"""),"Turma A")</f>
        <v/>
      </c>
      <c r="C37" s="34">
        <f>IFERROR(__xludf.DUMMYFUNCTION("""COMPUTED_VALUE"""),"Vespertino")</f>
        <v/>
      </c>
      <c r="D37" s="34" t="inlineStr">
        <is>
          <t>Veio</t>
        </is>
      </c>
      <c r="G37" s="24" t="n"/>
      <c r="H37" s="24" t="n"/>
      <c r="I37" s="24" t="n"/>
    </row>
    <row r="38">
      <c r="A38" s="34">
        <f>IFERROR(__xludf.DUMMYFUNCTION("""COMPUTED_VALUE"""),"DERIK PEREIRA VIANA")</f>
        <v/>
      </c>
      <c r="B38" s="34">
        <f>IFERROR(__xludf.DUMMYFUNCTION("""COMPUTED_VALUE"""),"Turma B2")</f>
        <v/>
      </c>
      <c r="C38" s="34">
        <f>IFERROR(__xludf.DUMMYFUNCTION("""COMPUTED_VALUE"""),"Vespertino")</f>
        <v/>
      </c>
      <c r="D38" s="34" t="inlineStr">
        <is>
          <t>Veio</t>
        </is>
      </c>
      <c r="G38" s="24" t="n"/>
      <c r="H38" s="24" t="n"/>
      <c r="I38" s="24" t="n"/>
    </row>
    <row r="39">
      <c r="A39" s="34">
        <f>IFERROR(__xludf.DUMMYFUNCTION("""COMPUTED_VALUE"""),"DIEGO MARQUES SOUZA DA SILVA")</f>
        <v/>
      </c>
      <c r="B39" s="34">
        <f>IFERROR(__xludf.DUMMYFUNCTION("""COMPUTED_VALUE"""),"Turma E")</f>
        <v/>
      </c>
      <c r="C39" s="34">
        <f>IFERROR(__xludf.DUMMYFUNCTION("""COMPUTED_VALUE"""),"Matutino")</f>
        <v/>
      </c>
      <c r="D39" s="34" t="inlineStr">
        <is>
          <t>Veio</t>
        </is>
      </c>
      <c r="G39" s="24" t="n"/>
      <c r="H39" s="24" t="n"/>
      <c r="I39" s="24" t="n"/>
    </row>
    <row r="40">
      <c r="A40" s="34">
        <f>IFERROR(__xludf.DUMMYFUNCTION("""COMPUTED_VALUE"""),"DIEGO RENAN OLIVEIRA DA SILVA")</f>
        <v/>
      </c>
      <c r="B40" s="34">
        <f>IFERROR(__xludf.DUMMYFUNCTION("""COMPUTED_VALUE"""),"Turma E")</f>
        <v/>
      </c>
      <c r="C40" s="34">
        <f>IFERROR(__xludf.DUMMYFUNCTION("""COMPUTED_VALUE"""),"Vespertino")</f>
        <v/>
      </c>
      <c r="D40" s="34" t="inlineStr">
        <is>
          <t>Veio</t>
        </is>
      </c>
      <c r="G40" s="24" t="n"/>
      <c r="H40" s="24" t="n"/>
      <c r="I40" s="24" t="n"/>
    </row>
    <row r="41">
      <c r="A41" s="34">
        <f>IFERROR(__xludf.DUMMYFUNCTION("""COMPUTED_VALUE"""),"ELIZEU MURILO JATOBÁ TRINDADE")</f>
        <v/>
      </c>
      <c r="B41" s="34">
        <f>IFERROR(__xludf.DUMMYFUNCTION("""COMPUTED_VALUE"""),"Turma B2")</f>
        <v/>
      </c>
      <c r="C41" s="34">
        <f>IFERROR(__xludf.DUMMYFUNCTION("""COMPUTED_VALUE"""),"Vespertino")</f>
        <v/>
      </c>
      <c r="D41" s="34" t="inlineStr">
        <is>
          <t>Veio</t>
        </is>
      </c>
      <c r="G41" s="24" t="n"/>
      <c r="H41" s="24" t="n"/>
      <c r="I41" s="24" t="n"/>
    </row>
    <row r="42">
      <c r="A42" s="34">
        <f>IFERROR(__xludf.DUMMYFUNCTION("""COMPUTED_VALUE"""),"EMANIELLY VITÓRIA PORTUGAL DE ALMEIDA")</f>
        <v/>
      </c>
      <c r="B42" s="34">
        <f>IFERROR(__xludf.DUMMYFUNCTION("""COMPUTED_VALUE"""),"Turma C")</f>
        <v/>
      </c>
      <c r="C42" s="34">
        <f>IFERROR(__xludf.DUMMYFUNCTION("""COMPUTED_VALUE"""),"Vespertino")</f>
        <v/>
      </c>
      <c r="D42" s="34" t="inlineStr">
        <is>
          <t>Veio</t>
        </is>
      </c>
      <c r="G42" s="24" t="n"/>
      <c r="H42" s="24" t="n"/>
      <c r="I42" s="24" t="n"/>
    </row>
    <row r="43">
      <c r="A43" s="34">
        <f>IFERROR(__xludf.DUMMYFUNCTION("""COMPUTED_VALUE"""),"EMANUEL BATISTA DA SILVA")</f>
        <v/>
      </c>
      <c r="B43" s="34">
        <f>IFERROR(__xludf.DUMMYFUNCTION("""COMPUTED_VALUE"""),"Turma E")</f>
        <v/>
      </c>
      <c r="C43" s="34">
        <f>IFERROR(__xludf.DUMMYFUNCTION("""COMPUTED_VALUE"""),"Vespertino")</f>
        <v/>
      </c>
      <c r="D43" s="34" t="inlineStr">
        <is>
          <t>Veio</t>
        </is>
      </c>
      <c r="G43" s="24" t="n"/>
      <c r="H43" s="24" t="n"/>
      <c r="I43" s="24" t="n"/>
    </row>
    <row r="44">
      <c r="A44" s="34">
        <f>IFERROR(__xludf.DUMMYFUNCTION("""COMPUTED_VALUE"""),"EMANUELLY DA SILVA SANTOS")</f>
        <v/>
      </c>
      <c r="B44" s="34">
        <f>IFERROR(__xludf.DUMMYFUNCTION("""COMPUTED_VALUE"""),"Turma B1")</f>
        <v/>
      </c>
      <c r="C44" s="34">
        <f>IFERROR(__xludf.DUMMYFUNCTION("""COMPUTED_VALUE"""),"Matutino")</f>
        <v/>
      </c>
      <c r="D44" s="34" t="inlineStr">
        <is>
          <t>Veio</t>
        </is>
      </c>
      <c r="G44" s="24" t="n"/>
      <c r="H44" s="24" t="n"/>
      <c r="I44" s="24" t="n"/>
    </row>
    <row r="45">
      <c r="A45" s="34">
        <f>IFERROR(__xludf.DUMMYFUNCTION("""COMPUTED_VALUE"""),"EMILLY VICTÓRIA DO NASCIMENTO BEZERRA")</f>
        <v/>
      </c>
      <c r="B45" s="34">
        <f>IFERROR(__xludf.DUMMYFUNCTION("""COMPUTED_VALUE"""),"Turma B2")</f>
        <v/>
      </c>
      <c r="C45" s="34">
        <f>IFERROR(__xludf.DUMMYFUNCTION("""COMPUTED_VALUE"""),"Vespertino")</f>
        <v/>
      </c>
      <c r="D45" s="34" t="inlineStr">
        <is>
          <t>Veio</t>
        </is>
      </c>
      <c r="G45" s="24" t="n"/>
      <c r="H45" s="24" t="n"/>
      <c r="I45" s="24" t="n"/>
    </row>
    <row r="46">
      <c r="A46" s="34">
        <f>IFERROR(__xludf.DUMMYFUNCTION("""COMPUTED_VALUE"""),"EMILY VITÓRIA DA SILVA SANTOS")</f>
        <v/>
      </c>
      <c r="B46" s="34">
        <f>IFERROR(__xludf.DUMMYFUNCTION("""COMPUTED_VALUE"""),"Turma GR")</f>
        <v/>
      </c>
      <c r="C46" s="34">
        <f>IFERROR(__xludf.DUMMYFUNCTION("""COMPUTED_VALUE"""),"Vespertino")</f>
        <v/>
      </c>
      <c r="D46" s="34" t="inlineStr">
        <is>
          <t>Veio</t>
        </is>
      </c>
      <c r="G46" s="24" t="n"/>
      <c r="H46" s="24" t="n"/>
      <c r="I46" s="24" t="n"/>
    </row>
    <row r="47">
      <c r="A47" s="34">
        <f>IFERROR(__xludf.DUMMYFUNCTION("""COMPUTED_VALUE"""),"ENZO GABRIEL ALVES RIBEIRO")</f>
        <v/>
      </c>
      <c r="B47" s="34">
        <f>IFERROR(__xludf.DUMMYFUNCTION("""COMPUTED_VALUE"""),"Turma B1")</f>
        <v/>
      </c>
      <c r="C47" s="34">
        <f>IFERROR(__xludf.DUMMYFUNCTION("""COMPUTED_VALUE"""),"Matutino")</f>
        <v/>
      </c>
      <c r="D47" s="34" t="inlineStr">
        <is>
          <t>Veio</t>
        </is>
      </c>
      <c r="G47" s="24" t="n"/>
      <c r="H47" s="24" t="n"/>
      <c r="I47" s="24" t="n"/>
    </row>
    <row r="48">
      <c r="A48" s="34">
        <f>IFERROR(__xludf.DUMMYFUNCTION("""COMPUTED_VALUE"""),"ENZO GABRIEL FERREIRA DOS SANTOS")</f>
        <v/>
      </c>
      <c r="B48" s="34">
        <f>IFERROR(__xludf.DUMMYFUNCTION("""COMPUTED_VALUE"""),"Turma B2")</f>
        <v/>
      </c>
      <c r="C48" s="34">
        <f>IFERROR(__xludf.DUMMYFUNCTION("""COMPUTED_VALUE"""),"Vespertino")</f>
        <v/>
      </c>
      <c r="D48" s="34" t="inlineStr">
        <is>
          <t>Veio</t>
        </is>
      </c>
      <c r="G48" s="24" t="n"/>
      <c r="H48" s="24" t="n"/>
      <c r="I48" s="24" t="n"/>
    </row>
    <row r="49">
      <c r="A49" s="34">
        <f>IFERROR(__xludf.DUMMYFUNCTION("""COMPUTED_VALUE"""),"ERIK KAUAN DE SOUSA SILVA")</f>
        <v/>
      </c>
      <c r="B49" s="34">
        <f>IFERROR(__xludf.DUMMYFUNCTION("""COMPUTED_VALUE"""),"Turma B1")</f>
        <v/>
      </c>
      <c r="C49" s="34">
        <f>IFERROR(__xludf.DUMMYFUNCTION("""COMPUTED_VALUE"""),"Matutino")</f>
        <v/>
      </c>
      <c r="D49" s="34" t="inlineStr">
        <is>
          <t>Veio</t>
        </is>
      </c>
      <c r="G49" s="24" t="n"/>
      <c r="H49" s="24" t="n"/>
      <c r="I49" s="24" t="n"/>
    </row>
    <row r="50">
      <c r="A50" s="34">
        <f>IFERROR(__xludf.DUMMYFUNCTION("""COMPUTED_VALUE"""),"EROS PINHEIRO")</f>
        <v/>
      </c>
      <c r="B50" s="34">
        <f>IFERROR(__xludf.DUMMYFUNCTION("""COMPUTED_VALUE"""),"Turma GR")</f>
        <v/>
      </c>
      <c r="C50" s="34">
        <f>IFERROR(__xludf.DUMMYFUNCTION("""COMPUTED_VALUE"""),"Vespertino")</f>
        <v/>
      </c>
      <c r="D50" s="34" t="inlineStr">
        <is>
          <t>Não Veio</t>
        </is>
      </c>
      <c r="G50" s="24" t="n"/>
      <c r="H50" s="24" t="n"/>
      <c r="I50" s="24" t="n"/>
    </row>
    <row r="51">
      <c r="A51" s="34">
        <f>IFERROR(__xludf.DUMMYFUNCTION("""COMPUTED_VALUE"""),"Estela Martins Lopes")</f>
        <v/>
      </c>
      <c r="B51" s="34">
        <f>IFERROR(__xludf.DUMMYFUNCTION("""COMPUTED_VALUE"""),"Turma A")</f>
        <v/>
      </c>
      <c r="C51" s="34">
        <f>IFERROR(__xludf.DUMMYFUNCTION("""COMPUTED_VALUE"""),"Matutino")</f>
        <v/>
      </c>
      <c r="D51" s="34" t="inlineStr">
        <is>
          <t>Veio</t>
        </is>
      </c>
      <c r="G51" s="24" t="n"/>
      <c r="H51" s="24" t="n"/>
      <c r="I51" s="24" t="n"/>
    </row>
    <row r="52">
      <c r="A52" s="34">
        <f>IFERROR(__xludf.DUMMYFUNCTION("""COMPUTED_VALUE"""),"ESTEPHANIE ISADORA SALES ROQUE")</f>
        <v/>
      </c>
      <c r="B52" s="34">
        <f>IFERROR(__xludf.DUMMYFUNCTION("""COMPUTED_VALUE"""),"Turma GR")</f>
        <v/>
      </c>
      <c r="C52" s="34">
        <f>IFERROR(__xludf.DUMMYFUNCTION("""COMPUTED_VALUE"""),"Vespertino")</f>
        <v/>
      </c>
      <c r="D52" s="34" t="inlineStr">
        <is>
          <t>Veio</t>
        </is>
      </c>
      <c r="G52" s="24" t="n"/>
      <c r="H52" s="24" t="n"/>
      <c r="I52" s="24" t="n"/>
    </row>
    <row r="53">
      <c r="A53" s="34">
        <f>IFERROR(__xludf.DUMMYFUNCTION("""COMPUTED_VALUE"""),"ESTHER PROCOPIO DA SILVA")</f>
        <v/>
      </c>
      <c r="B53" s="34">
        <f>IFERROR(__xludf.DUMMYFUNCTION("""COMPUTED_VALUE"""),"Turma GR")</f>
        <v/>
      </c>
      <c r="C53" s="34">
        <f>IFERROR(__xludf.DUMMYFUNCTION("""COMPUTED_VALUE"""),"Vespertino")</f>
        <v/>
      </c>
      <c r="D53" s="34" t="inlineStr">
        <is>
          <t>Veio</t>
        </is>
      </c>
      <c r="G53" s="24" t="n"/>
      <c r="H53" s="24" t="n"/>
      <c r="I53" s="24" t="n"/>
    </row>
    <row r="54">
      <c r="A54" s="34">
        <f>IFERROR(__xludf.DUMMYFUNCTION("""COMPUTED_VALUE"""),"Fabrícia Lopes Dos Santos")</f>
        <v/>
      </c>
      <c r="B54" s="34">
        <f>IFERROR(__xludf.DUMMYFUNCTION("""COMPUTED_VALUE"""),"Turma A")</f>
        <v/>
      </c>
      <c r="C54" s="34">
        <f>IFERROR(__xludf.DUMMYFUNCTION("""COMPUTED_VALUE"""),"Matutino")</f>
        <v/>
      </c>
      <c r="D54" s="34" t="inlineStr">
        <is>
          <t>Veio</t>
        </is>
      </c>
      <c r="G54" s="24" t="n"/>
      <c r="H54" s="24" t="n"/>
      <c r="I54" s="24" t="n"/>
    </row>
    <row r="55">
      <c r="A55" s="34">
        <f>IFERROR(__xludf.DUMMYFUNCTION("""COMPUTED_VALUE"""),"FELIPE LUAN DELGADO DOS SANTOS")</f>
        <v/>
      </c>
      <c r="B55" s="34">
        <f>IFERROR(__xludf.DUMMYFUNCTION("""COMPUTED_VALUE"""),"Turma C")</f>
        <v/>
      </c>
      <c r="C55" s="34">
        <f>IFERROR(__xludf.DUMMYFUNCTION("""COMPUTED_VALUE"""),"Vespertino")</f>
        <v/>
      </c>
      <c r="D55" s="34" t="inlineStr">
        <is>
          <t>Veio</t>
        </is>
      </c>
      <c r="G55" s="24" t="n"/>
      <c r="H55" s="24" t="n"/>
      <c r="I55" s="24" t="n"/>
    </row>
    <row r="56">
      <c r="A56" s="34">
        <f>IFERROR(__xludf.DUMMYFUNCTION("""COMPUTED_VALUE"""),"GABRIEL SOUZA BRAZ")</f>
        <v/>
      </c>
      <c r="B56" s="34">
        <f>IFERROR(__xludf.DUMMYFUNCTION("""COMPUTED_VALUE"""),"Turma B1")</f>
        <v/>
      </c>
      <c r="C56" s="34">
        <f>IFERROR(__xludf.DUMMYFUNCTION("""COMPUTED_VALUE"""),"Matutino")</f>
        <v/>
      </c>
      <c r="D56" s="34" t="inlineStr">
        <is>
          <t>Veio</t>
        </is>
      </c>
      <c r="G56" s="24" t="n"/>
      <c r="H56" s="24" t="n"/>
      <c r="I56" s="24" t="n"/>
    </row>
    <row r="57">
      <c r="A57" s="34">
        <f>IFERROR(__xludf.DUMMYFUNCTION("""COMPUTED_VALUE"""),"GLENDA TAWANY RODRIGUES ALVES")</f>
        <v/>
      </c>
      <c r="B57" s="34">
        <f>IFERROR(__xludf.DUMMYFUNCTION("""COMPUTED_VALUE"""),"Turma E")</f>
        <v/>
      </c>
      <c r="C57" s="34">
        <f>IFERROR(__xludf.DUMMYFUNCTION("""COMPUTED_VALUE"""),"Matutino")</f>
        <v/>
      </c>
      <c r="D57" s="34" t="inlineStr">
        <is>
          <t>Veio</t>
        </is>
      </c>
      <c r="G57" s="24" t="n"/>
      <c r="H57" s="24" t="n"/>
      <c r="I57" s="24" t="n"/>
    </row>
    <row r="58">
      <c r="A58" s="34">
        <f>IFERROR(__xludf.DUMMYFUNCTION("""COMPUTED_VALUE"""),"GUILHERME DE ANDRADE ZENZI")</f>
        <v/>
      </c>
      <c r="B58" s="34">
        <f>IFERROR(__xludf.DUMMYFUNCTION("""COMPUTED_VALUE"""),"Turma E")</f>
        <v/>
      </c>
      <c r="C58" s="34">
        <f>IFERROR(__xludf.DUMMYFUNCTION("""COMPUTED_VALUE"""),"Vespertino")</f>
        <v/>
      </c>
      <c r="D58" s="34" t="inlineStr">
        <is>
          <t>Veio</t>
        </is>
      </c>
      <c r="G58" s="24" t="n"/>
      <c r="H58" s="24" t="n"/>
      <c r="I58" s="24" t="n"/>
    </row>
    <row r="59">
      <c r="A59" s="34">
        <f>IFERROR(__xludf.DUMMYFUNCTION("""COMPUTED_VALUE"""),"GULHERME SOARES")</f>
        <v/>
      </c>
      <c r="B59" s="34">
        <f>IFERROR(__xludf.DUMMYFUNCTION("""COMPUTED_VALUE"""),"Turma B2")</f>
        <v/>
      </c>
      <c r="C59" s="34">
        <f>IFERROR(__xludf.DUMMYFUNCTION("""COMPUTED_VALUE"""),"Vespertino")</f>
        <v/>
      </c>
      <c r="D59" s="34" t="inlineStr">
        <is>
          <t>Não Veio</t>
        </is>
      </c>
      <c r="G59" s="24" t="n"/>
      <c r="H59" s="24" t="n"/>
      <c r="I59" s="24" t="n"/>
    </row>
    <row r="60">
      <c r="A60" s="34">
        <f>IFERROR(__xludf.DUMMYFUNCTION("""COMPUTED_VALUE"""),"GUSTAVO GALVÃO DE JESUS")</f>
        <v/>
      </c>
      <c r="B60" s="34">
        <f>IFERROR(__xludf.DUMMYFUNCTION("""COMPUTED_VALUE"""),"Turma D")</f>
        <v/>
      </c>
      <c r="C60" s="34">
        <f>IFERROR(__xludf.DUMMYFUNCTION("""COMPUTED_VALUE"""),"Matutino")</f>
        <v/>
      </c>
      <c r="D60" s="34" t="inlineStr">
        <is>
          <t>Veio</t>
        </is>
      </c>
      <c r="G60" s="24" t="n"/>
      <c r="H60" s="24" t="n"/>
      <c r="I60" s="24" t="n"/>
    </row>
    <row r="61">
      <c r="A61" s="34">
        <f>IFERROR(__xludf.DUMMYFUNCTION("""COMPUTED_VALUE"""),"Heitor Miguel Barbosa De Melo Ferreira")</f>
        <v/>
      </c>
      <c r="B61" s="34">
        <f>IFERROR(__xludf.DUMMYFUNCTION("""COMPUTED_VALUE"""),"Turma C")</f>
        <v/>
      </c>
      <c r="C61" s="34">
        <f>IFERROR(__xludf.DUMMYFUNCTION("""COMPUTED_VALUE"""),"Matutino")</f>
        <v/>
      </c>
      <c r="D61" s="34" t="inlineStr">
        <is>
          <t>Veio</t>
        </is>
      </c>
      <c r="G61" s="24" t="n"/>
      <c r="H61" s="24" t="n"/>
      <c r="I61" s="24" t="n"/>
    </row>
    <row r="62">
      <c r="A62" s="34">
        <f>IFERROR(__xludf.DUMMYFUNCTION("""COMPUTED_VALUE"""),"HELLOARA SANTOS DE LIMA")</f>
        <v/>
      </c>
      <c r="B62" s="34">
        <f>IFERROR(__xludf.DUMMYFUNCTION("""COMPUTED_VALUE"""),"Turma B2")</f>
        <v/>
      </c>
      <c r="C62" s="34">
        <f>IFERROR(__xludf.DUMMYFUNCTION("""COMPUTED_VALUE"""),"Matutino")</f>
        <v/>
      </c>
      <c r="D62" s="34" t="inlineStr">
        <is>
          <t>Veio</t>
        </is>
      </c>
      <c r="G62" s="24" t="n"/>
      <c r="H62" s="24" t="n"/>
      <c r="I62" s="24" t="n"/>
    </row>
    <row r="63">
      <c r="A63" s="34">
        <f>IFERROR(__xludf.DUMMYFUNCTION("""COMPUTED_VALUE"""),"HELOISE VITÓRIA ALVES DE SOUZA")</f>
        <v/>
      </c>
      <c r="B63" s="34">
        <f>IFERROR(__xludf.DUMMYFUNCTION("""COMPUTED_VALUE"""),"Turma E")</f>
        <v/>
      </c>
      <c r="C63" s="34">
        <f>IFERROR(__xludf.DUMMYFUNCTION("""COMPUTED_VALUE"""),"Matutino")</f>
        <v/>
      </c>
      <c r="D63" s="34" t="inlineStr">
        <is>
          <t>Veio</t>
        </is>
      </c>
      <c r="G63" s="24" t="n"/>
      <c r="H63" s="24" t="n"/>
      <c r="I63" s="24" t="n"/>
    </row>
    <row r="64">
      <c r="A64" s="34">
        <f>IFERROR(__xludf.DUMMYFUNCTION("""COMPUTED_VALUE"""),"HELOYSA FERNANDA ALVARENGA DOS SANTOS")</f>
        <v/>
      </c>
      <c r="B64" s="34">
        <f>IFERROR(__xludf.DUMMYFUNCTION("""COMPUTED_VALUE"""),"Turma B1")</f>
        <v/>
      </c>
      <c r="C64" s="34">
        <f>IFERROR(__xludf.DUMMYFUNCTION("""COMPUTED_VALUE"""),"Vespertino")</f>
        <v/>
      </c>
      <c r="D64" s="34" t="inlineStr">
        <is>
          <t>Veio</t>
        </is>
      </c>
      <c r="G64" s="24" t="n"/>
      <c r="H64" s="24" t="n"/>
      <c r="I64" s="24" t="n"/>
    </row>
    <row r="65">
      <c r="A65" s="34">
        <f>IFERROR(__xludf.DUMMYFUNCTION("""COMPUTED_VALUE"""),"Henrique Rocha Almeida")</f>
        <v/>
      </c>
      <c r="B65" s="34">
        <f>IFERROR(__xludf.DUMMYFUNCTION("""COMPUTED_VALUE"""),"Turma D")</f>
        <v/>
      </c>
      <c r="C65" s="34">
        <f>IFERROR(__xludf.DUMMYFUNCTION("""COMPUTED_VALUE"""),"Vespertino")</f>
        <v/>
      </c>
      <c r="D65" s="34" t="inlineStr">
        <is>
          <t>Veio</t>
        </is>
      </c>
      <c r="G65" s="24" t="n"/>
      <c r="H65" s="24" t="n"/>
      <c r="I65" s="24" t="n"/>
    </row>
    <row r="66">
      <c r="A66" s="34">
        <f>IFERROR(__xludf.DUMMYFUNCTION("""COMPUTED_VALUE"""),"Higor Santiago Castro Farfan")</f>
        <v/>
      </c>
      <c r="B66" s="34">
        <f>IFERROR(__xludf.DUMMYFUNCTION("""COMPUTED_VALUE"""),"Turma GR")</f>
        <v/>
      </c>
      <c r="C66" s="34">
        <f>IFERROR(__xludf.DUMMYFUNCTION("""COMPUTED_VALUE"""),"Vespertino")</f>
        <v/>
      </c>
      <c r="D66" s="34" t="inlineStr">
        <is>
          <t>Veio</t>
        </is>
      </c>
      <c r="G66" s="24" t="n"/>
      <c r="H66" s="24" t="n"/>
      <c r="I66" s="24" t="n"/>
    </row>
    <row r="67">
      <c r="A67" s="34">
        <f>IFERROR(__xludf.DUMMYFUNCTION("""COMPUTED_VALUE"""),"HIURY QUENUPE DE OLIVEIRA")</f>
        <v/>
      </c>
      <c r="B67" s="34">
        <f>IFERROR(__xludf.DUMMYFUNCTION("""COMPUTED_VALUE"""),"Turma E")</f>
        <v/>
      </c>
      <c r="C67" s="34">
        <f>IFERROR(__xludf.DUMMYFUNCTION("""COMPUTED_VALUE"""),"Matutino")</f>
        <v/>
      </c>
      <c r="D67" s="34" t="inlineStr">
        <is>
          <t>Veio</t>
        </is>
      </c>
      <c r="G67" s="24" t="n"/>
      <c r="H67" s="24" t="n"/>
      <c r="I67" s="24" t="n"/>
    </row>
    <row r="68">
      <c r="A68" s="34">
        <f>IFERROR(__xludf.DUMMYFUNCTION("""COMPUTED_VALUE"""),"IARA YASMIN FERREIRA IZEL")</f>
        <v/>
      </c>
      <c r="B68" s="34">
        <f>IFERROR(__xludf.DUMMYFUNCTION("""COMPUTED_VALUE"""),"Turma B1")</f>
        <v/>
      </c>
      <c r="C68" s="34">
        <f>IFERROR(__xludf.DUMMYFUNCTION("""COMPUTED_VALUE"""),"Vespertino")</f>
        <v/>
      </c>
      <c r="D68" s="34" t="inlineStr">
        <is>
          <t>Não Veio</t>
        </is>
      </c>
      <c r="G68" s="24" t="n"/>
      <c r="H68" s="24" t="n"/>
      <c r="I68" s="24" t="n"/>
    </row>
    <row r="69">
      <c r="A69" s="34">
        <f>IFERROR(__xludf.DUMMYFUNCTION("""COMPUTED_VALUE"""),"ISABELLA MARA RODRIGUES SILVA")</f>
        <v/>
      </c>
      <c r="B69" s="34">
        <f>IFERROR(__xludf.DUMMYFUNCTION("""COMPUTED_VALUE"""),"Turma C")</f>
        <v/>
      </c>
      <c r="C69" s="34">
        <f>IFERROR(__xludf.DUMMYFUNCTION("""COMPUTED_VALUE"""),"Vespertino")</f>
        <v/>
      </c>
      <c r="D69" s="34" t="inlineStr">
        <is>
          <t>Veio</t>
        </is>
      </c>
      <c r="G69" s="24" t="n"/>
      <c r="H69" s="24" t="n"/>
      <c r="I69" s="24" t="n"/>
    </row>
    <row r="70">
      <c r="A70" s="34">
        <f>IFERROR(__xludf.DUMMYFUNCTION("""COMPUTED_VALUE"""),"ISIS EDUARDA ALMEIDA MOITINHO")</f>
        <v/>
      </c>
      <c r="B70" s="34">
        <f>IFERROR(__xludf.DUMMYFUNCTION("""COMPUTED_VALUE"""),"Turma A")</f>
        <v/>
      </c>
      <c r="C70" s="34">
        <f>IFERROR(__xludf.DUMMYFUNCTION("""COMPUTED_VALUE"""),"Vespertino")</f>
        <v/>
      </c>
      <c r="D70" s="34" t="inlineStr">
        <is>
          <t>Veio</t>
        </is>
      </c>
      <c r="G70" s="24" t="n"/>
      <c r="H70" s="24" t="n"/>
      <c r="I70" s="24" t="n"/>
    </row>
    <row r="71">
      <c r="A71" s="34">
        <f>IFERROR(__xludf.DUMMYFUNCTION("""COMPUTED_VALUE"""),"Izaque Henrique Verdan Francisco")</f>
        <v/>
      </c>
      <c r="B71" s="34">
        <f>IFERROR(__xludf.DUMMYFUNCTION("""COMPUTED_VALUE"""),"Turma A")</f>
        <v/>
      </c>
      <c r="C71" s="34">
        <f>IFERROR(__xludf.DUMMYFUNCTION("""COMPUTED_VALUE"""),"Matutino")</f>
        <v/>
      </c>
      <c r="D71" s="34" t="inlineStr">
        <is>
          <t>Veio</t>
        </is>
      </c>
      <c r="G71" s="24" t="n"/>
      <c r="H71" s="24" t="n"/>
      <c r="I71" s="24" t="n"/>
    </row>
    <row r="72">
      <c r="A72" s="34">
        <f>IFERROR(__xludf.DUMMYFUNCTION("""COMPUTED_VALUE"""),"JANAÍNA ARRUDA BONIN")</f>
        <v/>
      </c>
      <c r="B72" s="34">
        <f>IFERROR(__xludf.DUMMYFUNCTION("""COMPUTED_VALUE"""),"Turma B2")</f>
        <v/>
      </c>
      <c r="C72" s="34">
        <f>IFERROR(__xludf.DUMMYFUNCTION("""COMPUTED_VALUE"""),"Matutino")</f>
        <v/>
      </c>
      <c r="D72" s="34" t="inlineStr">
        <is>
          <t>Veio</t>
        </is>
      </c>
      <c r="G72" s="24" t="n"/>
      <c r="H72" s="24" t="n"/>
      <c r="I72" s="24" t="n"/>
    </row>
    <row r="73">
      <c r="A73" s="34">
        <f>IFERROR(__xludf.DUMMYFUNCTION("""COMPUTED_VALUE"""),"JOÃO PAULO LOPES PINHEIRO")</f>
        <v/>
      </c>
      <c r="B73" s="34">
        <f>IFERROR(__xludf.DUMMYFUNCTION("""COMPUTED_VALUE"""),"Turma B1")</f>
        <v/>
      </c>
      <c r="C73" s="34">
        <f>IFERROR(__xludf.DUMMYFUNCTION("""COMPUTED_VALUE"""),"Matutino")</f>
        <v/>
      </c>
      <c r="D73" s="34" t="inlineStr">
        <is>
          <t>Veio</t>
        </is>
      </c>
      <c r="G73" s="24" t="n"/>
      <c r="H73" s="24" t="n"/>
      <c r="I73" s="24" t="n"/>
    </row>
    <row r="74">
      <c r="A74" s="34">
        <f>IFERROR(__xludf.DUMMYFUNCTION("""COMPUTED_VALUE"""),"JOÃO PEDRO JESUS SOUZA")</f>
        <v/>
      </c>
      <c r="B74" s="34">
        <f>IFERROR(__xludf.DUMMYFUNCTION("""COMPUTED_VALUE"""),"Turma E")</f>
        <v/>
      </c>
      <c r="C74" s="34">
        <f>IFERROR(__xludf.DUMMYFUNCTION("""COMPUTED_VALUE"""),"Vespertino")</f>
        <v/>
      </c>
      <c r="D74" s="34" t="inlineStr">
        <is>
          <t>Veio</t>
        </is>
      </c>
      <c r="G74" s="24" t="n"/>
      <c r="H74" s="24" t="n"/>
      <c r="I74" s="24" t="n"/>
    </row>
    <row r="75">
      <c r="A75" s="34">
        <f>IFERROR(__xludf.DUMMYFUNCTION("""COMPUTED_VALUE"""),"JOÃO VICTOR CAETANO COELHO")</f>
        <v/>
      </c>
      <c r="B75" s="34">
        <f>IFERROR(__xludf.DUMMYFUNCTION("""COMPUTED_VALUE"""),"Turma E")</f>
        <v/>
      </c>
      <c r="C75" s="34">
        <f>IFERROR(__xludf.DUMMYFUNCTION("""COMPUTED_VALUE"""),"Matutino")</f>
        <v/>
      </c>
      <c r="D75" s="34" t="inlineStr">
        <is>
          <t>Veio</t>
        </is>
      </c>
      <c r="G75" s="24" t="n"/>
      <c r="H75" s="24" t="n"/>
      <c r="I75" s="24" t="n"/>
    </row>
    <row r="76">
      <c r="A76" s="34">
        <f>IFERROR(__xludf.DUMMYFUNCTION("""COMPUTED_VALUE"""),"JOÃO VITOR GODOY ARAÚJO")</f>
        <v/>
      </c>
      <c r="B76" s="34">
        <f>IFERROR(__xludf.DUMMYFUNCTION("""COMPUTED_VALUE"""),"Turma A")</f>
        <v/>
      </c>
      <c r="C76" s="34">
        <f>IFERROR(__xludf.DUMMYFUNCTION("""COMPUTED_VALUE"""),"Vespertino")</f>
        <v/>
      </c>
      <c r="D76" s="34" t="inlineStr">
        <is>
          <t>Não Veio</t>
        </is>
      </c>
      <c r="G76" s="24" t="n"/>
      <c r="H76" s="24" t="n"/>
      <c r="I76" s="24" t="n"/>
    </row>
    <row r="77">
      <c r="A77" s="34">
        <f>IFERROR(__xludf.DUMMYFUNCTION("""COMPUTED_VALUE"""),"Joaquim Miguel Silva Melo")</f>
        <v/>
      </c>
      <c r="B77" s="34">
        <f>IFERROR(__xludf.DUMMYFUNCTION("""COMPUTED_VALUE"""),"Turma C")</f>
        <v/>
      </c>
      <c r="C77" s="34">
        <f>IFERROR(__xludf.DUMMYFUNCTION("""COMPUTED_VALUE"""),"Matutino")</f>
        <v/>
      </c>
      <c r="D77" s="34" t="inlineStr">
        <is>
          <t>Veio</t>
        </is>
      </c>
      <c r="G77" s="24" t="n"/>
      <c r="H77" s="24" t="n"/>
      <c r="I77" s="24" t="n"/>
    </row>
    <row r="78">
      <c r="A78" s="34">
        <f>IFERROR(__xludf.DUMMYFUNCTION("""COMPUTED_VALUE"""),"JOSÉ GABRIEL NEVES OLIVEIRA")</f>
        <v/>
      </c>
      <c r="B78" s="34">
        <f>IFERROR(__xludf.DUMMYFUNCTION("""COMPUTED_VALUE"""),"Turma B2")</f>
        <v/>
      </c>
      <c r="C78" s="34">
        <f>IFERROR(__xludf.DUMMYFUNCTION("""COMPUTED_VALUE"""),"Vespertino")</f>
        <v/>
      </c>
      <c r="D78" s="34" t="inlineStr">
        <is>
          <t>Veio</t>
        </is>
      </c>
      <c r="G78" s="24" t="n"/>
      <c r="H78" s="24" t="n"/>
      <c r="I78" s="24" t="n"/>
    </row>
    <row r="79">
      <c r="A79" s="34">
        <f>IFERROR(__xludf.DUMMYFUNCTION("""COMPUTED_VALUE"""),"Julia Emanuelly Lavratti Oliveira")</f>
        <v/>
      </c>
      <c r="B79" s="34">
        <f>IFERROR(__xludf.DUMMYFUNCTION("""COMPUTED_VALUE"""),"Turma A")</f>
        <v/>
      </c>
      <c r="C79" s="34">
        <f>IFERROR(__xludf.DUMMYFUNCTION("""COMPUTED_VALUE"""),"Matutino")</f>
        <v/>
      </c>
      <c r="D79" s="34" t="inlineStr">
        <is>
          <t>Veio</t>
        </is>
      </c>
      <c r="G79" s="24" t="n"/>
      <c r="H79" s="24" t="n"/>
      <c r="I79" s="24" t="n"/>
    </row>
    <row r="80">
      <c r="A80" s="34">
        <f>IFERROR(__xludf.DUMMYFUNCTION("""COMPUTED_VALUE"""),"JULIANO HENRIQUE GONÇALVES DA SILVA")</f>
        <v/>
      </c>
      <c r="B80" s="34">
        <f>IFERROR(__xludf.DUMMYFUNCTION("""COMPUTED_VALUE"""),"Turma B2")</f>
        <v/>
      </c>
      <c r="C80" s="34">
        <f>IFERROR(__xludf.DUMMYFUNCTION("""COMPUTED_VALUE"""),"Vespertino")</f>
        <v/>
      </c>
      <c r="D80" s="34" t="inlineStr">
        <is>
          <t>Veio</t>
        </is>
      </c>
      <c r="G80" s="24" t="n"/>
      <c r="H80" s="24" t="n"/>
      <c r="I80" s="24" t="n"/>
    </row>
    <row r="81">
      <c r="A81" s="34">
        <f>IFERROR(__xludf.DUMMYFUNCTION("""COMPUTED_VALUE"""),"Kamilly Alves De Souza")</f>
        <v/>
      </c>
      <c r="B81" s="34">
        <f>IFERROR(__xludf.DUMMYFUNCTION("""COMPUTED_VALUE"""),"Turma A")</f>
        <v/>
      </c>
      <c r="C81" s="34">
        <f>IFERROR(__xludf.DUMMYFUNCTION("""COMPUTED_VALUE"""),"Matutino")</f>
        <v/>
      </c>
      <c r="D81" s="34" t="inlineStr">
        <is>
          <t>Veio</t>
        </is>
      </c>
      <c r="G81" s="24" t="n"/>
      <c r="H81" s="24" t="n"/>
      <c r="I81" s="24" t="n"/>
    </row>
    <row r="82">
      <c r="A82" s="34">
        <f>IFERROR(__xludf.DUMMYFUNCTION("""COMPUTED_VALUE"""),"Kamily Barbosa Lemes")</f>
        <v/>
      </c>
      <c r="B82" s="34">
        <f>IFERROR(__xludf.DUMMYFUNCTION("""COMPUTED_VALUE"""),"Turma C")</f>
        <v/>
      </c>
      <c r="C82" s="34">
        <f>IFERROR(__xludf.DUMMYFUNCTION("""COMPUTED_VALUE"""),"Matutino")</f>
        <v/>
      </c>
      <c r="D82" s="34" t="inlineStr">
        <is>
          <t>Veio</t>
        </is>
      </c>
      <c r="G82" s="24" t="n"/>
      <c r="H82" s="24" t="n"/>
      <c r="I82" s="24" t="n"/>
    </row>
    <row r="83">
      <c r="A83" s="34">
        <f>IFERROR(__xludf.DUMMYFUNCTION("""COMPUTED_VALUE"""),"KAUANE BARBOSA LEMES")</f>
        <v/>
      </c>
      <c r="B83" s="34">
        <f>IFERROR(__xludf.DUMMYFUNCTION("""COMPUTED_VALUE"""),"Turma E")</f>
        <v/>
      </c>
      <c r="C83" s="34">
        <f>IFERROR(__xludf.DUMMYFUNCTION("""COMPUTED_VALUE"""),"Vespertino")</f>
        <v/>
      </c>
      <c r="D83" s="34" t="inlineStr">
        <is>
          <t>Veio</t>
        </is>
      </c>
      <c r="G83" s="24" t="n"/>
      <c r="H83" s="24" t="n"/>
      <c r="I83" s="24" t="n"/>
    </row>
    <row r="84">
      <c r="A84" s="34">
        <f>IFERROR(__xludf.DUMMYFUNCTION("""COMPUTED_VALUE"""),"KETILEN LORRAYNE DOS SANTOS BATISTA")</f>
        <v/>
      </c>
      <c r="B84" s="34">
        <f>IFERROR(__xludf.DUMMYFUNCTION("""COMPUTED_VALUE"""),"Turma C")</f>
        <v/>
      </c>
      <c r="C84" s="34">
        <f>IFERROR(__xludf.DUMMYFUNCTION("""COMPUTED_VALUE"""),"Vespertino")</f>
        <v/>
      </c>
      <c r="D84" s="34" t="inlineStr">
        <is>
          <t>Veio</t>
        </is>
      </c>
      <c r="G84" s="24" t="n"/>
      <c r="H84" s="24" t="n"/>
      <c r="I84" s="24" t="n"/>
    </row>
    <row r="85">
      <c r="A85" s="34">
        <f>IFERROR(__xludf.DUMMYFUNCTION("""COMPUTED_VALUE"""),"KETLEN LORRANE DO NASCIMENTO DA SILVA")</f>
        <v/>
      </c>
      <c r="B85" s="34">
        <f>IFERROR(__xludf.DUMMYFUNCTION("""COMPUTED_VALUE"""),"Turma E")</f>
        <v/>
      </c>
      <c r="C85" s="34">
        <f>IFERROR(__xludf.DUMMYFUNCTION("""COMPUTED_VALUE"""),"Matutino")</f>
        <v/>
      </c>
      <c r="D85" s="34" t="inlineStr">
        <is>
          <t>Veio</t>
        </is>
      </c>
      <c r="G85" s="24" t="n"/>
      <c r="H85" s="24" t="n"/>
      <c r="I85" s="24" t="n"/>
    </row>
    <row r="86">
      <c r="A86" s="34">
        <f>IFERROR(__xludf.DUMMYFUNCTION("""COMPUTED_VALUE"""),"KETTLY VITÓRIA ALVES DA SILVA")</f>
        <v/>
      </c>
      <c r="B86" s="34">
        <f>IFERROR(__xludf.DUMMYFUNCTION("""COMPUTED_VALUE"""),"Turma E")</f>
        <v/>
      </c>
      <c r="C86" s="34">
        <f>IFERROR(__xludf.DUMMYFUNCTION("""COMPUTED_VALUE"""),"Matutino")</f>
        <v/>
      </c>
      <c r="D86" s="34" t="inlineStr">
        <is>
          <t>Veio</t>
        </is>
      </c>
      <c r="G86" s="24" t="n"/>
      <c r="H86" s="24" t="n"/>
      <c r="I86" s="24" t="n"/>
    </row>
    <row r="87">
      <c r="A87" s="34">
        <f>IFERROR(__xludf.DUMMYFUNCTION("""COMPUTED_VALUE"""),"LARISSA JATOBÁ OLIVEIRA")</f>
        <v/>
      </c>
      <c r="B87" s="34">
        <f>IFERROR(__xludf.DUMMYFUNCTION("""COMPUTED_VALUE"""),"Turma A")</f>
        <v/>
      </c>
      <c r="C87" s="34">
        <f>IFERROR(__xludf.DUMMYFUNCTION("""COMPUTED_VALUE"""),"Vespertino")</f>
        <v/>
      </c>
      <c r="D87" s="34" t="inlineStr">
        <is>
          <t>Veio</t>
        </is>
      </c>
      <c r="G87" s="24" t="n"/>
      <c r="H87" s="24" t="n"/>
      <c r="I87" s="24" t="n"/>
    </row>
    <row r="88">
      <c r="A88" s="34">
        <f>IFERROR(__xludf.DUMMYFUNCTION("""COMPUTED_VALUE"""),"Leticia Carolinny Alvarenga Dos Santos")</f>
        <v/>
      </c>
      <c r="B88" s="34">
        <f>IFERROR(__xludf.DUMMYFUNCTION("""COMPUTED_VALUE"""),"Turma D")</f>
        <v/>
      </c>
      <c r="C88" s="34">
        <f>IFERROR(__xludf.DUMMYFUNCTION("""COMPUTED_VALUE"""),"Vespertino")</f>
        <v/>
      </c>
      <c r="D88" s="34" t="inlineStr">
        <is>
          <t>Veio</t>
        </is>
      </c>
      <c r="G88" s="24" t="n"/>
      <c r="H88" s="24" t="n"/>
      <c r="I88" s="24" t="n"/>
    </row>
    <row r="89">
      <c r="A89" s="34">
        <f>IFERROR(__xludf.DUMMYFUNCTION("""COMPUTED_VALUE"""),"LOGAN ARAUJO ALCANTARA")</f>
        <v/>
      </c>
      <c r="B89" s="34">
        <f>IFERROR(__xludf.DUMMYFUNCTION("""COMPUTED_VALUE"""),"Turma D")</f>
        <v/>
      </c>
      <c r="C89" s="34">
        <f>IFERROR(__xludf.DUMMYFUNCTION("""COMPUTED_VALUE"""),"Matutino")</f>
        <v/>
      </c>
      <c r="D89" s="34" t="inlineStr">
        <is>
          <t>Veio</t>
        </is>
      </c>
      <c r="G89" s="24" t="n"/>
      <c r="H89" s="24" t="n"/>
      <c r="I89" s="24" t="n"/>
    </row>
    <row r="90">
      <c r="A90" s="34">
        <f>IFERROR(__xludf.DUMMYFUNCTION("""COMPUTED_VALUE"""),"LUAN FONGARO DE JESUS")</f>
        <v/>
      </c>
      <c r="B90" s="34">
        <f>IFERROR(__xludf.DUMMYFUNCTION("""COMPUTED_VALUE"""),"Turma B2")</f>
        <v/>
      </c>
      <c r="C90" s="34">
        <f>IFERROR(__xludf.DUMMYFUNCTION("""COMPUTED_VALUE"""),"Vespertino")</f>
        <v/>
      </c>
      <c r="D90" s="34" t="inlineStr">
        <is>
          <t>Veio</t>
        </is>
      </c>
      <c r="G90" s="24" t="n"/>
      <c r="H90" s="24" t="n"/>
      <c r="I90" s="24" t="n"/>
    </row>
    <row r="91">
      <c r="A91" s="34">
        <f>IFERROR(__xludf.DUMMYFUNCTION("""COMPUTED_VALUE"""),"LUANA DO NASCIMENTO FERNANDES")</f>
        <v/>
      </c>
      <c r="B91" s="34">
        <f>IFERROR(__xludf.DUMMYFUNCTION("""COMPUTED_VALUE"""),"Turma B2")</f>
        <v/>
      </c>
      <c r="C91" s="34">
        <f>IFERROR(__xludf.DUMMYFUNCTION("""COMPUTED_VALUE"""),"Vespertino")</f>
        <v/>
      </c>
      <c r="D91" s="34" t="inlineStr">
        <is>
          <t>Veio</t>
        </is>
      </c>
      <c r="G91" s="24" t="n"/>
      <c r="H91" s="24" t="n"/>
      <c r="I91" s="24" t="n"/>
    </row>
    <row r="92">
      <c r="A92" s="34">
        <f>IFERROR(__xludf.DUMMYFUNCTION("""COMPUTED_VALUE"""),"LUANA SOUSA RIVA")</f>
        <v/>
      </c>
      <c r="B92" s="34">
        <f>IFERROR(__xludf.DUMMYFUNCTION("""COMPUTED_VALUE"""),"Turma B1")</f>
        <v/>
      </c>
      <c r="C92" s="34">
        <f>IFERROR(__xludf.DUMMYFUNCTION("""COMPUTED_VALUE"""),"Matutino")</f>
        <v/>
      </c>
      <c r="D92" s="34" t="inlineStr">
        <is>
          <t>Veio</t>
        </is>
      </c>
      <c r="G92" s="24" t="n"/>
      <c r="H92" s="24" t="n"/>
      <c r="I92" s="24" t="n"/>
    </row>
    <row r="93">
      <c r="A93" s="34">
        <f>IFERROR(__xludf.DUMMYFUNCTION("""COMPUTED_VALUE"""),"LUANA TOMAZ ROVER")</f>
        <v/>
      </c>
      <c r="B93" s="34">
        <f>IFERROR(__xludf.DUMMYFUNCTION("""COMPUTED_VALUE"""),"Turma D")</f>
        <v/>
      </c>
      <c r="C93" s="34">
        <f>IFERROR(__xludf.DUMMYFUNCTION("""COMPUTED_VALUE"""),"Matutino")</f>
        <v/>
      </c>
      <c r="D93" s="34" t="inlineStr">
        <is>
          <t>Não Veio</t>
        </is>
      </c>
      <c r="G93" s="24" t="n"/>
      <c r="H93" s="24" t="n"/>
      <c r="I93" s="24" t="n"/>
    </row>
    <row r="94">
      <c r="A94" s="34">
        <f>IFERROR(__xludf.DUMMYFUNCTION("""COMPUTED_VALUE"""),"LUCAS FONGARO DE JESUS")</f>
        <v/>
      </c>
      <c r="B94" s="34">
        <f>IFERROR(__xludf.DUMMYFUNCTION("""COMPUTED_VALUE"""),"Turma B2")</f>
        <v/>
      </c>
      <c r="C94" s="34">
        <f>IFERROR(__xludf.DUMMYFUNCTION("""COMPUTED_VALUE"""),"Vespertino")</f>
        <v/>
      </c>
      <c r="D94" s="34" t="inlineStr">
        <is>
          <t>Veio</t>
        </is>
      </c>
      <c r="G94" s="24" t="n"/>
      <c r="H94" s="24" t="n"/>
      <c r="I94" s="24" t="n"/>
    </row>
    <row r="95">
      <c r="A95" s="34">
        <f>IFERROR(__xludf.DUMMYFUNCTION("""COMPUTED_VALUE"""),"Luis Felipe Camargo Moreira")</f>
        <v/>
      </c>
      <c r="B95" s="34">
        <f>IFERROR(__xludf.DUMMYFUNCTION("""COMPUTED_VALUE"""),"Turma D")</f>
        <v/>
      </c>
      <c r="C95" s="34">
        <f>IFERROR(__xludf.DUMMYFUNCTION("""COMPUTED_VALUE"""),"Vespertino")</f>
        <v/>
      </c>
      <c r="D95" s="34" t="inlineStr">
        <is>
          <t>Veio</t>
        </is>
      </c>
      <c r="G95" s="24" t="n"/>
      <c r="H95" s="24" t="n"/>
      <c r="I95" s="24" t="n"/>
    </row>
    <row r="96">
      <c r="A96" s="34">
        <f>IFERROR(__xludf.DUMMYFUNCTION("""COMPUTED_VALUE"""),"LUIZ FELIPE POLICARPO DOS SANTOS")</f>
        <v/>
      </c>
      <c r="B96" s="34">
        <f>IFERROR(__xludf.DUMMYFUNCTION("""COMPUTED_VALUE"""),"Turma A")</f>
        <v/>
      </c>
      <c r="C96" s="34">
        <f>IFERROR(__xludf.DUMMYFUNCTION("""COMPUTED_VALUE"""),"Vespertino")</f>
        <v/>
      </c>
      <c r="D96" s="34" t="inlineStr">
        <is>
          <t>Veio</t>
        </is>
      </c>
      <c r="G96" s="24" t="n"/>
      <c r="H96" s="24" t="n"/>
      <c r="I96" s="24" t="n"/>
    </row>
    <row r="97">
      <c r="A97" s="34">
        <f>IFERROR(__xludf.DUMMYFUNCTION("""COMPUTED_VALUE"""),"Luiz Fernando Garcia De Souza")</f>
        <v/>
      </c>
      <c r="B97" s="34">
        <f>IFERROR(__xludf.DUMMYFUNCTION("""COMPUTED_VALUE"""),"Turma C")</f>
        <v/>
      </c>
      <c r="C97" s="34">
        <f>IFERROR(__xludf.DUMMYFUNCTION("""COMPUTED_VALUE"""),"Matutino")</f>
        <v/>
      </c>
      <c r="D97" s="34" t="inlineStr">
        <is>
          <t>Veio</t>
        </is>
      </c>
      <c r="G97" s="24" t="n"/>
      <c r="H97" s="24" t="n"/>
      <c r="I97" s="24" t="n"/>
    </row>
    <row r="98">
      <c r="A98" s="34">
        <f>IFERROR(__xludf.DUMMYFUNCTION("""COMPUTED_VALUE"""),"Maíne Pereira De Azevedo")</f>
        <v/>
      </c>
      <c r="B98" s="34">
        <f>IFERROR(__xludf.DUMMYFUNCTION("""COMPUTED_VALUE"""),"Turma C")</f>
        <v/>
      </c>
      <c r="C98" s="34">
        <f>IFERROR(__xludf.DUMMYFUNCTION("""COMPUTED_VALUE"""),"Matutino")</f>
        <v/>
      </c>
      <c r="D98" s="34" t="inlineStr">
        <is>
          <t>Veio</t>
        </is>
      </c>
      <c r="G98" s="24" t="n"/>
      <c r="H98" s="24" t="n"/>
      <c r="I98" s="24" t="n"/>
    </row>
    <row r="99">
      <c r="A99" s="34">
        <f>IFERROR(__xludf.DUMMYFUNCTION("""COMPUTED_VALUE"""),"MARCOS ANTÔNIO TRINDADE DA SILVA")</f>
        <v/>
      </c>
      <c r="B99" s="34">
        <f>IFERROR(__xludf.DUMMYFUNCTION("""COMPUTED_VALUE"""),"Turma B1")</f>
        <v/>
      </c>
      <c r="C99" s="34">
        <f>IFERROR(__xludf.DUMMYFUNCTION("""COMPUTED_VALUE"""),"Vespertino")</f>
        <v/>
      </c>
      <c r="D99" s="34" t="inlineStr">
        <is>
          <t>Veio</t>
        </is>
      </c>
      <c r="G99" s="24" t="n"/>
      <c r="H99" s="24" t="n"/>
      <c r="I99" s="24" t="n"/>
    </row>
    <row r="100">
      <c r="A100" s="34">
        <f>IFERROR(__xludf.DUMMYFUNCTION("""COMPUTED_VALUE"""),"MARIA CLARA ALMEIDA LOPES")</f>
        <v/>
      </c>
      <c r="B100" s="34">
        <f>IFERROR(__xludf.DUMMYFUNCTION("""COMPUTED_VALUE"""),"Turma C")</f>
        <v/>
      </c>
      <c r="C100" s="34">
        <f>IFERROR(__xludf.DUMMYFUNCTION("""COMPUTED_VALUE"""),"Vespertino")</f>
        <v/>
      </c>
      <c r="D100" s="34" t="inlineStr">
        <is>
          <t>Veio</t>
        </is>
      </c>
      <c r="G100" s="24" t="n"/>
      <c r="H100" s="24" t="n"/>
      <c r="I100" s="24" t="n"/>
    </row>
    <row r="101">
      <c r="A101" s="34">
        <f>IFERROR(__xludf.DUMMYFUNCTION("""COMPUTED_VALUE"""),"MARIA CLARA OLIVEIRA MENEZES MARTINS")</f>
        <v/>
      </c>
      <c r="B101" s="34">
        <f>IFERROR(__xludf.DUMMYFUNCTION("""COMPUTED_VALUE"""),"Turma GR")</f>
        <v/>
      </c>
      <c r="C101" s="34">
        <f>IFERROR(__xludf.DUMMYFUNCTION("""COMPUTED_VALUE"""),"Vespertino")</f>
        <v/>
      </c>
      <c r="D101" s="34" t="inlineStr">
        <is>
          <t>Veio</t>
        </is>
      </c>
      <c r="G101" s="24" t="n"/>
      <c r="H101" s="24" t="n"/>
      <c r="I101" s="24" t="n"/>
    </row>
    <row r="102">
      <c r="A102" s="34">
        <f>IFERROR(__xludf.DUMMYFUNCTION("""COMPUTED_VALUE"""),"MARIA EDUARDA SOBREIRO DA SILVA")</f>
        <v/>
      </c>
      <c r="B102" s="34">
        <f>IFERROR(__xludf.DUMMYFUNCTION("""COMPUTED_VALUE"""),"Turma B1")</f>
        <v/>
      </c>
      <c r="C102" s="34">
        <f>IFERROR(__xludf.DUMMYFUNCTION("""COMPUTED_VALUE"""),"Vespertino")</f>
        <v/>
      </c>
      <c r="D102" s="34" t="inlineStr">
        <is>
          <t>Veio</t>
        </is>
      </c>
      <c r="G102" s="24" t="n"/>
      <c r="H102" s="24" t="n"/>
      <c r="I102" s="24" t="n"/>
    </row>
    <row r="103">
      <c r="A103" s="34">
        <f>IFERROR(__xludf.DUMMYFUNCTION("""COMPUTED_VALUE"""),"MARIA EMANUELLY CAMARGO GONÇALVES")</f>
        <v/>
      </c>
      <c r="B103" s="34">
        <f>IFERROR(__xludf.DUMMYFUNCTION("""COMPUTED_VALUE"""),"Turma GR")</f>
        <v/>
      </c>
      <c r="C103" s="34">
        <f>IFERROR(__xludf.DUMMYFUNCTION("""COMPUTED_VALUE"""),"Vespertino")</f>
        <v/>
      </c>
      <c r="D103" s="34" t="inlineStr">
        <is>
          <t>Veio</t>
        </is>
      </c>
      <c r="G103" s="24" t="n"/>
      <c r="H103" s="24" t="n"/>
      <c r="I103" s="24" t="n"/>
    </row>
    <row r="104">
      <c r="A104" s="34">
        <f>IFERROR(__xludf.DUMMYFUNCTION("""COMPUTED_VALUE"""),"MARIA FERNANDA DOS SANTOS KUBOTA")</f>
        <v/>
      </c>
      <c r="B104" s="34">
        <f>IFERROR(__xludf.DUMMYFUNCTION("""COMPUTED_VALUE"""),"Turma B2")</f>
        <v/>
      </c>
      <c r="C104" s="34">
        <f>IFERROR(__xludf.DUMMYFUNCTION("""COMPUTED_VALUE"""),"Matutino")</f>
        <v/>
      </c>
      <c r="D104" s="34" t="inlineStr">
        <is>
          <t>Veio</t>
        </is>
      </c>
      <c r="G104" s="24" t="n"/>
      <c r="H104" s="24" t="n"/>
      <c r="I104" s="24" t="n"/>
    </row>
    <row r="105">
      <c r="A105" s="34">
        <f>IFERROR(__xludf.DUMMYFUNCTION("""COMPUTED_VALUE"""),"MARIA HISLANA PORTUGAL BRITO")</f>
        <v/>
      </c>
      <c r="B105" s="34">
        <f>IFERROR(__xludf.DUMMYFUNCTION("""COMPUTED_VALUE"""),"Turma E")</f>
        <v/>
      </c>
      <c r="C105" s="34">
        <f>IFERROR(__xludf.DUMMYFUNCTION("""COMPUTED_VALUE"""),"Matutino")</f>
        <v/>
      </c>
      <c r="D105" s="34" t="inlineStr">
        <is>
          <t>Veio</t>
        </is>
      </c>
      <c r="G105" s="24" t="n"/>
      <c r="H105" s="24" t="n"/>
      <c r="I105" s="24" t="n"/>
    </row>
    <row r="106">
      <c r="A106" s="34">
        <f>IFERROR(__xludf.DUMMYFUNCTION("""COMPUTED_VALUE"""),"MARIA LUIZA ANASTACIO GONÇALVES")</f>
        <v/>
      </c>
      <c r="B106" s="34">
        <f>IFERROR(__xludf.DUMMYFUNCTION("""COMPUTED_VALUE"""),"Turma C")</f>
        <v/>
      </c>
      <c r="C106" s="34">
        <f>IFERROR(__xludf.DUMMYFUNCTION("""COMPUTED_VALUE"""),"Vespertino")</f>
        <v/>
      </c>
      <c r="D106" s="34" t="inlineStr">
        <is>
          <t>Veio</t>
        </is>
      </c>
      <c r="G106" s="24" t="n"/>
      <c r="H106" s="24" t="n"/>
      <c r="I106" s="24" t="n"/>
    </row>
    <row r="107">
      <c r="A107" s="34">
        <f>IFERROR(__xludf.DUMMYFUNCTION("""COMPUTED_VALUE"""),"MARIA VITÓRIA OLIVEIRA MENEZES MARTINS")</f>
        <v/>
      </c>
      <c r="B107" s="34">
        <f>IFERROR(__xludf.DUMMYFUNCTION("""COMPUTED_VALUE"""),"Turma GR")</f>
        <v/>
      </c>
      <c r="C107" s="34">
        <f>IFERROR(__xludf.DUMMYFUNCTION("""COMPUTED_VALUE"""),"Vespertino")</f>
        <v/>
      </c>
      <c r="D107" s="34" t="inlineStr">
        <is>
          <t>Veio</t>
        </is>
      </c>
      <c r="G107" s="24" t="n"/>
      <c r="H107" s="24" t="n"/>
      <c r="I107" s="24" t="n"/>
    </row>
    <row r="108">
      <c r="A108" s="34">
        <f>IFERROR(__xludf.DUMMYFUNCTION("""COMPUTED_VALUE"""),"Mariah Sophia Sales Aniceto")</f>
        <v/>
      </c>
      <c r="B108" s="34">
        <f>IFERROR(__xludf.DUMMYFUNCTION("""COMPUTED_VALUE"""),"Turma D")</f>
        <v/>
      </c>
      <c r="C108" s="34">
        <f>IFERROR(__xludf.DUMMYFUNCTION("""COMPUTED_VALUE"""),"Vespertino")</f>
        <v/>
      </c>
      <c r="D108" s="34" t="inlineStr">
        <is>
          <t>Veio</t>
        </is>
      </c>
      <c r="G108" s="24" t="n"/>
      <c r="H108" s="24" t="n"/>
      <c r="I108" s="24" t="n"/>
    </row>
    <row r="109">
      <c r="A109" s="34">
        <f>IFERROR(__xludf.DUMMYFUNCTION("""COMPUTED_VALUE"""),"Matheus Portugal De Almeida")</f>
        <v/>
      </c>
      <c r="B109" s="34">
        <f>IFERROR(__xludf.DUMMYFUNCTION("""COMPUTED_VALUE"""),"Turma A")</f>
        <v/>
      </c>
      <c r="C109" s="34">
        <f>IFERROR(__xludf.DUMMYFUNCTION("""COMPUTED_VALUE"""),"Matutino")</f>
        <v/>
      </c>
      <c r="D109" s="34" t="inlineStr">
        <is>
          <t>Veio</t>
        </is>
      </c>
      <c r="G109" s="24" t="n"/>
      <c r="H109" s="24" t="n"/>
      <c r="I109" s="24" t="n"/>
    </row>
    <row r="110">
      <c r="A110" s="34">
        <f>IFERROR(__xludf.DUMMYFUNCTION("""COMPUTED_VALUE"""),"Maycon Antonio Santana Garcia")</f>
        <v/>
      </c>
      <c r="B110" s="34">
        <f>IFERROR(__xludf.DUMMYFUNCTION("""COMPUTED_VALUE"""),"Turma D")</f>
        <v/>
      </c>
      <c r="C110" s="34">
        <f>IFERROR(__xludf.DUMMYFUNCTION("""COMPUTED_VALUE"""),"Vespertino")</f>
        <v/>
      </c>
      <c r="D110" s="34" t="inlineStr">
        <is>
          <t>Não Veio</t>
        </is>
      </c>
      <c r="G110" s="24" t="n"/>
      <c r="H110" s="24" t="n"/>
      <c r="I110" s="24" t="n"/>
    </row>
    <row r="111">
      <c r="A111" s="34">
        <f>IFERROR(__xludf.DUMMYFUNCTION("""COMPUTED_VALUE"""),"MICAELY VITÓRIA PERONI DOS SANTOS")</f>
        <v/>
      </c>
      <c r="B111" s="34">
        <f>IFERROR(__xludf.DUMMYFUNCTION("""COMPUTED_VALUE"""),"Turma C")</f>
        <v/>
      </c>
      <c r="C111" s="34">
        <f>IFERROR(__xludf.DUMMYFUNCTION("""COMPUTED_VALUE"""),"Vespertino")</f>
        <v/>
      </c>
      <c r="D111" s="34" t="inlineStr">
        <is>
          <t>Veio</t>
        </is>
      </c>
      <c r="G111" s="24" t="n"/>
      <c r="H111" s="24" t="n"/>
      <c r="I111" s="24" t="n"/>
    </row>
    <row r="112">
      <c r="A112" s="34">
        <f>IFERROR(__xludf.DUMMYFUNCTION("""COMPUTED_VALUE"""),"MIGUEL AUGUSTO DE LIMA TRINDADE")</f>
        <v/>
      </c>
      <c r="B112" s="34">
        <f>IFERROR(__xludf.DUMMYFUNCTION("""COMPUTED_VALUE"""),"Turma B1")</f>
        <v/>
      </c>
      <c r="C112" s="34">
        <f>IFERROR(__xludf.DUMMYFUNCTION("""COMPUTED_VALUE"""),"Vespertino")</f>
        <v/>
      </c>
      <c r="D112" s="34" t="inlineStr">
        <is>
          <t>Veio</t>
        </is>
      </c>
      <c r="G112" s="24" t="n"/>
      <c r="H112" s="24" t="n"/>
      <c r="I112" s="24" t="n"/>
    </row>
    <row r="113">
      <c r="A113" s="34">
        <f>IFERROR(__xludf.DUMMYFUNCTION("""COMPUTED_VALUE"""),"MIGUEL NYKOLAS DUTRA ALMEIDA")</f>
        <v/>
      </c>
      <c r="B113" s="34">
        <f>IFERROR(__xludf.DUMMYFUNCTION("""COMPUTED_VALUE"""),"Turma B1")</f>
        <v/>
      </c>
      <c r="C113" s="34">
        <f>IFERROR(__xludf.DUMMYFUNCTION("""COMPUTED_VALUE"""),"Vespertino")</f>
        <v/>
      </c>
      <c r="D113" s="34" t="inlineStr">
        <is>
          <t>Veio</t>
        </is>
      </c>
      <c r="G113" s="24" t="n"/>
      <c r="H113" s="24" t="n"/>
      <c r="I113" s="24" t="n"/>
    </row>
    <row r="114">
      <c r="A114" s="34">
        <f>IFERROR(__xludf.DUMMYFUNCTION("""COMPUTED_VALUE"""),"Mikaela Tonete Santana")</f>
        <v/>
      </c>
      <c r="B114" s="34">
        <f>IFERROR(__xludf.DUMMYFUNCTION("""COMPUTED_VALUE"""),"Turma C")</f>
        <v/>
      </c>
      <c r="C114" s="34">
        <f>IFERROR(__xludf.DUMMYFUNCTION("""COMPUTED_VALUE"""),"Matutino")</f>
        <v/>
      </c>
      <c r="D114" s="34" t="inlineStr">
        <is>
          <t>Veio</t>
        </is>
      </c>
      <c r="G114" s="24" t="n"/>
      <c r="H114" s="24" t="n"/>
      <c r="I114" s="24" t="n"/>
    </row>
    <row r="115">
      <c r="A115" s="34">
        <f>IFERROR(__xludf.DUMMYFUNCTION("""COMPUTED_VALUE"""),"Moises Oliveira Da Silva")</f>
        <v/>
      </c>
      <c r="B115" s="34">
        <f>IFERROR(__xludf.DUMMYFUNCTION("""COMPUTED_VALUE"""),"Turma A")</f>
        <v/>
      </c>
      <c r="C115" s="34">
        <f>IFERROR(__xludf.DUMMYFUNCTION("""COMPUTED_VALUE"""),"Matutino")</f>
        <v/>
      </c>
      <c r="D115" s="34" t="inlineStr">
        <is>
          <t>Veio</t>
        </is>
      </c>
      <c r="G115" s="24" t="n"/>
      <c r="H115" s="24" t="n"/>
      <c r="I115" s="24" t="n"/>
    </row>
    <row r="116">
      <c r="A116" s="34">
        <f>IFERROR(__xludf.DUMMYFUNCTION("""COMPUTED_VALUE"""),"Nicolas Araújo De Souza")</f>
        <v/>
      </c>
      <c r="B116" s="34">
        <f>IFERROR(__xludf.DUMMYFUNCTION("""COMPUTED_VALUE"""),"Turma D")</f>
        <v/>
      </c>
      <c r="C116" s="34">
        <f>IFERROR(__xludf.DUMMYFUNCTION("""COMPUTED_VALUE"""),"Vespertino")</f>
        <v/>
      </c>
      <c r="D116" s="34" t="inlineStr">
        <is>
          <t>Veio</t>
        </is>
      </c>
      <c r="G116" s="24" t="n"/>
      <c r="H116" s="24" t="n"/>
      <c r="I116" s="24" t="n"/>
    </row>
    <row r="117">
      <c r="A117" s="34">
        <f>IFERROR(__xludf.DUMMYFUNCTION("""COMPUTED_VALUE"""),"NICOLAS GABRIEL OLIVEIRA BASTIDA")</f>
        <v/>
      </c>
      <c r="B117" s="34">
        <f>IFERROR(__xludf.DUMMYFUNCTION("""COMPUTED_VALUE"""),"Turma E")</f>
        <v/>
      </c>
      <c r="C117" s="34">
        <f>IFERROR(__xludf.DUMMYFUNCTION("""COMPUTED_VALUE"""),"Vespertino")</f>
        <v/>
      </c>
      <c r="D117" s="34" t="inlineStr">
        <is>
          <t>Veio</t>
        </is>
      </c>
      <c r="G117" s="24" t="n"/>
      <c r="H117" s="24" t="n"/>
      <c r="I117" s="24" t="n"/>
    </row>
    <row r="118">
      <c r="A118" s="34">
        <f>IFERROR(__xludf.DUMMYFUNCTION("""COMPUTED_VALUE"""),"NICOLAS GABRIEL SILVA DE OLIVEIRA")</f>
        <v/>
      </c>
      <c r="B118" s="34">
        <f>IFERROR(__xludf.DUMMYFUNCTION("""COMPUTED_VALUE"""),"Turma D")</f>
        <v/>
      </c>
      <c r="C118" s="34">
        <f>IFERROR(__xludf.DUMMYFUNCTION("""COMPUTED_VALUE"""),"Matutino")</f>
        <v/>
      </c>
      <c r="D118" s="34" t="inlineStr">
        <is>
          <t>Veio</t>
        </is>
      </c>
      <c r="G118" s="24" t="n"/>
      <c r="H118" s="24" t="n"/>
      <c r="I118" s="24" t="n"/>
    </row>
    <row r="119">
      <c r="A119" s="34">
        <f>IFERROR(__xludf.DUMMYFUNCTION("""COMPUTED_VALUE"""),"NICOLAS GOMES WILSON")</f>
        <v/>
      </c>
      <c r="B119" s="34">
        <f>IFERROR(__xludf.DUMMYFUNCTION("""COMPUTED_VALUE"""),"Turma C")</f>
        <v/>
      </c>
      <c r="C119" s="34">
        <f>IFERROR(__xludf.DUMMYFUNCTION("""COMPUTED_VALUE"""),"Vespertino")</f>
        <v/>
      </c>
      <c r="D119" s="34" t="inlineStr">
        <is>
          <t>Veio</t>
        </is>
      </c>
      <c r="G119" s="24" t="n"/>
      <c r="H119" s="24" t="n"/>
      <c r="I119" s="24" t="n"/>
    </row>
    <row r="120">
      <c r="A120" s="34">
        <f>IFERROR(__xludf.DUMMYFUNCTION("""COMPUTED_VALUE"""),"Nicolas Gonçalves De Carvalho")</f>
        <v/>
      </c>
      <c r="B120" s="34">
        <f>IFERROR(__xludf.DUMMYFUNCTION("""COMPUTED_VALUE"""),"Turma D")</f>
        <v/>
      </c>
      <c r="C120" s="34">
        <f>IFERROR(__xludf.DUMMYFUNCTION("""COMPUTED_VALUE"""),"Vespertino")</f>
        <v/>
      </c>
      <c r="D120" s="34" t="inlineStr">
        <is>
          <t>Não Veio</t>
        </is>
      </c>
      <c r="G120" s="24" t="n"/>
      <c r="H120" s="24" t="n"/>
      <c r="I120" s="24" t="n"/>
    </row>
    <row r="121">
      <c r="A121" s="34">
        <f>IFERROR(__xludf.DUMMYFUNCTION("""COMPUTED_VALUE"""),"NICOLLY DE PAULO DUTRA")</f>
        <v/>
      </c>
      <c r="B121" s="34">
        <f>IFERROR(__xludf.DUMMYFUNCTION("""COMPUTED_VALUE"""),"Turma B1")</f>
        <v/>
      </c>
      <c r="C121" s="34">
        <f>IFERROR(__xludf.DUMMYFUNCTION("""COMPUTED_VALUE"""),"Vespertino")</f>
        <v/>
      </c>
      <c r="D121" s="34" t="inlineStr">
        <is>
          <t>Veio</t>
        </is>
      </c>
      <c r="G121" s="24" t="n"/>
      <c r="H121" s="24" t="n"/>
      <c r="I121" s="24" t="n"/>
    </row>
    <row r="122">
      <c r="A122" s="34">
        <f>IFERROR(__xludf.DUMMYFUNCTION("""COMPUTED_VALUE"""),"NICOLY CAMARGO MOREIRA")</f>
        <v/>
      </c>
      <c r="B122" s="34">
        <f>IFERROR(__xludf.DUMMYFUNCTION("""COMPUTED_VALUE"""),"Turma B2")</f>
        <v/>
      </c>
      <c r="C122" s="34">
        <f>IFERROR(__xludf.DUMMYFUNCTION("""COMPUTED_VALUE"""),"Matutino")</f>
        <v/>
      </c>
      <c r="D122" s="34" t="inlineStr">
        <is>
          <t>Veio</t>
        </is>
      </c>
      <c r="G122" s="24" t="n"/>
      <c r="H122" s="24" t="n"/>
      <c r="I122" s="24" t="n"/>
    </row>
    <row r="123">
      <c r="A123" s="34">
        <f>IFERROR(__xludf.DUMMYFUNCTION("""COMPUTED_VALUE"""),"Noah Gomes Wilson")</f>
        <v/>
      </c>
      <c r="B123" s="34">
        <f>IFERROR(__xludf.DUMMYFUNCTION("""COMPUTED_VALUE"""),"Turma C")</f>
        <v/>
      </c>
      <c r="C123" s="34">
        <f>IFERROR(__xludf.DUMMYFUNCTION("""COMPUTED_VALUE"""),"Matutino")</f>
        <v/>
      </c>
      <c r="D123" s="34" t="inlineStr">
        <is>
          <t>Veio</t>
        </is>
      </c>
      <c r="G123" s="24" t="n"/>
      <c r="H123" s="24" t="n"/>
      <c r="I123" s="24" t="n"/>
    </row>
    <row r="124">
      <c r="A124" s="34">
        <f>IFERROR(__xludf.DUMMYFUNCTION("""COMPUTED_VALUE"""),"Paulo Victor Rosa Da Silva")</f>
        <v/>
      </c>
      <c r="B124" s="34">
        <f>IFERROR(__xludf.DUMMYFUNCTION("""COMPUTED_VALUE"""),"Turma C")</f>
        <v/>
      </c>
      <c r="C124" s="34">
        <f>IFERROR(__xludf.DUMMYFUNCTION("""COMPUTED_VALUE"""),"Matutino")</f>
        <v/>
      </c>
      <c r="D124" s="34" t="inlineStr">
        <is>
          <t>Não Veio</t>
        </is>
      </c>
      <c r="G124" s="24" t="n"/>
      <c r="H124" s="24" t="n"/>
      <c r="I124" s="24" t="n"/>
    </row>
    <row r="125">
      <c r="A125" s="34">
        <f>IFERROR(__xludf.DUMMYFUNCTION("""COMPUTED_VALUE"""),"PEDRO HENRIQUE VIANA VELOSO")</f>
        <v/>
      </c>
      <c r="B125" s="34">
        <f>IFERROR(__xludf.DUMMYFUNCTION("""COMPUTED_VALUE"""),"Turma B1")</f>
        <v/>
      </c>
      <c r="C125" s="34">
        <f>IFERROR(__xludf.DUMMYFUNCTION("""COMPUTED_VALUE"""),"Matutino")</f>
        <v/>
      </c>
      <c r="D125" s="34" t="inlineStr">
        <is>
          <t>Veio</t>
        </is>
      </c>
      <c r="G125" s="24" t="n"/>
      <c r="H125" s="24" t="n"/>
      <c r="I125" s="24" t="n"/>
    </row>
    <row r="126">
      <c r="A126" s="34">
        <f>IFERROR(__xludf.DUMMYFUNCTION("""COMPUTED_VALUE"""),"Pétricky Miguel Rodrigues Dos Reis")</f>
        <v/>
      </c>
      <c r="B126" s="34">
        <f>IFERROR(__xludf.DUMMYFUNCTION("""COMPUTED_VALUE"""),"Turma C")</f>
        <v/>
      </c>
      <c r="C126" s="34">
        <f>IFERROR(__xludf.DUMMYFUNCTION("""COMPUTED_VALUE"""),"Matutino")</f>
        <v/>
      </c>
      <c r="D126" s="34" t="inlineStr">
        <is>
          <t>Veio</t>
        </is>
      </c>
      <c r="G126" s="24" t="n"/>
      <c r="H126" s="24" t="n"/>
      <c r="I126" s="24" t="n"/>
    </row>
    <row r="127">
      <c r="A127" s="34">
        <f>IFERROR(__xludf.DUMMYFUNCTION("""COMPUTED_VALUE"""),"PIETRO FRANCISCO GALVÃO DE JESUS")</f>
        <v/>
      </c>
      <c r="B127" s="34">
        <f>IFERROR(__xludf.DUMMYFUNCTION("""COMPUTED_VALUE"""),"Turma D")</f>
        <v/>
      </c>
      <c r="C127" s="34">
        <f>IFERROR(__xludf.DUMMYFUNCTION("""COMPUTED_VALUE"""),"Matutino")</f>
        <v/>
      </c>
      <c r="D127" s="34" t="inlineStr">
        <is>
          <t>Veio</t>
        </is>
      </c>
      <c r="G127" s="24" t="n"/>
      <c r="H127" s="24" t="n"/>
      <c r="I127" s="24" t="n"/>
    </row>
    <row r="128">
      <c r="A128" s="34">
        <f>IFERROR(__xludf.DUMMYFUNCTION("""COMPUTED_VALUE"""),"RAFAEL MENDES DA SILVA")</f>
        <v/>
      </c>
      <c r="B128" s="34">
        <f>IFERROR(__xludf.DUMMYFUNCTION("""COMPUTED_VALUE"""),"Turma B1")</f>
        <v/>
      </c>
      <c r="C128" s="34">
        <f>IFERROR(__xludf.DUMMYFUNCTION("""COMPUTED_VALUE"""),"Vespertino")</f>
        <v/>
      </c>
      <c r="D128" s="34" t="inlineStr">
        <is>
          <t>Não Veio</t>
        </is>
      </c>
      <c r="G128" s="24" t="n"/>
      <c r="H128" s="24" t="n"/>
      <c r="I128" s="24" t="n"/>
    </row>
    <row r="129">
      <c r="A129" s="34">
        <f>IFERROR(__xludf.DUMMYFUNCTION("""COMPUTED_VALUE"""),"Rafael Rodrigues Ireno")</f>
        <v/>
      </c>
      <c r="B129" s="34">
        <f>IFERROR(__xludf.DUMMYFUNCTION("""COMPUTED_VALUE"""),"Turma C")</f>
        <v/>
      </c>
      <c r="C129" s="34">
        <f>IFERROR(__xludf.DUMMYFUNCTION("""COMPUTED_VALUE"""),"Matutino")</f>
        <v/>
      </c>
      <c r="D129" s="34" t="inlineStr">
        <is>
          <t>Veio</t>
        </is>
      </c>
      <c r="G129" s="24" t="n"/>
      <c r="H129" s="24" t="n"/>
      <c r="I129" s="24" t="n"/>
    </row>
    <row r="130">
      <c r="A130" s="34">
        <f>IFERROR(__xludf.DUMMYFUNCTION("""COMPUTED_VALUE"""),"Raphael Rodrigues Moreira")</f>
        <v/>
      </c>
      <c r="B130" s="34">
        <f>IFERROR(__xludf.DUMMYFUNCTION("""COMPUTED_VALUE"""),"Turma D")</f>
        <v/>
      </c>
      <c r="C130" s="34">
        <f>IFERROR(__xludf.DUMMYFUNCTION("""COMPUTED_VALUE"""),"Vespertino")</f>
        <v/>
      </c>
      <c r="D130" s="34" t="inlineStr">
        <is>
          <t>Veio</t>
        </is>
      </c>
      <c r="G130" s="24" t="n"/>
      <c r="H130" s="24" t="n"/>
      <c r="I130" s="24" t="n"/>
    </row>
    <row r="131">
      <c r="A131" s="34">
        <f>IFERROR(__xludf.DUMMYFUNCTION("""COMPUTED_VALUE"""),"Raquel Vieira Martins")</f>
        <v/>
      </c>
      <c r="B131" s="34">
        <f>IFERROR(__xludf.DUMMYFUNCTION("""COMPUTED_VALUE"""),"Turma A")</f>
        <v/>
      </c>
      <c r="C131" s="34">
        <f>IFERROR(__xludf.DUMMYFUNCTION("""COMPUTED_VALUE"""),"Matutino")</f>
        <v/>
      </c>
      <c r="D131" s="34" t="inlineStr">
        <is>
          <t>Veio</t>
        </is>
      </c>
      <c r="G131" s="24" t="n"/>
      <c r="H131" s="24" t="n"/>
      <c r="I131" s="24" t="n"/>
    </row>
    <row r="132">
      <c r="A132" s="34">
        <f>IFERROR(__xludf.DUMMYFUNCTION("""COMPUTED_VALUE"""),"REBEKAH HOTTS DE SOUZA")</f>
        <v/>
      </c>
      <c r="B132" s="34">
        <f>IFERROR(__xludf.DUMMYFUNCTION("""COMPUTED_VALUE"""),"Turma GR")</f>
        <v/>
      </c>
      <c r="C132" s="34">
        <f>IFERROR(__xludf.DUMMYFUNCTION("""COMPUTED_VALUE"""),"Vespertino")</f>
        <v/>
      </c>
      <c r="D132" s="34" t="inlineStr">
        <is>
          <t>Veio</t>
        </is>
      </c>
      <c r="G132" s="24" t="n"/>
      <c r="H132" s="24" t="n"/>
      <c r="I132" s="24" t="n"/>
    </row>
    <row r="133">
      <c r="A133" s="34">
        <f>IFERROR(__xludf.DUMMYFUNCTION("""COMPUTED_VALUE"""),"Reynaldo Mariano De Souza")</f>
        <v/>
      </c>
      <c r="B133" s="34">
        <f>IFERROR(__xludf.DUMMYFUNCTION("""COMPUTED_VALUE"""),"Turma C")</f>
        <v/>
      </c>
      <c r="C133" s="34">
        <f>IFERROR(__xludf.DUMMYFUNCTION("""COMPUTED_VALUE"""),"Matutino")</f>
        <v/>
      </c>
      <c r="D133" s="34" t="inlineStr">
        <is>
          <t>Veio</t>
        </is>
      </c>
      <c r="G133" s="24" t="n"/>
      <c r="H133" s="24" t="n"/>
      <c r="I133" s="24" t="n"/>
    </row>
    <row r="134">
      <c r="A134" s="34">
        <f>IFERROR(__xludf.DUMMYFUNCTION("""COMPUTED_VALUE"""),"ROSALINA MARQUES PARAÍSO")</f>
        <v/>
      </c>
      <c r="B134" s="34">
        <f>IFERROR(__xludf.DUMMYFUNCTION("""COMPUTED_VALUE"""),"Turma B1")</f>
        <v/>
      </c>
      <c r="C134" s="34">
        <f>IFERROR(__xludf.DUMMYFUNCTION("""COMPUTED_VALUE"""),"Vespertino")</f>
        <v/>
      </c>
      <c r="D134" s="34" t="inlineStr">
        <is>
          <t>Veio</t>
        </is>
      </c>
      <c r="G134" s="24" t="n"/>
      <c r="H134" s="24" t="n"/>
      <c r="I134" s="24" t="n"/>
    </row>
    <row r="135">
      <c r="A135" s="34">
        <f>IFERROR(__xludf.DUMMYFUNCTION("""COMPUTED_VALUE"""),"Ruan Brayan Alcantara Monteiro")</f>
        <v/>
      </c>
      <c r="B135" s="34">
        <f>IFERROR(__xludf.DUMMYFUNCTION("""COMPUTED_VALUE"""),"Turma D")</f>
        <v/>
      </c>
      <c r="C135" s="34">
        <f>IFERROR(__xludf.DUMMYFUNCTION("""COMPUTED_VALUE"""),"Vespertino")</f>
        <v/>
      </c>
      <c r="D135" s="34" t="inlineStr">
        <is>
          <t>Veio</t>
        </is>
      </c>
      <c r="G135" s="24" t="n"/>
      <c r="H135" s="24" t="n"/>
      <c r="I135" s="24" t="n"/>
    </row>
    <row r="136">
      <c r="A136" s="34">
        <f>IFERROR(__xludf.DUMMYFUNCTION("""COMPUTED_VALUE"""),"RUAN RODRIGUES CAETANO LIMA")</f>
        <v/>
      </c>
      <c r="B136" s="34">
        <f>IFERROR(__xludf.DUMMYFUNCTION("""COMPUTED_VALUE"""),"Turma GR")</f>
        <v/>
      </c>
      <c r="C136" s="34">
        <f>IFERROR(__xludf.DUMMYFUNCTION("""COMPUTED_VALUE"""),"Vespertino")</f>
        <v/>
      </c>
      <c r="D136" s="34" t="inlineStr">
        <is>
          <t>Não Veio</t>
        </is>
      </c>
      <c r="G136" s="24" t="n"/>
      <c r="H136" s="24" t="n"/>
      <c r="I136" s="24" t="n"/>
    </row>
    <row r="137">
      <c r="A137" s="34">
        <f>IFERROR(__xludf.DUMMYFUNCTION("""COMPUTED_VALUE"""),"SAMUEL JUNIOR VERDAN FRANCISCO")</f>
        <v/>
      </c>
      <c r="B137" s="34">
        <f>IFERROR(__xludf.DUMMYFUNCTION("""COMPUTED_VALUE"""),"Turma D")</f>
        <v/>
      </c>
      <c r="C137" s="34">
        <f>IFERROR(__xludf.DUMMYFUNCTION("""COMPUTED_VALUE"""),"Matutino")</f>
        <v/>
      </c>
      <c r="D137" s="34" t="inlineStr">
        <is>
          <t>Veio</t>
        </is>
      </c>
      <c r="G137" s="24" t="n"/>
      <c r="H137" s="24" t="n"/>
      <c r="I137" s="24" t="n"/>
    </row>
    <row r="138">
      <c r="A138" s="34">
        <f>IFERROR(__xludf.DUMMYFUNCTION("""COMPUTED_VALUE"""),"SOFIA VIEIRA DETTMANN")</f>
        <v/>
      </c>
      <c r="B138" s="34">
        <f>IFERROR(__xludf.DUMMYFUNCTION("""COMPUTED_VALUE"""),"Turma B2")</f>
        <v/>
      </c>
      <c r="C138" s="34">
        <f>IFERROR(__xludf.DUMMYFUNCTION("""COMPUTED_VALUE"""),"Matutino")</f>
        <v/>
      </c>
      <c r="D138" s="34" t="inlineStr">
        <is>
          <t>Veio</t>
        </is>
      </c>
      <c r="G138" s="24" t="n"/>
      <c r="H138" s="24" t="n"/>
      <c r="I138" s="24" t="n"/>
    </row>
    <row r="139">
      <c r="A139" s="34">
        <f>IFERROR(__xludf.DUMMYFUNCTION("""COMPUTED_VALUE"""),"Sophia Gabrielli Ferreira Da Silveira")</f>
        <v/>
      </c>
      <c r="B139" s="34">
        <f>IFERROR(__xludf.DUMMYFUNCTION("""COMPUTED_VALUE"""),"Turma A")</f>
        <v/>
      </c>
      <c r="C139" s="34">
        <f>IFERROR(__xludf.DUMMYFUNCTION("""COMPUTED_VALUE"""),"Matutino")</f>
        <v/>
      </c>
      <c r="D139" s="34" t="inlineStr">
        <is>
          <t>Veio</t>
        </is>
      </c>
      <c r="G139" s="24" t="n"/>
      <c r="H139" s="24" t="n"/>
      <c r="I139" s="24" t="n"/>
    </row>
    <row r="140">
      <c r="A140" s="34">
        <f>IFERROR(__xludf.DUMMYFUNCTION("""COMPUTED_VALUE"""),"Tatiana Alves Francisco")</f>
        <v/>
      </c>
      <c r="B140" s="34">
        <f>IFERROR(__xludf.DUMMYFUNCTION("""COMPUTED_VALUE"""),"Turma GR")</f>
        <v/>
      </c>
      <c r="C140" s="34">
        <f>IFERROR(__xludf.DUMMYFUNCTION("""COMPUTED_VALUE"""),"Vespertino")</f>
        <v/>
      </c>
      <c r="D140" s="34" t="inlineStr">
        <is>
          <t>Veio</t>
        </is>
      </c>
      <c r="G140" s="24" t="n"/>
      <c r="H140" s="24" t="n"/>
      <c r="I140" s="24" t="n"/>
    </row>
    <row r="141">
      <c r="A141" s="34">
        <f>IFERROR(__xludf.DUMMYFUNCTION("""COMPUTED_VALUE"""),"THAILA DA SILVA VITORIO")</f>
        <v/>
      </c>
      <c r="B141" s="34">
        <f>IFERROR(__xludf.DUMMYFUNCTION("""COMPUTED_VALUE"""),"Turma GR")</f>
        <v/>
      </c>
      <c r="C141" s="34">
        <f>IFERROR(__xludf.DUMMYFUNCTION("""COMPUTED_VALUE"""),"Vespertino")</f>
        <v/>
      </c>
      <c r="D141" s="34" t="inlineStr">
        <is>
          <t>Veio</t>
        </is>
      </c>
      <c r="G141" s="24" t="n"/>
      <c r="H141" s="24" t="n"/>
      <c r="I141" s="24" t="n"/>
    </row>
    <row r="142">
      <c r="A142" s="34">
        <f>IFERROR(__xludf.DUMMYFUNCTION("""COMPUTED_VALUE"""),"Thalles Ramon Da Pascoa Silva")</f>
        <v/>
      </c>
      <c r="B142" s="34">
        <f>IFERROR(__xludf.DUMMYFUNCTION("""COMPUTED_VALUE"""),"Turma D")</f>
        <v/>
      </c>
      <c r="C142" s="34">
        <f>IFERROR(__xludf.DUMMYFUNCTION("""COMPUTED_VALUE"""),"Vespertino")</f>
        <v/>
      </c>
      <c r="D142" s="34" t="inlineStr">
        <is>
          <t>Veio</t>
        </is>
      </c>
      <c r="G142" s="24" t="n"/>
      <c r="H142" s="24" t="n"/>
      <c r="I142" s="24" t="n"/>
    </row>
    <row r="143">
      <c r="A143" s="34">
        <f>IFERROR(__xludf.DUMMYFUNCTION("""COMPUTED_VALUE"""),"THIAGO PAULINO PEREIRA DE ARAÚJO")</f>
        <v/>
      </c>
      <c r="B143" s="34">
        <f>IFERROR(__xludf.DUMMYFUNCTION("""COMPUTED_VALUE"""),"Turma B1")</f>
        <v/>
      </c>
      <c r="C143" s="34">
        <f>IFERROR(__xludf.DUMMYFUNCTION("""COMPUTED_VALUE"""),"Vespertino")</f>
        <v/>
      </c>
      <c r="D143" s="34" t="inlineStr">
        <is>
          <t>Veio</t>
        </is>
      </c>
      <c r="G143" s="24" t="n"/>
      <c r="H143" s="24" t="n"/>
      <c r="I143" s="24" t="n"/>
    </row>
    <row r="144">
      <c r="A144" s="34">
        <f>IFERROR(__xludf.DUMMYFUNCTION("""COMPUTED_VALUE"""),"Uéltion Samuel Portugal De Almeida")</f>
        <v/>
      </c>
      <c r="B144" s="34">
        <f>IFERROR(__xludf.DUMMYFUNCTION("""COMPUTED_VALUE"""),"Turma C")</f>
        <v/>
      </c>
      <c r="C144" s="34">
        <f>IFERROR(__xludf.DUMMYFUNCTION("""COMPUTED_VALUE"""),"Matutino")</f>
        <v/>
      </c>
      <c r="D144" s="34" t="inlineStr">
        <is>
          <t>Veio</t>
        </is>
      </c>
      <c r="G144" s="24" t="n"/>
      <c r="H144" s="24" t="n"/>
      <c r="I144" s="24" t="n"/>
    </row>
    <row r="145">
      <c r="A145" s="34">
        <f>IFERROR(__xludf.DUMMYFUNCTION("""COMPUTED_VALUE"""),"VICTOR EMANUEL ALMEIDA MARTINS")</f>
        <v/>
      </c>
      <c r="B145" s="34">
        <f>IFERROR(__xludf.DUMMYFUNCTION("""COMPUTED_VALUE"""),"Turma B1")</f>
        <v/>
      </c>
      <c r="C145" s="34">
        <f>IFERROR(__xludf.DUMMYFUNCTION("""COMPUTED_VALUE"""),"Vespertino")</f>
        <v/>
      </c>
      <c r="D145" s="34" t="inlineStr">
        <is>
          <t>Veio</t>
        </is>
      </c>
      <c r="G145" s="24" t="n"/>
      <c r="H145" s="24" t="n"/>
      <c r="I145" s="24" t="n"/>
    </row>
    <row r="146">
      <c r="A146" s="34">
        <f>IFERROR(__xludf.DUMMYFUNCTION("""COMPUTED_VALUE"""),"Victor Kauan Almeida D. Santos Jatobá")</f>
        <v/>
      </c>
      <c r="B146" s="34">
        <f>IFERROR(__xludf.DUMMYFUNCTION("""COMPUTED_VALUE"""),"Turma C")</f>
        <v/>
      </c>
      <c r="C146" s="34">
        <f>IFERROR(__xludf.DUMMYFUNCTION("""COMPUTED_VALUE"""),"Matutino")</f>
        <v/>
      </c>
      <c r="D146" s="34" t="inlineStr">
        <is>
          <t>Veio</t>
        </is>
      </c>
      <c r="G146" s="24" t="n"/>
      <c r="H146" s="24" t="n"/>
      <c r="I146" s="24" t="n"/>
    </row>
    <row r="147">
      <c r="A147" s="34">
        <f>IFERROR(__xludf.DUMMYFUNCTION("""COMPUTED_VALUE"""),"VITORIA BEZERRA MARTINS")</f>
        <v/>
      </c>
      <c r="B147" s="34">
        <f>IFERROR(__xludf.DUMMYFUNCTION("""COMPUTED_VALUE"""),"Turma E")</f>
        <v/>
      </c>
      <c r="C147" s="34">
        <f>IFERROR(__xludf.DUMMYFUNCTION("""COMPUTED_VALUE"""),"Vespertino")</f>
        <v/>
      </c>
      <c r="D147" s="34" t="inlineStr">
        <is>
          <t>Veio</t>
        </is>
      </c>
      <c r="G147" s="24" t="n"/>
      <c r="H147" s="24" t="n"/>
      <c r="I147" s="24" t="n"/>
    </row>
    <row r="148">
      <c r="A148" s="34">
        <f>IFERROR(__xludf.DUMMYFUNCTION("""COMPUTED_VALUE"""),"WEVERTON LEONARDO VIEIRA MARTINS")</f>
        <v/>
      </c>
      <c r="B148" s="34">
        <f>IFERROR(__xludf.DUMMYFUNCTION("""COMPUTED_VALUE"""),"Turma D")</f>
        <v/>
      </c>
      <c r="C148" s="34">
        <f>IFERROR(__xludf.DUMMYFUNCTION("""COMPUTED_VALUE"""),"Matutino")</f>
        <v/>
      </c>
      <c r="D148" s="34" t="inlineStr">
        <is>
          <t>Veio</t>
        </is>
      </c>
      <c r="G148" s="24" t="n"/>
      <c r="H148" s="24" t="n"/>
      <c r="I148" s="24" t="n"/>
    </row>
    <row r="149">
      <c r="A149" s="34">
        <f>IFERROR(__xludf.DUMMYFUNCTION("""COMPUTED_VALUE"""),"YASMYN THAUANY ALCANTARA MONTEIRO")</f>
        <v/>
      </c>
      <c r="B149" s="34">
        <f>IFERROR(__xludf.DUMMYFUNCTION("""COMPUTED_VALUE"""),"Turma D")</f>
        <v/>
      </c>
      <c r="C149" s="34">
        <f>IFERROR(__xludf.DUMMYFUNCTION("""COMPUTED_VALUE"""),"Matutino")</f>
        <v/>
      </c>
      <c r="D149" s="34" t="inlineStr">
        <is>
          <t>Veio</t>
        </is>
      </c>
      <c r="G149" s="24" t="n"/>
      <c r="H149" s="24" t="n"/>
      <c r="I149" s="24" t="n"/>
    </row>
    <row r="150">
      <c r="A150" s="34">
        <f>IFERROR(__xludf.DUMMYFUNCTION("""COMPUTED_VALUE"""),"GABRIEL SOUZA FERREIRA")</f>
        <v/>
      </c>
      <c r="B150" s="34">
        <f>IFERROR(__xludf.DUMMYFUNCTION("""COMPUTED_VALUE"""),"Turma GR")</f>
        <v/>
      </c>
      <c r="C150" s="34">
        <f>IFERROR(__xludf.DUMMYFUNCTION("""COMPUTED_VALUE"""),"Vespertino")</f>
        <v/>
      </c>
      <c r="D150" s="34" t="inlineStr">
        <is>
          <t>Veio</t>
        </is>
      </c>
      <c r="G150" s="24" t="n"/>
      <c r="H150" s="24" t="n"/>
      <c r="I150" s="24" t="n"/>
    </row>
    <row r="151">
      <c r="G151" s="24" t="n"/>
      <c r="H151" s="24" t="n"/>
      <c r="I151" s="24" t="n"/>
    </row>
    <row r="152">
      <c r="G152" s="24" t="n"/>
      <c r="H152" s="24" t="n"/>
      <c r="I152" s="24" t="n"/>
    </row>
    <row r="153">
      <c r="G153" s="24" t="n"/>
      <c r="H153" s="24" t="n"/>
      <c r="I153" s="24" t="n"/>
    </row>
    <row r="154">
      <c r="G154" s="24" t="n"/>
      <c r="H154" s="24" t="n"/>
      <c r="I154" s="24" t="n"/>
    </row>
    <row r="155">
      <c r="G155" s="24" t="n"/>
      <c r="H155" s="24" t="n"/>
      <c r="I155" s="24" t="n"/>
    </row>
    <row r="156">
      <c r="G156" s="24" t="n"/>
      <c r="H156" s="24" t="n"/>
      <c r="I156" s="24" t="n"/>
    </row>
    <row r="157">
      <c r="G157" s="24" t="n"/>
      <c r="H157" s="24" t="n"/>
      <c r="I157" s="24" t="n"/>
    </row>
    <row r="158">
      <c r="G158" s="24" t="n"/>
      <c r="H158" s="24" t="n"/>
      <c r="I158" s="24" t="n"/>
    </row>
    <row r="159">
      <c r="G159" s="24" t="n"/>
      <c r="H159" s="24" t="n"/>
      <c r="I159" s="24" t="n"/>
    </row>
    <row r="160">
      <c r="G160" s="24" t="n"/>
      <c r="H160" s="24" t="n"/>
      <c r="I160" s="24" t="n"/>
    </row>
    <row r="161">
      <c r="G161" s="24" t="n"/>
      <c r="H161" s="24" t="n"/>
      <c r="I161" s="24" t="n"/>
    </row>
    <row r="162">
      <c r="G162" s="24" t="n"/>
      <c r="H162" s="24" t="n"/>
      <c r="I162" s="24" t="n"/>
    </row>
    <row r="163">
      <c r="G163" s="24" t="n"/>
      <c r="H163" s="24" t="n"/>
      <c r="I163" s="24" t="n"/>
    </row>
    <row r="164">
      <c r="G164" s="24" t="n"/>
      <c r="H164" s="24" t="n"/>
      <c r="I164" s="24" t="n"/>
    </row>
    <row r="165">
      <c r="G165" s="24" t="n"/>
      <c r="H165" s="24" t="n"/>
      <c r="I165" s="24" t="n"/>
    </row>
    <row r="166">
      <c r="G166" s="24" t="n"/>
      <c r="H166" s="24" t="n"/>
      <c r="I166" s="24" t="n"/>
    </row>
    <row r="167">
      <c r="G167" s="24" t="n"/>
      <c r="H167" s="24" t="n"/>
      <c r="I167" s="24" t="n"/>
    </row>
    <row r="168">
      <c r="G168" s="24" t="n"/>
      <c r="H168" s="24" t="n"/>
      <c r="I168" s="24" t="n"/>
    </row>
    <row r="169">
      <c r="G169" s="24" t="n"/>
      <c r="H169" s="24" t="n"/>
      <c r="I169" s="24" t="n"/>
    </row>
    <row r="170">
      <c r="G170" s="24" t="n"/>
      <c r="H170" s="24" t="n"/>
      <c r="I170" s="24" t="n"/>
    </row>
    <row r="171">
      <c r="G171" s="24" t="n"/>
      <c r="H171" s="24" t="n"/>
      <c r="I171" s="24" t="n"/>
    </row>
    <row r="172">
      <c r="G172" s="24" t="n"/>
      <c r="H172" s="24" t="n"/>
      <c r="I172" s="24" t="n"/>
    </row>
    <row r="173">
      <c r="G173" s="24" t="n"/>
      <c r="H173" s="24" t="n"/>
      <c r="I173" s="24" t="n"/>
    </row>
    <row r="174">
      <c r="G174" s="24" t="n"/>
      <c r="H174" s="24" t="n"/>
      <c r="I174" s="24" t="n"/>
    </row>
    <row r="175">
      <c r="G175" s="24" t="n"/>
      <c r="H175" s="24" t="n"/>
      <c r="I175" s="24" t="n"/>
    </row>
    <row r="176">
      <c r="G176" s="24" t="n"/>
      <c r="H176" s="24" t="n"/>
      <c r="I176" s="24" t="n"/>
    </row>
    <row r="177">
      <c r="G177" s="24" t="n"/>
      <c r="H177" s="24" t="n"/>
      <c r="I177" s="24" t="n"/>
    </row>
    <row r="178">
      <c r="G178" s="24" t="n"/>
      <c r="H178" s="24" t="n"/>
      <c r="I178" s="24" t="n"/>
    </row>
    <row r="179">
      <c r="G179" s="24" t="n"/>
      <c r="H179" s="24" t="n"/>
      <c r="I179" s="24" t="n"/>
    </row>
    <row r="180">
      <c r="G180" s="24" t="n"/>
      <c r="H180" s="24" t="n"/>
      <c r="I180" s="24" t="n"/>
    </row>
    <row r="181">
      <c r="G181" s="24" t="n"/>
      <c r="H181" s="24" t="n"/>
      <c r="I181" s="24" t="n"/>
    </row>
    <row r="182">
      <c r="G182" s="24" t="n"/>
      <c r="H182" s="24" t="n"/>
      <c r="I182" s="24" t="n"/>
    </row>
    <row r="183">
      <c r="G183" s="24" t="n"/>
      <c r="H183" s="24" t="n"/>
      <c r="I183" s="24" t="n"/>
    </row>
    <row r="184">
      <c r="G184" s="24" t="n"/>
      <c r="H184" s="24" t="n"/>
      <c r="I184" s="24" t="n"/>
    </row>
    <row r="185">
      <c r="G185" s="24" t="n"/>
      <c r="H185" s="24" t="n"/>
      <c r="I185" s="24" t="n"/>
    </row>
    <row r="186">
      <c r="G186" s="24" t="n"/>
      <c r="H186" s="24" t="n"/>
      <c r="I186" s="24" t="n"/>
    </row>
    <row r="187">
      <c r="G187" s="24" t="n"/>
      <c r="H187" s="24" t="n"/>
      <c r="I187" s="24" t="n"/>
    </row>
    <row r="188">
      <c r="G188" s="24" t="n"/>
      <c r="H188" s="24" t="n"/>
      <c r="I188" s="24" t="n"/>
    </row>
    <row r="189">
      <c r="G189" s="24" t="n"/>
      <c r="H189" s="24" t="n"/>
      <c r="I189" s="24" t="n"/>
    </row>
    <row r="190">
      <c r="G190" s="24" t="n"/>
      <c r="H190" s="24" t="n"/>
      <c r="I190" s="24" t="n"/>
    </row>
    <row r="191">
      <c r="G191" s="24" t="n"/>
      <c r="H191" s="24" t="n"/>
      <c r="I191" s="24" t="n"/>
    </row>
    <row r="192">
      <c r="G192" s="24" t="n"/>
      <c r="H192" s="24" t="n"/>
      <c r="I192" s="24" t="n"/>
    </row>
    <row r="193">
      <c r="G193" s="24" t="n"/>
      <c r="H193" s="24" t="n"/>
      <c r="I193" s="24" t="n"/>
    </row>
    <row r="194">
      <c r="G194" s="24" t="n"/>
      <c r="H194" s="24" t="n"/>
      <c r="I194" s="24" t="n"/>
    </row>
    <row r="195">
      <c r="G195" s="24" t="n"/>
      <c r="H195" s="24" t="n"/>
      <c r="I195" s="24" t="n"/>
    </row>
    <row r="196">
      <c r="G196" s="24" t="n"/>
      <c r="H196" s="24" t="n"/>
      <c r="I196" s="24" t="n"/>
    </row>
    <row r="197">
      <c r="G197" s="24" t="n"/>
      <c r="H197" s="24" t="n"/>
      <c r="I197" s="24" t="n"/>
    </row>
    <row r="198">
      <c r="G198" s="24" t="n"/>
      <c r="H198" s="24" t="n"/>
      <c r="I198" s="24" t="n"/>
    </row>
    <row r="199">
      <c r="G199" s="24" t="n"/>
      <c r="H199" s="24" t="n"/>
      <c r="I199" s="24" t="n"/>
    </row>
    <row r="200">
      <c r="G200" s="24" t="n"/>
      <c r="H200" s="24" t="n"/>
      <c r="I200" s="24" t="n"/>
    </row>
    <row r="201">
      <c r="G201" s="24" t="n"/>
      <c r="H201" s="24" t="n"/>
      <c r="I201" s="24" t="n"/>
    </row>
    <row r="202">
      <c r="G202" s="24" t="n"/>
      <c r="H202" s="24" t="n"/>
      <c r="I202" s="24" t="n"/>
    </row>
    <row r="203">
      <c r="G203" s="24" t="n"/>
      <c r="H203" s="24" t="n"/>
      <c r="I203" s="24" t="n"/>
    </row>
    <row r="204">
      <c r="G204" s="24" t="n"/>
      <c r="H204" s="24" t="n"/>
      <c r="I204" s="24" t="n"/>
    </row>
    <row r="205">
      <c r="G205" s="24" t="n"/>
      <c r="H205" s="24" t="n"/>
      <c r="I205" s="24" t="n"/>
    </row>
    <row r="206">
      <c r="G206" s="24" t="n"/>
      <c r="H206" s="24" t="n"/>
      <c r="I206" s="24" t="n"/>
    </row>
    <row r="207">
      <c r="G207" s="24" t="n"/>
      <c r="H207" s="24" t="n"/>
      <c r="I207" s="24" t="n"/>
    </row>
    <row r="208">
      <c r="G208" s="24" t="n"/>
      <c r="H208" s="24" t="n"/>
      <c r="I208" s="24" t="n"/>
    </row>
    <row r="209">
      <c r="G209" s="24" t="n"/>
      <c r="H209" s="24" t="n"/>
      <c r="I209" s="24" t="n"/>
    </row>
    <row r="210">
      <c r="G210" s="24" t="n"/>
      <c r="H210" s="24" t="n"/>
      <c r="I210" s="24" t="n"/>
    </row>
    <row r="211">
      <c r="G211" s="24" t="n"/>
      <c r="H211" s="24" t="n"/>
      <c r="I211" s="24" t="n"/>
    </row>
    <row r="212">
      <c r="G212" s="24" t="n"/>
      <c r="H212" s="24" t="n"/>
      <c r="I212" s="24" t="n"/>
    </row>
    <row r="213">
      <c r="G213" s="24" t="n"/>
      <c r="H213" s="24" t="n"/>
      <c r="I213" s="24" t="n"/>
    </row>
    <row r="214">
      <c r="G214" s="24" t="n"/>
      <c r="H214" s="24" t="n"/>
      <c r="I214" s="24" t="n"/>
    </row>
    <row r="215">
      <c r="G215" s="24" t="n"/>
      <c r="H215" s="24" t="n"/>
      <c r="I215" s="24" t="n"/>
    </row>
    <row r="216">
      <c r="G216" s="24" t="n"/>
      <c r="H216" s="24" t="n"/>
      <c r="I216" s="24" t="n"/>
    </row>
    <row r="217">
      <c r="G217" s="24" t="n"/>
      <c r="H217" s="24" t="n"/>
      <c r="I217" s="24" t="n"/>
    </row>
    <row r="218">
      <c r="G218" s="24" t="n"/>
      <c r="H218" s="24" t="n"/>
      <c r="I218" s="24" t="n"/>
    </row>
    <row r="219">
      <c r="G219" s="24" t="n"/>
      <c r="H219" s="24" t="n"/>
      <c r="I219" s="24" t="n"/>
    </row>
    <row r="220">
      <c r="G220" s="24" t="n"/>
      <c r="H220" s="24" t="n"/>
      <c r="I220" s="24" t="n"/>
    </row>
    <row r="221">
      <c r="G221" s="24" t="n"/>
      <c r="H221" s="24" t="n"/>
      <c r="I221" s="24" t="n"/>
    </row>
    <row r="222">
      <c r="G222" s="24" t="n"/>
      <c r="H222" s="24" t="n"/>
      <c r="I222" s="24" t="n"/>
    </row>
    <row r="223">
      <c r="G223" s="24" t="n"/>
      <c r="H223" s="24" t="n"/>
      <c r="I223" s="24" t="n"/>
    </row>
    <row r="224">
      <c r="G224" s="24" t="n"/>
      <c r="H224" s="24" t="n"/>
      <c r="I224" s="24" t="n"/>
    </row>
    <row r="225">
      <c r="G225" s="24" t="n"/>
      <c r="H225" s="24" t="n"/>
      <c r="I225" s="24" t="n"/>
    </row>
    <row r="226">
      <c r="G226" s="24" t="n"/>
      <c r="H226" s="24" t="n"/>
      <c r="I226" s="24" t="n"/>
    </row>
    <row r="227">
      <c r="G227" s="24" t="n"/>
      <c r="H227" s="24" t="n"/>
      <c r="I227" s="24" t="n"/>
    </row>
    <row r="228">
      <c r="G228" s="24" t="n"/>
      <c r="H228" s="24" t="n"/>
      <c r="I228" s="24" t="n"/>
    </row>
    <row r="229">
      <c r="G229" s="24" t="n"/>
      <c r="H229" s="24" t="n"/>
      <c r="I229" s="24" t="n"/>
    </row>
    <row r="230">
      <c r="G230" s="24" t="n"/>
      <c r="H230" s="24" t="n"/>
      <c r="I230" s="24" t="n"/>
    </row>
    <row r="231">
      <c r="G231" s="24" t="n"/>
      <c r="H231" s="24" t="n"/>
      <c r="I231" s="24" t="n"/>
    </row>
    <row r="232">
      <c r="G232" s="24" t="n"/>
      <c r="H232" s="24" t="n"/>
      <c r="I232" s="24" t="n"/>
    </row>
    <row r="233">
      <c r="G233" s="24" t="n"/>
      <c r="H233" s="24" t="n"/>
      <c r="I233" s="24" t="n"/>
    </row>
    <row r="234">
      <c r="G234" s="24" t="n"/>
      <c r="H234" s="24" t="n"/>
      <c r="I234" s="24" t="n"/>
    </row>
    <row r="235">
      <c r="G235" s="24" t="n"/>
      <c r="H235" s="24" t="n"/>
      <c r="I235" s="24" t="n"/>
    </row>
    <row r="236">
      <c r="G236" s="24" t="n"/>
      <c r="H236" s="24" t="n"/>
      <c r="I236" s="24" t="n"/>
    </row>
    <row r="237">
      <c r="G237" s="24" t="n"/>
      <c r="H237" s="24" t="n"/>
      <c r="I237" s="24" t="n"/>
    </row>
    <row r="238">
      <c r="G238" s="24" t="n"/>
      <c r="H238" s="24" t="n"/>
      <c r="I238" s="24" t="n"/>
    </row>
    <row r="239">
      <c r="G239" s="24" t="n"/>
      <c r="H239" s="24" t="n"/>
      <c r="I239" s="24" t="n"/>
    </row>
    <row r="240">
      <c r="G240" s="24" t="n"/>
      <c r="H240" s="24" t="n"/>
      <c r="I240" s="24" t="n"/>
    </row>
    <row r="241">
      <c r="G241" s="24" t="n"/>
      <c r="H241" s="24" t="n"/>
      <c r="I241" s="24" t="n"/>
    </row>
    <row r="242">
      <c r="G242" s="24" t="n"/>
      <c r="H242" s="24" t="n"/>
      <c r="I242" s="24" t="n"/>
    </row>
    <row r="243">
      <c r="G243" s="24" t="n"/>
      <c r="H243" s="24" t="n"/>
      <c r="I243" s="24" t="n"/>
    </row>
    <row r="244">
      <c r="G244" s="24" t="n"/>
      <c r="H244" s="24" t="n"/>
      <c r="I244" s="24" t="n"/>
    </row>
    <row r="245">
      <c r="G245" s="24" t="n"/>
      <c r="H245" s="24" t="n"/>
      <c r="I245" s="24" t="n"/>
    </row>
    <row r="246">
      <c r="G246" s="24" t="n"/>
      <c r="H246" s="24" t="n"/>
      <c r="I246" s="24" t="n"/>
    </row>
    <row r="247">
      <c r="G247" s="24" t="n"/>
      <c r="H247" s="24" t="n"/>
      <c r="I247" s="24" t="n"/>
    </row>
    <row r="248">
      <c r="G248" s="24" t="n"/>
      <c r="H248" s="24" t="n"/>
      <c r="I248" s="24" t="n"/>
    </row>
    <row r="249">
      <c r="G249" s="24" t="n"/>
      <c r="H249" s="24" t="n"/>
      <c r="I249" s="24" t="n"/>
    </row>
    <row r="250">
      <c r="G250" s="24" t="n"/>
      <c r="H250" s="24" t="n"/>
      <c r="I250" s="24" t="n"/>
    </row>
    <row r="251">
      <c r="G251" s="24" t="n"/>
      <c r="H251" s="24" t="n"/>
      <c r="I251" s="24" t="n"/>
    </row>
    <row r="252">
      <c r="G252" s="24" t="n"/>
      <c r="H252" s="24" t="n"/>
      <c r="I252" s="24" t="n"/>
    </row>
    <row r="253">
      <c r="G253" s="24" t="n"/>
      <c r="H253" s="24" t="n"/>
      <c r="I253" s="24" t="n"/>
    </row>
    <row r="254">
      <c r="G254" s="24" t="n"/>
      <c r="H254" s="24" t="n"/>
      <c r="I254" s="24" t="n"/>
    </row>
    <row r="255">
      <c r="G255" s="24" t="n"/>
      <c r="H255" s="24" t="n"/>
      <c r="I255" s="24" t="n"/>
    </row>
    <row r="256">
      <c r="G256" s="24" t="n"/>
      <c r="H256" s="24" t="n"/>
      <c r="I256" s="24" t="n"/>
    </row>
    <row r="257">
      <c r="G257" s="24" t="n"/>
      <c r="H257" s="24" t="n"/>
      <c r="I257" s="24" t="n"/>
    </row>
    <row r="258">
      <c r="G258" s="24" t="n"/>
      <c r="H258" s="24" t="n"/>
      <c r="I258" s="24" t="n"/>
    </row>
    <row r="259">
      <c r="G259" s="24" t="n"/>
      <c r="H259" s="24" t="n"/>
      <c r="I259" s="24" t="n"/>
    </row>
    <row r="260">
      <c r="G260" s="24" t="n"/>
      <c r="H260" s="24" t="n"/>
      <c r="I260" s="24" t="n"/>
    </row>
    <row r="261">
      <c r="G261" s="24" t="n"/>
      <c r="H261" s="24" t="n"/>
      <c r="I261" s="24" t="n"/>
    </row>
    <row r="262">
      <c r="G262" s="24" t="n"/>
      <c r="H262" s="24" t="n"/>
      <c r="I262" s="24" t="n"/>
    </row>
    <row r="263">
      <c r="G263" s="24" t="n"/>
      <c r="H263" s="24" t="n"/>
      <c r="I263" s="24" t="n"/>
    </row>
    <row r="264">
      <c r="G264" s="24" t="n"/>
      <c r="H264" s="24" t="n"/>
      <c r="I264" s="24" t="n"/>
    </row>
    <row r="265">
      <c r="G265" s="24" t="n"/>
      <c r="H265" s="24" t="n"/>
      <c r="I265" s="24" t="n"/>
    </row>
    <row r="266">
      <c r="G266" s="24" t="n"/>
      <c r="H266" s="24" t="n"/>
      <c r="I266" s="24" t="n"/>
    </row>
    <row r="267">
      <c r="G267" s="24" t="n"/>
      <c r="H267" s="24" t="n"/>
      <c r="I267" s="24" t="n"/>
    </row>
    <row r="268">
      <c r="G268" s="24" t="n"/>
      <c r="H268" s="24" t="n"/>
      <c r="I268" s="24" t="n"/>
    </row>
    <row r="269">
      <c r="G269" s="24" t="n"/>
      <c r="H269" s="24" t="n"/>
      <c r="I269" s="24" t="n"/>
    </row>
    <row r="270">
      <c r="G270" s="24" t="n"/>
      <c r="H270" s="24" t="n"/>
      <c r="I270" s="24" t="n"/>
    </row>
    <row r="271">
      <c r="G271" s="24" t="n"/>
      <c r="H271" s="24" t="n"/>
      <c r="I271" s="24" t="n"/>
    </row>
    <row r="272">
      <c r="G272" s="24" t="n"/>
      <c r="H272" s="24" t="n"/>
      <c r="I272" s="24" t="n"/>
    </row>
    <row r="273">
      <c r="G273" s="24" t="n"/>
      <c r="H273" s="24" t="n"/>
      <c r="I273" s="24" t="n"/>
    </row>
    <row r="274">
      <c r="G274" s="24" t="n"/>
      <c r="H274" s="24" t="n"/>
      <c r="I274" s="24" t="n"/>
    </row>
    <row r="275">
      <c r="G275" s="24" t="n"/>
      <c r="H275" s="24" t="n"/>
      <c r="I275" s="24" t="n"/>
    </row>
    <row r="276">
      <c r="G276" s="24" t="n"/>
      <c r="H276" s="24" t="n"/>
      <c r="I276" s="24" t="n"/>
    </row>
    <row r="277">
      <c r="G277" s="24" t="n"/>
      <c r="H277" s="24" t="n"/>
      <c r="I277" s="24" t="n"/>
    </row>
    <row r="278">
      <c r="G278" s="24" t="n"/>
      <c r="H278" s="24" t="n"/>
      <c r="I278" s="24" t="n"/>
    </row>
    <row r="279">
      <c r="G279" s="24" t="n"/>
      <c r="H279" s="24" t="n"/>
      <c r="I279" s="24" t="n"/>
    </row>
    <row r="280">
      <c r="G280" s="24" t="n"/>
      <c r="H280" s="24" t="n"/>
      <c r="I280" s="24" t="n"/>
    </row>
    <row r="281">
      <c r="G281" s="24" t="n"/>
      <c r="H281" s="24" t="n"/>
      <c r="I281" s="24" t="n"/>
    </row>
    <row r="282">
      <c r="G282" s="24" t="n"/>
      <c r="H282" s="24" t="n"/>
      <c r="I282" s="24" t="n"/>
    </row>
    <row r="283">
      <c r="G283" s="24" t="n"/>
      <c r="H283" s="24" t="n"/>
      <c r="I283" s="24" t="n"/>
    </row>
    <row r="284">
      <c r="G284" s="24" t="n"/>
      <c r="H284" s="24" t="n"/>
      <c r="I284" s="24" t="n"/>
    </row>
    <row r="285">
      <c r="G285" s="24" t="n"/>
      <c r="H285" s="24" t="n"/>
      <c r="I285" s="24" t="n"/>
    </row>
    <row r="286">
      <c r="G286" s="24" t="n"/>
      <c r="H286" s="24" t="n"/>
      <c r="I286" s="24" t="n"/>
    </row>
    <row r="287">
      <c r="G287" s="24" t="n"/>
      <c r="H287" s="24" t="n"/>
      <c r="I287" s="24" t="n"/>
    </row>
    <row r="288">
      <c r="G288" s="24" t="n"/>
      <c r="H288" s="24" t="n"/>
      <c r="I288" s="24" t="n"/>
    </row>
    <row r="289">
      <c r="G289" s="24" t="n"/>
      <c r="H289" s="24" t="n"/>
      <c r="I289" s="24" t="n"/>
    </row>
    <row r="290">
      <c r="G290" s="24" t="n"/>
      <c r="H290" s="24" t="n"/>
      <c r="I290" s="24" t="n"/>
    </row>
    <row r="291">
      <c r="G291" s="24" t="n"/>
      <c r="H291" s="24" t="n"/>
      <c r="I291" s="24" t="n"/>
    </row>
    <row r="292">
      <c r="G292" s="24" t="n"/>
      <c r="H292" s="24" t="n"/>
      <c r="I292" s="24" t="n"/>
    </row>
    <row r="293">
      <c r="G293" s="24" t="n"/>
      <c r="H293" s="24" t="n"/>
      <c r="I293" s="24" t="n"/>
    </row>
    <row r="294">
      <c r="G294" s="24" t="n"/>
      <c r="H294" s="24" t="n"/>
      <c r="I294" s="24" t="n"/>
    </row>
    <row r="295">
      <c r="G295" s="24" t="n"/>
      <c r="H295" s="24" t="n"/>
      <c r="I295" s="24" t="n"/>
    </row>
    <row r="296">
      <c r="G296" s="24" t="n"/>
      <c r="H296" s="24" t="n"/>
      <c r="I296" s="24" t="n"/>
    </row>
    <row r="297">
      <c r="G297" s="24" t="n"/>
      <c r="H297" s="24" t="n"/>
      <c r="I297" s="24" t="n"/>
    </row>
    <row r="298">
      <c r="G298" s="24" t="n"/>
      <c r="H298" s="24" t="n"/>
      <c r="I298" s="24" t="n"/>
    </row>
    <row r="299">
      <c r="G299" s="24" t="n"/>
      <c r="H299" s="24" t="n"/>
      <c r="I299" s="24" t="n"/>
    </row>
    <row r="300">
      <c r="G300" s="24" t="n"/>
      <c r="H300" s="24" t="n"/>
      <c r="I300" s="24" t="n"/>
    </row>
    <row r="301">
      <c r="G301" s="24" t="n"/>
      <c r="H301" s="24" t="n"/>
      <c r="I301" s="24" t="n"/>
    </row>
    <row r="302">
      <c r="G302" s="24" t="n"/>
      <c r="H302" s="24" t="n"/>
      <c r="I302" s="24" t="n"/>
    </row>
    <row r="303">
      <c r="G303" s="24" t="n"/>
      <c r="H303" s="24" t="n"/>
      <c r="I303" s="24" t="n"/>
    </row>
    <row r="304">
      <c r="G304" s="24" t="n"/>
      <c r="H304" s="24" t="n"/>
      <c r="I304" s="24" t="n"/>
    </row>
    <row r="305">
      <c r="G305" s="24" t="n"/>
      <c r="H305" s="24" t="n"/>
      <c r="I305" s="24" t="n"/>
    </row>
    <row r="306">
      <c r="G306" s="24" t="n"/>
      <c r="H306" s="24" t="n"/>
      <c r="I306" s="24" t="n"/>
    </row>
    <row r="307">
      <c r="G307" s="24" t="n"/>
      <c r="H307" s="24" t="n"/>
      <c r="I307" s="24" t="n"/>
    </row>
    <row r="308">
      <c r="G308" s="24" t="n"/>
      <c r="H308" s="24" t="n"/>
      <c r="I308" s="24" t="n"/>
    </row>
    <row r="309">
      <c r="G309" s="24" t="n"/>
      <c r="H309" s="24" t="n"/>
      <c r="I309" s="24" t="n"/>
    </row>
    <row r="310">
      <c r="G310" s="24" t="n"/>
      <c r="H310" s="24" t="n"/>
      <c r="I310" s="24" t="n"/>
    </row>
    <row r="311">
      <c r="G311" s="24" t="n"/>
      <c r="H311" s="24" t="n"/>
      <c r="I311" s="24" t="n"/>
    </row>
    <row r="312">
      <c r="G312" s="24" t="n"/>
      <c r="H312" s="24" t="n"/>
      <c r="I312" s="24" t="n"/>
    </row>
    <row r="313">
      <c r="G313" s="24" t="n"/>
      <c r="H313" s="24" t="n"/>
      <c r="I313" s="24" t="n"/>
    </row>
    <row r="314">
      <c r="G314" s="24" t="n"/>
      <c r="H314" s="24" t="n"/>
      <c r="I314" s="24" t="n"/>
    </row>
    <row r="315">
      <c r="G315" s="24" t="n"/>
      <c r="H315" s="24" t="n"/>
      <c r="I315" s="24" t="n"/>
    </row>
    <row r="316">
      <c r="G316" s="24" t="n"/>
      <c r="H316" s="24" t="n"/>
      <c r="I316" s="24" t="n"/>
    </row>
    <row r="317">
      <c r="G317" s="24" t="n"/>
      <c r="H317" s="24" t="n"/>
      <c r="I317" s="24" t="n"/>
    </row>
    <row r="318">
      <c r="G318" s="24" t="n"/>
      <c r="H318" s="24" t="n"/>
      <c r="I318" s="24" t="n"/>
    </row>
    <row r="319">
      <c r="G319" s="24" t="n"/>
      <c r="H319" s="24" t="n"/>
      <c r="I319" s="24" t="n"/>
    </row>
    <row r="320">
      <c r="G320" s="24" t="n"/>
      <c r="H320" s="24" t="n"/>
      <c r="I320" s="24" t="n"/>
    </row>
    <row r="321">
      <c r="G321" s="24" t="n"/>
      <c r="H321" s="24" t="n"/>
      <c r="I321" s="24" t="n"/>
    </row>
    <row r="322">
      <c r="G322" s="24" t="n"/>
      <c r="H322" s="24" t="n"/>
      <c r="I322" s="24" t="n"/>
    </row>
    <row r="323">
      <c r="G323" s="24" t="n"/>
      <c r="H323" s="24" t="n"/>
      <c r="I323" s="24" t="n"/>
    </row>
    <row r="324">
      <c r="G324" s="24" t="n"/>
      <c r="H324" s="24" t="n"/>
      <c r="I324" s="24" t="n"/>
    </row>
    <row r="325">
      <c r="G325" s="24" t="n"/>
      <c r="H325" s="24" t="n"/>
      <c r="I325" s="24" t="n"/>
    </row>
    <row r="326">
      <c r="G326" s="24" t="n"/>
      <c r="H326" s="24" t="n"/>
      <c r="I326" s="24" t="n"/>
    </row>
    <row r="327">
      <c r="G327" s="24" t="n"/>
      <c r="H327" s="24" t="n"/>
      <c r="I327" s="24" t="n"/>
    </row>
    <row r="328">
      <c r="G328" s="24" t="n"/>
      <c r="H328" s="24" t="n"/>
      <c r="I328" s="24" t="n"/>
    </row>
    <row r="329">
      <c r="G329" s="24" t="n"/>
      <c r="H329" s="24" t="n"/>
      <c r="I329" s="24" t="n"/>
    </row>
    <row r="330">
      <c r="G330" s="24" t="n"/>
      <c r="H330" s="24" t="n"/>
      <c r="I330" s="24" t="n"/>
    </row>
    <row r="331">
      <c r="G331" s="24" t="n"/>
      <c r="H331" s="24" t="n"/>
      <c r="I331" s="24" t="n"/>
    </row>
    <row r="332">
      <c r="G332" s="24" t="n"/>
      <c r="H332" s="24" t="n"/>
      <c r="I332" s="24" t="n"/>
    </row>
    <row r="333">
      <c r="G333" s="24" t="n"/>
      <c r="H333" s="24" t="n"/>
      <c r="I333" s="24" t="n"/>
    </row>
    <row r="334">
      <c r="G334" s="24" t="n"/>
      <c r="H334" s="24" t="n"/>
      <c r="I334" s="24" t="n"/>
    </row>
    <row r="335">
      <c r="G335" s="24" t="n"/>
      <c r="H335" s="24" t="n"/>
      <c r="I335" s="24" t="n"/>
    </row>
    <row r="336">
      <c r="G336" s="24" t="n"/>
      <c r="H336" s="24" t="n"/>
      <c r="I336" s="24" t="n"/>
    </row>
    <row r="337">
      <c r="G337" s="24" t="n"/>
      <c r="H337" s="24" t="n"/>
      <c r="I337" s="24" t="n"/>
    </row>
    <row r="338">
      <c r="G338" s="24" t="n"/>
      <c r="H338" s="24" t="n"/>
      <c r="I338" s="24" t="n"/>
    </row>
    <row r="339">
      <c r="G339" s="24" t="n"/>
      <c r="H339" s="24" t="n"/>
      <c r="I339" s="24" t="n"/>
    </row>
    <row r="340">
      <c r="G340" s="24" t="n"/>
      <c r="H340" s="24" t="n"/>
      <c r="I340" s="24" t="n"/>
    </row>
    <row r="341">
      <c r="G341" s="24" t="n"/>
      <c r="H341" s="24" t="n"/>
      <c r="I341" s="24" t="n"/>
    </row>
    <row r="342">
      <c r="G342" s="24" t="n"/>
      <c r="H342" s="24" t="n"/>
      <c r="I342" s="24" t="n"/>
    </row>
    <row r="343">
      <c r="G343" s="24" t="n"/>
      <c r="H343" s="24" t="n"/>
      <c r="I343" s="24" t="n"/>
    </row>
    <row r="344">
      <c r="G344" s="24" t="n"/>
      <c r="H344" s="24" t="n"/>
      <c r="I344" s="24" t="n"/>
    </row>
    <row r="345">
      <c r="G345" s="24" t="n"/>
      <c r="H345" s="24" t="n"/>
      <c r="I345" s="24" t="n"/>
    </row>
    <row r="346">
      <c r="G346" s="24" t="n"/>
      <c r="H346" s="24" t="n"/>
      <c r="I346" s="24" t="n"/>
    </row>
    <row r="347">
      <c r="G347" s="24" t="n"/>
      <c r="H347" s="24" t="n"/>
      <c r="I347" s="24" t="n"/>
    </row>
    <row r="348">
      <c r="G348" s="24" t="n"/>
      <c r="H348" s="24" t="n"/>
      <c r="I348" s="24" t="n"/>
    </row>
    <row r="349">
      <c r="G349" s="24" t="n"/>
      <c r="H349" s="24" t="n"/>
      <c r="I349" s="24" t="n"/>
    </row>
    <row r="350">
      <c r="G350" s="24" t="n"/>
      <c r="H350" s="24" t="n"/>
      <c r="I350" s="24" t="n"/>
    </row>
    <row r="351">
      <c r="G351" s="24" t="n"/>
      <c r="H351" s="24" t="n"/>
      <c r="I351" s="24" t="n"/>
    </row>
    <row r="352">
      <c r="G352" s="24" t="n"/>
      <c r="H352" s="24" t="n"/>
      <c r="I352" s="24" t="n"/>
    </row>
    <row r="353">
      <c r="G353" s="24" t="n"/>
      <c r="H353" s="24" t="n"/>
      <c r="I353" s="24" t="n"/>
    </row>
    <row r="354">
      <c r="G354" s="24" t="n"/>
      <c r="H354" s="24" t="n"/>
      <c r="I354" s="24" t="n"/>
    </row>
    <row r="355">
      <c r="G355" s="24" t="n"/>
      <c r="H355" s="24" t="n"/>
      <c r="I355" s="24" t="n"/>
    </row>
    <row r="356">
      <c r="G356" s="24" t="n"/>
      <c r="H356" s="24" t="n"/>
      <c r="I356" s="24" t="n"/>
    </row>
    <row r="357">
      <c r="G357" s="24" t="n"/>
      <c r="H357" s="24" t="n"/>
      <c r="I357" s="24" t="n"/>
    </row>
    <row r="358">
      <c r="G358" s="24" t="n"/>
      <c r="H358" s="24" t="n"/>
      <c r="I358" s="24" t="n"/>
    </row>
    <row r="359">
      <c r="G359" s="24" t="n"/>
      <c r="H359" s="24" t="n"/>
      <c r="I359" s="24" t="n"/>
    </row>
    <row r="360">
      <c r="G360" s="24" t="n"/>
      <c r="H360" s="24" t="n"/>
      <c r="I360" s="24" t="n"/>
    </row>
    <row r="361">
      <c r="G361" s="24" t="n"/>
      <c r="H361" s="24" t="n"/>
      <c r="I361" s="24" t="n"/>
    </row>
    <row r="362">
      <c r="G362" s="24" t="n"/>
      <c r="H362" s="24" t="n"/>
      <c r="I362" s="24" t="n"/>
    </row>
    <row r="363">
      <c r="G363" s="24" t="n"/>
      <c r="H363" s="24" t="n"/>
      <c r="I363" s="24" t="n"/>
    </row>
    <row r="364">
      <c r="G364" s="24" t="n"/>
      <c r="H364" s="24" t="n"/>
      <c r="I364" s="24" t="n"/>
    </row>
    <row r="365">
      <c r="G365" s="24" t="n"/>
      <c r="H365" s="24" t="n"/>
      <c r="I365" s="24" t="n"/>
    </row>
    <row r="366">
      <c r="G366" s="24" t="n"/>
      <c r="H366" s="24" t="n"/>
      <c r="I366" s="24" t="n"/>
    </row>
    <row r="367">
      <c r="G367" s="24" t="n"/>
      <c r="H367" s="24" t="n"/>
      <c r="I367" s="24" t="n"/>
    </row>
    <row r="368">
      <c r="G368" s="24" t="n"/>
      <c r="H368" s="24" t="n"/>
      <c r="I368" s="24" t="n"/>
    </row>
    <row r="369">
      <c r="G369" s="24" t="n"/>
      <c r="H369" s="24" t="n"/>
      <c r="I369" s="24" t="n"/>
    </row>
    <row r="370">
      <c r="G370" s="24" t="n"/>
      <c r="H370" s="24" t="n"/>
      <c r="I370" s="24" t="n"/>
    </row>
    <row r="371">
      <c r="G371" s="24" t="n"/>
      <c r="H371" s="24" t="n"/>
      <c r="I371" s="24" t="n"/>
    </row>
    <row r="372">
      <c r="G372" s="24" t="n"/>
      <c r="H372" s="24" t="n"/>
      <c r="I372" s="24" t="n"/>
    </row>
    <row r="373">
      <c r="G373" s="24" t="n"/>
      <c r="H373" s="24" t="n"/>
      <c r="I373" s="24" t="n"/>
    </row>
    <row r="374">
      <c r="G374" s="24" t="n"/>
      <c r="H374" s="24" t="n"/>
      <c r="I374" s="24" t="n"/>
    </row>
    <row r="375">
      <c r="G375" s="24" t="n"/>
      <c r="H375" s="24" t="n"/>
      <c r="I375" s="24" t="n"/>
    </row>
    <row r="376">
      <c r="G376" s="24" t="n"/>
      <c r="H376" s="24" t="n"/>
      <c r="I376" s="24" t="n"/>
    </row>
    <row r="377">
      <c r="G377" s="24" t="n"/>
      <c r="H377" s="24" t="n"/>
      <c r="I377" s="24" t="n"/>
    </row>
    <row r="378">
      <c r="G378" s="24" t="n"/>
      <c r="H378" s="24" t="n"/>
      <c r="I378" s="24" t="n"/>
    </row>
    <row r="379">
      <c r="G379" s="24" t="n"/>
      <c r="H379" s="24" t="n"/>
      <c r="I379" s="24" t="n"/>
    </row>
    <row r="380">
      <c r="G380" s="24" t="n"/>
      <c r="H380" s="24" t="n"/>
      <c r="I380" s="24" t="n"/>
    </row>
    <row r="381">
      <c r="G381" s="24" t="n"/>
      <c r="H381" s="24" t="n"/>
      <c r="I381" s="24" t="n"/>
    </row>
    <row r="382">
      <c r="G382" s="24" t="n"/>
      <c r="H382" s="24" t="n"/>
      <c r="I382" s="24" t="n"/>
    </row>
    <row r="383">
      <c r="G383" s="24" t="n"/>
      <c r="H383" s="24" t="n"/>
      <c r="I383" s="24" t="n"/>
    </row>
    <row r="384">
      <c r="G384" s="24" t="n"/>
      <c r="H384" s="24" t="n"/>
      <c r="I384" s="24" t="n"/>
    </row>
    <row r="385">
      <c r="G385" s="24" t="n"/>
      <c r="H385" s="24" t="n"/>
      <c r="I385" s="24" t="n"/>
    </row>
    <row r="386">
      <c r="G386" s="24" t="n"/>
      <c r="H386" s="24" t="n"/>
      <c r="I386" s="24" t="n"/>
    </row>
    <row r="387">
      <c r="G387" s="24" t="n"/>
      <c r="H387" s="24" t="n"/>
      <c r="I387" s="24" t="n"/>
    </row>
    <row r="388">
      <c r="G388" s="24" t="n"/>
      <c r="H388" s="24" t="n"/>
      <c r="I388" s="24" t="n"/>
    </row>
    <row r="389">
      <c r="G389" s="24" t="n"/>
      <c r="H389" s="24" t="n"/>
      <c r="I389" s="24" t="n"/>
    </row>
    <row r="390">
      <c r="G390" s="24" t="n"/>
      <c r="H390" s="24" t="n"/>
      <c r="I390" s="24" t="n"/>
    </row>
    <row r="391">
      <c r="G391" s="24" t="n"/>
      <c r="H391" s="24" t="n"/>
      <c r="I391" s="24" t="n"/>
    </row>
    <row r="392">
      <c r="G392" s="24" t="n"/>
      <c r="H392" s="24" t="n"/>
      <c r="I392" s="24" t="n"/>
    </row>
    <row r="393">
      <c r="G393" s="24" t="n"/>
      <c r="H393" s="24" t="n"/>
      <c r="I393" s="24" t="n"/>
    </row>
    <row r="394">
      <c r="G394" s="24" t="n"/>
      <c r="H394" s="24" t="n"/>
      <c r="I394" s="24" t="n"/>
    </row>
    <row r="395">
      <c r="G395" s="24" t="n"/>
      <c r="H395" s="24" t="n"/>
      <c r="I395" s="24" t="n"/>
    </row>
    <row r="396">
      <c r="G396" s="24" t="n"/>
      <c r="H396" s="24" t="n"/>
      <c r="I396" s="24" t="n"/>
    </row>
    <row r="397">
      <c r="G397" s="24" t="n"/>
      <c r="H397" s="24" t="n"/>
      <c r="I397" s="24" t="n"/>
    </row>
    <row r="398">
      <c r="G398" s="24" t="n"/>
      <c r="H398" s="24" t="n"/>
      <c r="I398" s="24" t="n"/>
    </row>
    <row r="399">
      <c r="G399" s="24" t="n"/>
      <c r="H399" s="24" t="n"/>
      <c r="I399" s="24" t="n"/>
    </row>
    <row r="400">
      <c r="G400" s="24" t="n"/>
      <c r="H400" s="24" t="n"/>
      <c r="I400" s="24" t="n"/>
    </row>
    <row r="401">
      <c r="G401" s="24" t="n"/>
      <c r="H401" s="24" t="n"/>
      <c r="I401" s="24" t="n"/>
    </row>
    <row r="402">
      <c r="G402" s="24" t="n"/>
      <c r="H402" s="24" t="n"/>
      <c r="I402" s="24" t="n"/>
    </row>
    <row r="403">
      <c r="G403" s="24" t="n"/>
      <c r="H403" s="24" t="n"/>
      <c r="I403" s="24" t="n"/>
    </row>
    <row r="404">
      <c r="G404" s="24" t="n"/>
      <c r="H404" s="24" t="n"/>
      <c r="I404" s="24" t="n"/>
    </row>
    <row r="405">
      <c r="G405" s="24" t="n"/>
      <c r="H405" s="24" t="n"/>
      <c r="I405" s="24" t="n"/>
    </row>
    <row r="406">
      <c r="G406" s="24" t="n"/>
      <c r="H406" s="24" t="n"/>
      <c r="I406" s="24" t="n"/>
    </row>
    <row r="407">
      <c r="G407" s="24" t="n"/>
      <c r="H407" s="24" t="n"/>
      <c r="I407" s="24" t="n"/>
    </row>
    <row r="408">
      <c r="G408" s="24" t="n"/>
      <c r="H408" s="24" t="n"/>
      <c r="I408" s="24" t="n"/>
    </row>
    <row r="409">
      <c r="G409" s="24" t="n"/>
      <c r="H409" s="24" t="n"/>
      <c r="I409" s="24" t="n"/>
    </row>
    <row r="410">
      <c r="G410" s="24" t="n"/>
      <c r="H410" s="24" t="n"/>
      <c r="I410" s="24" t="n"/>
    </row>
    <row r="411">
      <c r="G411" s="24" t="n"/>
      <c r="H411" s="24" t="n"/>
      <c r="I411" s="24" t="n"/>
    </row>
    <row r="412">
      <c r="G412" s="24" t="n"/>
      <c r="H412" s="24" t="n"/>
      <c r="I412" s="24" t="n"/>
    </row>
    <row r="413">
      <c r="G413" s="24" t="n"/>
      <c r="H413" s="24" t="n"/>
      <c r="I413" s="24" t="n"/>
    </row>
    <row r="414">
      <c r="G414" s="24" t="n"/>
      <c r="H414" s="24" t="n"/>
      <c r="I414" s="24" t="n"/>
    </row>
    <row r="415">
      <c r="G415" s="24" t="n"/>
      <c r="H415" s="24" t="n"/>
      <c r="I415" s="24" t="n"/>
    </row>
    <row r="416">
      <c r="G416" s="24" t="n"/>
      <c r="H416" s="24" t="n"/>
      <c r="I416" s="24" t="n"/>
    </row>
    <row r="417">
      <c r="G417" s="24" t="n"/>
      <c r="H417" s="24" t="n"/>
      <c r="I417" s="24" t="n"/>
    </row>
    <row r="418">
      <c r="G418" s="24" t="n"/>
      <c r="H418" s="24" t="n"/>
      <c r="I418" s="24" t="n"/>
    </row>
    <row r="419">
      <c r="G419" s="24" t="n"/>
      <c r="H419" s="24" t="n"/>
      <c r="I419" s="24" t="n"/>
    </row>
    <row r="420">
      <c r="G420" s="24" t="n"/>
      <c r="H420" s="24" t="n"/>
      <c r="I420" s="24" t="n"/>
    </row>
    <row r="421">
      <c r="G421" s="24" t="n"/>
      <c r="H421" s="24" t="n"/>
      <c r="I421" s="24" t="n"/>
    </row>
    <row r="422">
      <c r="G422" s="24" t="n"/>
      <c r="H422" s="24" t="n"/>
      <c r="I422" s="24" t="n"/>
    </row>
    <row r="423">
      <c r="G423" s="24" t="n"/>
      <c r="H423" s="24" t="n"/>
      <c r="I423" s="24" t="n"/>
    </row>
    <row r="424">
      <c r="G424" s="24" t="n"/>
      <c r="H424" s="24" t="n"/>
      <c r="I424" s="24" t="n"/>
    </row>
    <row r="425">
      <c r="G425" s="24" t="n"/>
      <c r="H425" s="24" t="n"/>
      <c r="I425" s="24" t="n"/>
    </row>
    <row r="426">
      <c r="G426" s="24" t="n"/>
      <c r="H426" s="24" t="n"/>
      <c r="I426" s="24" t="n"/>
    </row>
    <row r="427">
      <c r="G427" s="24" t="n"/>
      <c r="H427" s="24" t="n"/>
      <c r="I427" s="24" t="n"/>
    </row>
    <row r="428">
      <c r="G428" s="24" t="n"/>
      <c r="H428" s="24" t="n"/>
      <c r="I428" s="24" t="n"/>
    </row>
    <row r="429">
      <c r="G429" s="24" t="n"/>
      <c r="H429" s="24" t="n"/>
      <c r="I429" s="24" t="n"/>
    </row>
    <row r="430">
      <c r="G430" s="24" t="n"/>
      <c r="H430" s="24" t="n"/>
      <c r="I430" s="24" t="n"/>
    </row>
    <row r="431">
      <c r="G431" s="24" t="n"/>
      <c r="H431" s="24" t="n"/>
      <c r="I431" s="24" t="n"/>
    </row>
    <row r="432">
      <c r="G432" s="24" t="n"/>
      <c r="H432" s="24" t="n"/>
      <c r="I432" s="24" t="n"/>
    </row>
    <row r="433">
      <c r="G433" s="24" t="n"/>
      <c r="H433" s="24" t="n"/>
      <c r="I433" s="24" t="n"/>
    </row>
    <row r="434">
      <c r="G434" s="24" t="n"/>
      <c r="H434" s="24" t="n"/>
      <c r="I434" s="24" t="n"/>
    </row>
    <row r="435">
      <c r="G435" s="24" t="n"/>
      <c r="H435" s="24" t="n"/>
      <c r="I435" s="24" t="n"/>
    </row>
    <row r="436">
      <c r="G436" s="24" t="n"/>
      <c r="H436" s="24" t="n"/>
      <c r="I436" s="24" t="n"/>
    </row>
    <row r="437">
      <c r="G437" s="24" t="n"/>
      <c r="H437" s="24" t="n"/>
      <c r="I437" s="24" t="n"/>
    </row>
    <row r="438">
      <c r="G438" s="24" t="n"/>
      <c r="H438" s="24" t="n"/>
      <c r="I438" s="24" t="n"/>
    </row>
    <row r="439">
      <c r="G439" s="24" t="n"/>
      <c r="H439" s="24" t="n"/>
      <c r="I439" s="24" t="n"/>
    </row>
    <row r="440">
      <c r="G440" s="24" t="n"/>
      <c r="H440" s="24" t="n"/>
      <c r="I440" s="24" t="n"/>
    </row>
    <row r="441">
      <c r="G441" s="24" t="n"/>
      <c r="H441" s="24" t="n"/>
      <c r="I441" s="24" t="n"/>
    </row>
    <row r="442">
      <c r="G442" s="24" t="n"/>
      <c r="H442" s="24" t="n"/>
      <c r="I442" s="24" t="n"/>
    </row>
    <row r="443">
      <c r="G443" s="24" t="n"/>
      <c r="H443" s="24" t="n"/>
      <c r="I443" s="24" t="n"/>
    </row>
    <row r="444">
      <c r="G444" s="24" t="n"/>
      <c r="H444" s="24" t="n"/>
      <c r="I444" s="24" t="n"/>
    </row>
    <row r="445">
      <c r="G445" s="24" t="n"/>
      <c r="H445" s="24" t="n"/>
      <c r="I445" s="24" t="n"/>
    </row>
    <row r="446">
      <c r="G446" s="24" t="n"/>
      <c r="H446" s="24" t="n"/>
      <c r="I446" s="24" t="n"/>
    </row>
    <row r="447">
      <c r="G447" s="24" t="n"/>
      <c r="H447" s="24" t="n"/>
      <c r="I447" s="24" t="n"/>
    </row>
    <row r="448">
      <c r="G448" s="24" t="n"/>
      <c r="H448" s="24" t="n"/>
      <c r="I448" s="24" t="n"/>
    </row>
    <row r="449">
      <c r="G449" s="24" t="n"/>
      <c r="H449" s="24" t="n"/>
      <c r="I449" s="24" t="n"/>
    </row>
    <row r="450">
      <c r="G450" s="24" t="n"/>
      <c r="H450" s="24" t="n"/>
      <c r="I450" s="24" t="n"/>
    </row>
    <row r="451">
      <c r="G451" s="24" t="n"/>
      <c r="H451" s="24" t="n"/>
      <c r="I451" s="24" t="n"/>
    </row>
    <row r="452">
      <c r="G452" s="24" t="n"/>
      <c r="H452" s="24" t="n"/>
      <c r="I452" s="24" t="n"/>
    </row>
    <row r="453">
      <c r="G453" s="24" t="n"/>
      <c r="H453" s="24" t="n"/>
      <c r="I453" s="24" t="n"/>
    </row>
    <row r="454">
      <c r="G454" s="24" t="n"/>
      <c r="H454" s="24" t="n"/>
      <c r="I454" s="24" t="n"/>
    </row>
    <row r="455">
      <c r="G455" s="24" t="n"/>
      <c r="H455" s="24" t="n"/>
      <c r="I455" s="24" t="n"/>
    </row>
    <row r="456">
      <c r="G456" s="24" t="n"/>
      <c r="H456" s="24" t="n"/>
      <c r="I456" s="24" t="n"/>
    </row>
    <row r="457">
      <c r="G457" s="24" t="n"/>
      <c r="H457" s="24" t="n"/>
      <c r="I457" s="24" t="n"/>
    </row>
    <row r="458">
      <c r="G458" s="24" t="n"/>
      <c r="H458" s="24" t="n"/>
      <c r="I458" s="24" t="n"/>
    </row>
    <row r="459">
      <c r="G459" s="24" t="n"/>
      <c r="H459" s="24" t="n"/>
      <c r="I459" s="24" t="n"/>
    </row>
    <row r="460">
      <c r="G460" s="24" t="n"/>
      <c r="H460" s="24" t="n"/>
      <c r="I460" s="24" t="n"/>
    </row>
    <row r="461">
      <c r="G461" s="24" t="n"/>
      <c r="H461" s="24" t="n"/>
      <c r="I461" s="24" t="n"/>
    </row>
    <row r="462">
      <c r="G462" s="24" t="n"/>
      <c r="H462" s="24" t="n"/>
      <c r="I462" s="24" t="n"/>
    </row>
    <row r="463">
      <c r="G463" s="24" t="n"/>
      <c r="H463" s="24" t="n"/>
      <c r="I463" s="24" t="n"/>
    </row>
    <row r="464">
      <c r="G464" s="24" t="n"/>
      <c r="H464" s="24" t="n"/>
      <c r="I464" s="24" t="n"/>
    </row>
    <row r="465">
      <c r="G465" s="24" t="n"/>
      <c r="H465" s="24" t="n"/>
      <c r="I465" s="24" t="n"/>
    </row>
    <row r="466">
      <c r="G466" s="24" t="n"/>
      <c r="H466" s="24" t="n"/>
      <c r="I466" s="24" t="n"/>
    </row>
    <row r="467">
      <c r="G467" s="24" t="n"/>
      <c r="H467" s="24" t="n"/>
      <c r="I467" s="24" t="n"/>
    </row>
    <row r="468">
      <c r="G468" s="24" t="n"/>
      <c r="H468" s="24" t="n"/>
      <c r="I468" s="24" t="n"/>
    </row>
    <row r="469">
      <c r="G469" s="24" t="n"/>
      <c r="H469" s="24" t="n"/>
      <c r="I469" s="24" t="n"/>
    </row>
    <row r="470">
      <c r="G470" s="24" t="n"/>
      <c r="H470" s="24" t="n"/>
      <c r="I470" s="24" t="n"/>
    </row>
    <row r="471">
      <c r="G471" s="24" t="n"/>
      <c r="H471" s="24" t="n"/>
      <c r="I471" s="24" t="n"/>
    </row>
    <row r="472">
      <c r="G472" s="24" t="n"/>
      <c r="H472" s="24" t="n"/>
      <c r="I472" s="24" t="n"/>
    </row>
    <row r="473">
      <c r="G473" s="24" t="n"/>
      <c r="H473" s="24" t="n"/>
      <c r="I473" s="24" t="n"/>
    </row>
    <row r="474">
      <c r="G474" s="24" t="n"/>
      <c r="H474" s="24" t="n"/>
      <c r="I474" s="24" t="n"/>
    </row>
    <row r="475">
      <c r="G475" s="24" t="n"/>
      <c r="H475" s="24" t="n"/>
      <c r="I475" s="24" t="n"/>
    </row>
    <row r="476">
      <c r="G476" s="24" t="n"/>
      <c r="H476" s="24" t="n"/>
      <c r="I476" s="24" t="n"/>
    </row>
    <row r="477">
      <c r="G477" s="24" t="n"/>
      <c r="H477" s="24" t="n"/>
      <c r="I477" s="24" t="n"/>
    </row>
    <row r="478">
      <c r="G478" s="24" t="n"/>
      <c r="H478" s="24" t="n"/>
      <c r="I478" s="24" t="n"/>
    </row>
    <row r="479">
      <c r="G479" s="24" t="n"/>
      <c r="H479" s="24" t="n"/>
      <c r="I479" s="24" t="n"/>
    </row>
    <row r="480">
      <c r="G480" s="24" t="n"/>
      <c r="H480" s="24" t="n"/>
      <c r="I480" s="24" t="n"/>
    </row>
    <row r="481">
      <c r="G481" s="24" t="n"/>
      <c r="H481" s="24" t="n"/>
      <c r="I481" s="24" t="n"/>
    </row>
    <row r="482">
      <c r="G482" s="24" t="n"/>
      <c r="H482" s="24" t="n"/>
      <c r="I482" s="24" t="n"/>
    </row>
    <row r="483">
      <c r="G483" s="24" t="n"/>
      <c r="H483" s="24" t="n"/>
      <c r="I483" s="24" t="n"/>
    </row>
    <row r="484">
      <c r="G484" s="24" t="n"/>
      <c r="H484" s="24" t="n"/>
      <c r="I484" s="24" t="n"/>
    </row>
    <row r="485">
      <c r="G485" s="24" t="n"/>
      <c r="H485" s="24" t="n"/>
      <c r="I485" s="24" t="n"/>
    </row>
    <row r="486">
      <c r="G486" s="24" t="n"/>
      <c r="H486" s="24" t="n"/>
      <c r="I486" s="24" t="n"/>
    </row>
    <row r="487">
      <c r="G487" s="24" t="n"/>
      <c r="H487" s="24" t="n"/>
      <c r="I487" s="24" t="n"/>
    </row>
    <row r="488">
      <c r="G488" s="24" t="n"/>
      <c r="H488" s="24" t="n"/>
      <c r="I488" s="24" t="n"/>
    </row>
    <row r="489">
      <c r="G489" s="24" t="n"/>
      <c r="H489" s="24" t="n"/>
      <c r="I489" s="24" t="n"/>
    </row>
    <row r="490">
      <c r="G490" s="24" t="n"/>
      <c r="H490" s="24" t="n"/>
      <c r="I490" s="24" t="n"/>
    </row>
    <row r="491">
      <c r="G491" s="24" t="n"/>
      <c r="H491" s="24" t="n"/>
      <c r="I491" s="24" t="n"/>
    </row>
    <row r="492">
      <c r="G492" s="24" t="n"/>
      <c r="H492" s="24" t="n"/>
      <c r="I492" s="24" t="n"/>
    </row>
    <row r="493">
      <c r="G493" s="24" t="n"/>
      <c r="H493" s="24" t="n"/>
      <c r="I493" s="24" t="n"/>
    </row>
    <row r="494">
      <c r="G494" s="24" t="n"/>
      <c r="H494" s="24" t="n"/>
      <c r="I494" s="24" t="n"/>
    </row>
    <row r="495">
      <c r="G495" s="24" t="n"/>
      <c r="H495" s="24" t="n"/>
      <c r="I495" s="24" t="n"/>
    </row>
    <row r="496">
      <c r="G496" s="24" t="n"/>
      <c r="H496" s="24" t="n"/>
      <c r="I496" s="24" t="n"/>
    </row>
    <row r="497">
      <c r="G497" s="24" t="n"/>
      <c r="H497" s="24" t="n"/>
      <c r="I497" s="24" t="n"/>
    </row>
    <row r="498">
      <c r="G498" s="24" t="n"/>
      <c r="H498" s="24" t="n"/>
      <c r="I498" s="24" t="n"/>
    </row>
    <row r="499">
      <c r="G499" s="24" t="n"/>
      <c r="H499" s="24" t="n"/>
      <c r="I499" s="24" t="n"/>
    </row>
    <row r="500">
      <c r="G500" s="24" t="n"/>
      <c r="H500" s="24" t="n"/>
      <c r="I500" s="24" t="n"/>
    </row>
    <row r="501">
      <c r="G501" s="24" t="n"/>
      <c r="H501" s="24" t="n"/>
      <c r="I501" s="24" t="n"/>
    </row>
    <row r="502">
      <c r="G502" s="24" t="n"/>
      <c r="H502" s="24" t="n"/>
      <c r="I502" s="24" t="n"/>
    </row>
    <row r="503">
      <c r="G503" s="24" t="n"/>
      <c r="H503" s="24" t="n"/>
      <c r="I503" s="24" t="n"/>
    </row>
    <row r="504">
      <c r="G504" s="24" t="n"/>
      <c r="H504" s="24" t="n"/>
      <c r="I504" s="24" t="n"/>
    </row>
    <row r="505">
      <c r="G505" s="24" t="n"/>
      <c r="H505" s="24" t="n"/>
      <c r="I505" s="24" t="n"/>
    </row>
    <row r="506">
      <c r="G506" s="24" t="n"/>
      <c r="H506" s="24" t="n"/>
      <c r="I506" s="24" t="n"/>
    </row>
    <row r="507">
      <c r="G507" s="24" t="n"/>
      <c r="H507" s="24" t="n"/>
      <c r="I507" s="24" t="n"/>
    </row>
    <row r="508">
      <c r="G508" s="24" t="n"/>
      <c r="H508" s="24" t="n"/>
      <c r="I508" s="24" t="n"/>
    </row>
    <row r="509">
      <c r="G509" s="24" t="n"/>
      <c r="H509" s="24" t="n"/>
      <c r="I509" s="24" t="n"/>
    </row>
    <row r="510">
      <c r="G510" s="24" t="n"/>
      <c r="H510" s="24" t="n"/>
      <c r="I510" s="24" t="n"/>
    </row>
    <row r="511">
      <c r="G511" s="24" t="n"/>
      <c r="H511" s="24" t="n"/>
      <c r="I511" s="24" t="n"/>
    </row>
    <row r="512">
      <c r="G512" s="24" t="n"/>
      <c r="H512" s="24" t="n"/>
      <c r="I512" s="24" t="n"/>
    </row>
    <row r="513">
      <c r="G513" s="24" t="n"/>
      <c r="H513" s="24" t="n"/>
      <c r="I513" s="24" t="n"/>
    </row>
    <row r="514">
      <c r="G514" s="24" t="n"/>
      <c r="H514" s="24" t="n"/>
      <c r="I514" s="24" t="n"/>
    </row>
    <row r="515">
      <c r="G515" s="24" t="n"/>
      <c r="H515" s="24" t="n"/>
      <c r="I515" s="24" t="n"/>
    </row>
    <row r="516">
      <c r="G516" s="24" t="n"/>
      <c r="H516" s="24" t="n"/>
      <c r="I516" s="24" t="n"/>
    </row>
    <row r="517">
      <c r="G517" s="24" t="n"/>
      <c r="H517" s="24" t="n"/>
      <c r="I517" s="24" t="n"/>
    </row>
    <row r="518">
      <c r="G518" s="24" t="n"/>
      <c r="H518" s="24" t="n"/>
      <c r="I518" s="24" t="n"/>
    </row>
    <row r="519">
      <c r="G519" s="24" t="n"/>
      <c r="H519" s="24" t="n"/>
      <c r="I519" s="24" t="n"/>
    </row>
    <row r="520">
      <c r="G520" s="24" t="n"/>
      <c r="H520" s="24" t="n"/>
      <c r="I520" s="24" t="n"/>
    </row>
    <row r="521">
      <c r="G521" s="24" t="n"/>
      <c r="H521" s="24" t="n"/>
      <c r="I521" s="24" t="n"/>
    </row>
    <row r="522">
      <c r="G522" s="24" t="n"/>
      <c r="H522" s="24" t="n"/>
      <c r="I522" s="24" t="n"/>
    </row>
    <row r="523">
      <c r="G523" s="24" t="n"/>
      <c r="H523" s="24" t="n"/>
      <c r="I523" s="24" t="n"/>
    </row>
    <row r="524">
      <c r="G524" s="24" t="n"/>
      <c r="H524" s="24" t="n"/>
      <c r="I524" s="24" t="n"/>
    </row>
    <row r="525">
      <c r="G525" s="24" t="n"/>
      <c r="H525" s="24" t="n"/>
      <c r="I525" s="24" t="n"/>
    </row>
    <row r="526">
      <c r="G526" s="24" t="n"/>
      <c r="H526" s="24" t="n"/>
      <c r="I526" s="24" t="n"/>
    </row>
    <row r="527">
      <c r="G527" s="24" t="n"/>
      <c r="H527" s="24" t="n"/>
      <c r="I527" s="24" t="n"/>
    </row>
    <row r="528">
      <c r="G528" s="24" t="n"/>
      <c r="H528" s="24" t="n"/>
      <c r="I528" s="24" t="n"/>
    </row>
    <row r="529">
      <c r="G529" s="24" t="n"/>
      <c r="H529" s="24" t="n"/>
      <c r="I529" s="24" t="n"/>
    </row>
    <row r="530">
      <c r="G530" s="24" t="n"/>
      <c r="H530" s="24" t="n"/>
      <c r="I530" s="24" t="n"/>
    </row>
    <row r="531">
      <c r="G531" s="24" t="n"/>
      <c r="H531" s="24" t="n"/>
      <c r="I531" s="24" t="n"/>
    </row>
    <row r="532">
      <c r="G532" s="24" t="n"/>
      <c r="H532" s="24" t="n"/>
      <c r="I532" s="24" t="n"/>
    </row>
    <row r="533">
      <c r="G533" s="24" t="n"/>
      <c r="H533" s="24" t="n"/>
      <c r="I533" s="24" t="n"/>
    </row>
    <row r="534">
      <c r="G534" s="24" t="n"/>
      <c r="H534" s="24" t="n"/>
      <c r="I534" s="24" t="n"/>
    </row>
    <row r="535">
      <c r="G535" s="24" t="n"/>
      <c r="H535" s="24" t="n"/>
      <c r="I535" s="24" t="n"/>
    </row>
    <row r="536">
      <c r="G536" s="24" t="n"/>
      <c r="H536" s="24" t="n"/>
      <c r="I536" s="24" t="n"/>
    </row>
    <row r="537">
      <c r="G537" s="24" t="n"/>
      <c r="H537" s="24" t="n"/>
      <c r="I537" s="24" t="n"/>
    </row>
    <row r="538">
      <c r="G538" s="24" t="n"/>
      <c r="H538" s="24" t="n"/>
      <c r="I538" s="24" t="n"/>
    </row>
    <row r="539">
      <c r="G539" s="24" t="n"/>
      <c r="H539" s="24" t="n"/>
      <c r="I539" s="24" t="n"/>
    </row>
    <row r="540">
      <c r="G540" s="24" t="n"/>
      <c r="H540" s="24" t="n"/>
      <c r="I540" s="24" t="n"/>
    </row>
    <row r="541">
      <c r="G541" s="24" t="n"/>
      <c r="H541" s="24" t="n"/>
      <c r="I541" s="24" t="n"/>
    </row>
    <row r="542">
      <c r="G542" s="24" t="n"/>
      <c r="H542" s="24" t="n"/>
      <c r="I542" s="24" t="n"/>
    </row>
    <row r="543">
      <c r="G543" s="24" t="n"/>
      <c r="H543" s="24" t="n"/>
      <c r="I543" s="24" t="n"/>
    </row>
    <row r="544">
      <c r="G544" s="24" t="n"/>
      <c r="H544" s="24" t="n"/>
      <c r="I544" s="24" t="n"/>
    </row>
    <row r="545">
      <c r="G545" s="24" t="n"/>
      <c r="H545" s="24" t="n"/>
      <c r="I545" s="24" t="n"/>
    </row>
    <row r="546">
      <c r="G546" s="24" t="n"/>
      <c r="H546" s="24" t="n"/>
      <c r="I546" s="24" t="n"/>
    </row>
    <row r="547">
      <c r="G547" s="24" t="n"/>
      <c r="H547" s="24" t="n"/>
      <c r="I547" s="24" t="n"/>
    </row>
    <row r="548">
      <c r="G548" s="24" t="n"/>
      <c r="H548" s="24" t="n"/>
      <c r="I548" s="24" t="n"/>
    </row>
    <row r="549">
      <c r="G549" s="24" t="n"/>
      <c r="H549" s="24" t="n"/>
      <c r="I549" s="24" t="n"/>
    </row>
    <row r="550">
      <c r="G550" s="24" t="n"/>
      <c r="H550" s="24" t="n"/>
      <c r="I550" s="24" t="n"/>
    </row>
    <row r="551">
      <c r="G551" s="24" t="n"/>
      <c r="H551" s="24" t="n"/>
      <c r="I551" s="24" t="n"/>
    </row>
    <row r="552">
      <c r="G552" s="24" t="n"/>
      <c r="H552" s="24" t="n"/>
      <c r="I552" s="24" t="n"/>
    </row>
    <row r="553">
      <c r="G553" s="24" t="n"/>
      <c r="H553" s="24" t="n"/>
      <c r="I553" s="24" t="n"/>
    </row>
    <row r="554">
      <c r="G554" s="24" t="n"/>
      <c r="H554" s="24" t="n"/>
      <c r="I554" s="24" t="n"/>
    </row>
    <row r="555">
      <c r="G555" s="24" t="n"/>
      <c r="H555" s="24" t="n"/>
      <c r="I555" s="24" t="n"/>
    </row>
    <row r="556">
      <c r="G556" s="24" t="n"/>
      <c r="H556" s="24" t="n"/>
      <c r="I556" s="24" t="n"/>
    </row>
    <row r="557">
      <c r="G557" s="24" t="n"/>
      <c r="H557" s="24" t="n"/>
      <c r="I557" s="24" t="n"/>
    </row>
    <row r="558">
      <c r="G558" s="24" t="n"/>
      <c r="H558" s="24" t="n"/>
      <c r="I558" s="24" t="n"/>
    </row>
    <row r="559">
      <c r="G559" s="24" t="n"/>
      <c r="H559" s="24" t="n"/>
      <c r="I559" s="24" t="n"/>
    </row>
    <row r="560">
      <c r="G560" s="24" t="n"/>
      <c r="H560" s="24" t="n"/>
      <c r="I560" s="24" t="n"/>
    </row>
    <row r="561">
      <c r="G561" s="24" t="n"/>
      <c r="H561" s="24" t="n"/>
      <c r="I561" s="24" t="n"/>
    </row>
    <row r="562">
      <c r="G562" s="24" t="n"/>
      <c r="H562" s="24" t="n"/>
      <c r="I562" s="24" t="n"/>
    </row>
    <row r="563">
      <c r="G563" s="24" t="n"/>
      <c r="H563" s="24" t="n"/>
      <c r="I563" s="24" t="n"/>
    </row>
    <row r="564">
      <c r="G564" s="24" t="n"/>
      <c r="H564" s="24" t="n"/>
      <c r="I564" s="24" t="n"/>
    </row>
    <row r="565">
      <c r="G565" s="24" t="n"/>
      <c r="H565" s="24" t="n"/>
      <c r="I565" s="24" t="n"/>
    </row>
    <row r="566">
      <c r="G566" s="24" t="n"/>
      <c r="H566" s="24" t="n"/>
      <c r="I566" s="24" t="n"/>
    </row>
    <row r="567">
      <c r="G567" s="24" t="n"/>
      <c r="H567" s="24" t="n"/>
      <c r="I567" s="24" t="n"/>
    </row>
    <row r="568">
      <c r="G568" s="24" t="n"/>
      <c r="H568" s="24" t="n"/>
      <c r="I568" s="24" t="n"/>
    </row>
    <row r="569">
      <c r="G569" s="24" t="n"/>
      <c r="H569" s="24" t="n"/>
      <c r="I569" s="24" t="n"/>
    </row>
    <row r="570">
      <c r="G570" s="24" t="n"/>
      <c r="H570" s="24" t="n"/>
      <c r="I570" s="24" t="n"/>
    </row>
    <row r="571">
      <c r="G571" s="24" t="n"/>
      <c r="H571" s="24" t="n"/>
      <c r="I571" s="24" t="n"/>
    </row>
    <row r="572">
      <c r="G572" s="24" t="n"/>
      <c r="H572" s="24" t="n"/>
      <c r="I572" s="24" t="n"/>
    </row>
    <row r="573">
      <c r="G573" s="24" t="n"/>
      <c r="H573" s="24" t="n"/>
      <c r="I573" s="24" t="n"/>
    </row>
    <row r="574">
      <c r="G574" s="24" t="n"/>
      <c r="H574" s="24" t="n"/>
      <c r="I574" s="24" t="n"/>
    </row>
    <row r="575">
      <c r="G575" s="24" t="n"/>
      <c r="H575" s="24" t="n"/>
      <c r="I575" s="24" t="n"/>
    </row>
    <row r="576">
      <c r="G576" s="24" t="n"/>
      <c r="H576" s="24" t="n"/>
      <c r="I576" s="24" t="n"/>
    </row>
    <row r="577">
      <c r="G577" s="24" t="n"/>
      <c r="H577" s="24" t="n"/>
      <c r="I577" s="24" t="n"/>
    </row>
    <row r="578">
      <c r="G578" s="24" t="n"/>
      <c r="H578" s="24" t="n"/>
      <c r="I578" s="24" t="n"/>
    </row>
    <row r="579">
      <c r="G579" s="24" t="n"/>
      <c r="H579" s="24" t="n"/>
      <c r="I579" s="24" t="n"/>
    </row>
    <row r="580">
      <c r="G580" s="24" t="n"/>
      <c r="H580" s="24" t="n"/>
      <c r="I580" s="24" t="n"/>
    </row>
    <row r="581">
      <c r="G581" s="24" t="n"/>
      <c r="H581" s="24" t="n"/>
      <c r="I581" s="24" t="n"/>
    </row>
    <row r="582">
      <c r="G582" s="24" t="n"/>
      <c r="H582" s="24" t="n"/>
      <c r="I582" s="24" t="n"/>
    </row>
    <row r="583">
      <c r="G583" s="24" t="n"/>
      <c r="H583" s="24" t="n"/>
      <c r="I583" s="24" t="n"/>
    </row>
    <row r="584">
      <c r="G584" s="24" t="n"/>
      <c r="H584" s="24" t="n"/>
      <c r="I584" s="24" t="n"/>
    </row>
    <row r="585">
      <c r="G585" s="24" t="n"/>
      <c r="H585" s="24" t="n"/>
      <c r="I585" s="24" t="n"/>
    </row>
    <row r="586">
      <c r="G586" s="24" t="n"/>
      <c r="H586" s="24" t="n"/>
      <c r="I586" s="24" t="n"/>
    </row>
    <row r="587">
      <c r="G587" s="24" t="n"/>
      <c r="H587" s="24" t="n"/>
      <c r="I587" s="24" t="n"/>
    </row>
    <row r="588">
      <c r="G588" s="24" t="n"/>
      <c r="H588" s="24" t="n"/>
      <c r="I588" s="24" t="n"/>
    </row>
    <row r="589">
      <c r="G589" s="24" t="n"/>
      <c r="H589" s="24" t="n"/>
      <c r="I589" s="24" t="n"/>
    </row>
    <row r="590">
      <c r="G590" s="24" t="n"/>
      <c r="H590" s="24" t="n"/>
      <c r="I590" s="24" t="n"/>
    </row>
    <row r="591">
      <c r="G591" s="24" t="n"/>
      <c r="H591" s="24" t="n"/>
      <c r="I591" s="24" t="n"/>
    </row>
    <row r="592">
      <c r="G592" s="24" t="n"/>
      <c r="H592" s="24" t="n"/>
      <c r="I592" s="24" t="n"/>
    </row>
    <row r="593">
      <c r="G593" s="24" t="n"/>
      <c r="H593" s="24" t="n"/>
      <c r="I593" s="24" t="n"/>
    </row>
    <row r="594">
      <c r="G594" s="24" t="n"/>
      <c r="H594" s="24" t="n"/>
      <c r="I594" s="24" t="n"/>
    </row>
    <row r="595">
      <c r="G595" s="24" t="n"/>
      <c r="H595" s="24" t="n"/>
      <c r="I595" s="24" t="n"/>
    </row>
    <row r="596">
      <c r="G596" s="24" t="n"/>
      <c r="H596" s="24" t="n"/>
      <c r="I596" s="24" t="n"/>
    </row>
    <row r="597">
      <c r="G597" s="24" t="n"/>
      <c r="H597" s="24" t="n"/>
      <c r="I597" s="24" t="n"/>
    </row>
    <row r="598">
      <c r="G598" s="24" t="n"/>
      <c r="H598" s="24" t="n"/>
      <c r="I598" s="24" t="n"/>
    </row>
    <row r="599">
      <c r="G599" s="24" t="n"/>
      <c r="H599" s="24" t="n"/>
      <c r="I599" s="24" t="n"/>
    </row>
    <row r="600">
      <c r="G600" s="24" t="n"/>
      <c r="H600" s="24" t="n"/>
      <c r="I600" s="24" t="n"/>
    </row>
    <row r="601">
      <c r="G601" s="24" t="n"/>
      <c r="H601" s="24" t="n"/>
      <c r="I601" s="24" t="n"/>
    </row>
    <row r="602">
      <c r="G602" s="24" t="n"/>
      <c r="H602" s="24" t="n"/>
      <c r="I602" s="24" t="n"/>
    </row>
    <row r="603">
      <c r="G603" s="24" t="n"/>
      <c r="H603" s="24" t="n"/>
      <c r="I603" s="24" t="n"/>
    </row>
    <row r="604">
      <c r="G604" s="24" t="n"/>
      <c r="H604" s="24" t="n"/>
      <c r="I604" s="24" t="n"/>
    </row>
    <row r="605">
      <c r="G605" s="24" t="n"/>
      <c r="H605" s="24" t="n"/>
      <c r="I605" s="24" t="n"/>
    </row>
    <row r="606">
      <c r="G606" s="24" t="n"/>
      <c r="H606" s="24" t="n"/>
      <c r="I606" s="24" t="n"/>
    </row>
    <row r="607">
      <c r="G607" s="24" t="n"/>
      <c r="H607" s="24" t="n"/>
      <c r="I607" s="24" t="n"/>
    </row>
    <row r="608">
      <c r="G608" s="24" t="n"/>
      <c r="H608" s="24" t="n"/>
      <c r="I608" s="24" t="n"/>
    </row>
    <row r="609">
      <c r="G609" s="24" t="n"/>
      <c r="H609" s="24" t="n"/>
      <c r="I609" s="24" t="n"/>
    </row>
    <row r="610">
      <c r="G610" s="24" t="n"/>
      <c r="H610" s="24" t="n"/>
      <c r="I610" s="24" t="n"/>
    </row>
    <row r="611">
      <c r="G611" s="24" t="n"/>
      <c r="H611" s="24" t="n"/>
      <c r="I611" s="24" t="n"/>
    </row>
    <row r="612">
      <c r="G612" s="24" t="n"/>
      <c r="H612" s="24" t="n"/>
      <c r="I612" s="24" t="n"/>
    </row>
    <row r="613">
      <c r="G613" s="24" t="n"/>
      <c r="H613" s="24" t="n"/>
      <c r="I613" s="24" t="n"/>
    </row>
    <row r="614">
      <c r="G614" s="24" t="n"/>
      <c r="H614" s="24" t="n"/>
      <c r="I614" s="24" t="n"/>
    </row>
    <row r="615">
      <c r="G615" s="24" t="n"/>
      <c r="H615" s="24" t="n"/>
      <c r="I615" s="24" t="n"/>
    </row>
    <row r="616">
      <c r="G616" s="24" t="n"/>
      <c r="H616" s="24" t="n"/>
      <c r="I616" s="24" t="n"/>
    </row>
    <row r="617">
      <c r="G617" s="24" t="n"/>
      <c r="H617" s="24" t="n"/>
      <c r="I617" s="24" t="n"/>
    </row>
    <row r="618">
      <c r="G618" s="24" t="n"/>
      <c r="H618" s="24" t="n"/>
      <c r="I618" s="24" t="n"/>
    </row>
    <row r="619">
      <c r="G619" s="24" t="n"/>
      <c r="H619" s="24" t="n"/>
      <c r="I619" s="24" t="n"/>
    </row>
    <row r="620">
      <c r="G620" s="24" t="n"/>
      <c r="H620" s="24" t="n"/>
      <c r="I620" s="24" t="n"/>
    </row>
    <row r="621">
      <c r="G621" s="24" t="n"/>
      <c r="H621" s="24" t="n"/>
      <c r="I621" s="24" t="n"/>
    </row>
    <row r="622">
      <c r="G622" s="24" t="n"/>
      <c r="H622" s="24" t="n"/>
      <c r="I622" s="24" t="n"/>
    </row>
    <row r="623">
      <c r="G623" s="24" t="n"/>
      <c r="H623" s="24" t="n"/>
      <c r="I623" s="24" t="n"/>
    </row>
    <row r="624">
      <c r="G624" s="24" t="n"/>
      <c r="H624" s="24" t="n"/>
      <c r="I624" s="24" t="n"/>
    </row>
    <row r="625">
      <c r="G625" s="24" t="n"/>
      <c r="H625" s="24" t="n"/>
      <c r="I625" s="24" t="n"/>
    </row>
    <row r="626">
      <c r="G626" s="24" t="n"/>
      <c r="H626" s="24" t="n"/>
      <c r="I626" s="24" t="n"/>
    </row>
    <row r="627">
      <c r="G627" s="24" t="n"/>
      <c r="H627" s="24" t="n"/>
      <c r="I627" s="24" t="n"/>
    </row>
    <row r="628">
      <c r="G628" s="24" t="n"/>
      <c r="H628" s="24" t="n"/>
      <c r="I628" s="24" t="n"/>
    </row>
    <row r="629">
      <c r="G629" s="24" t="n"/>
      <c r="H629" s="24" t="n"/>
      <c r="I629" s="24" t="n"/>
    </row>
    <row r="630">
      <c r="G630" s="24" t="n"/>
      <c r="H630" s="24" t="n"/>
      <c r="I630" s="24" t="n"/>
    </row>
    <row r="631">
      <c r="G631" s="24" t="n"/>
      <c r="H631" s="24" t="n"/>
      <c r="I631" s="24" t="n"/>
    </row>
    <row r="632">
      <c r="G632" s="24" t="n"/>
      <c r="H632" s="24" t="n"/>
      <c r="I632" s="24" t="n"/>
    </row>
    <row r="633">
      <c r="G633" s="24" t="n"/>
      <c r="H633" s="24" t="n"/>
      <c r="I633" s="24" t="n"/>
    </row>
    <row r="634">
      <c r="G634" s="24" t="n"/>
      <c r="H634" s="24" t="n"/>
      <c r="I634" s="24" t="n"/>
    </row>
    <row r="635">
      <c r="G635" s="24" t="n"/>
      <c r="H635" s="24" t="n"/>
      <c r="I635" s="24" t="n"/>
    </row>
    <row r="636">
      <c r="G636" s="24" t="n"/>
      <c r="H636" s="24" t="n"/>
      <c r="I636" s="24" t="n"/>
    </row>
    <row r="637">
      <c r="G637" s="24" t="n"/>
      <c r="H637" s="24" t="n"/>
      <c r="I637" s="24" t="n"/>
    </row>
    <row r="638">
      <c r="G638" s="24" t="n"/>
      <c r="H638" s="24" t="n"/>
      <c r="I638" s="24" t="n"/>
    </row>
    <row r="639">
      <c r="G639" s="24" t="n"/>
      <c r="H639" s="24" t="n"/>
      <c r="I639" s="24" t="n"/>
    </row>
    <row r="640">
      <c r="G640" s="24" t="n"/>
      <c r="H640" s="24" t="n"/>
      <c r="I640" s="24" t="n"/>
    </row>
    <row r="641">
      <c r="G641" s="24" t="n"/>
      <c r="H641" s="24" t="n"/>
      <c r="I641" s="24" t="n"/>
    </row>
    <row r="642">
      <c r="G642" s="24" t="n"/>
      <c r="H642" s="24" t="n"/>
      <c r="I642" s="24" t="n"/>
    </row>
    <row r="643">
      <c r="G643" s="24" t="n"/>
      <c r="H643" s="24" t="n"/>
      <c r="I643" s="24" t="n"/>
    </row>
    <row r="644">
      <c r="G644" s="24" t="n"/>
      <c r="H644" s="24" t="n"/>
      <c r="I644" s="24" t="n"/>
    </row>
    <row r="645">
      <c r="G645" s="24" t="n"/>
      <c r="H645" s="24" t="n"/>
      <c r="I645" s="24" t="n"/>
    </row>
    <row r="646">
      <c r="G646" s="24" t="n"/>
      <c r="H646" s="24" t="n"/>
      <c r="I646" s="24" t="n"/>
    </row>
    <row r="647">
      <c r="G647" s="24" t="n"/>
      <c r="H647" s="24" t="n"/>
      <c r="I647" s="24" t="n"/>
    </row>
    <row r="648">
      <c r="G648" s="24" t="n"/>
      <c r="H648" s="24" t="n"/>
      <c r="I648" s="24" t="n"/>
    </row>
    <row r="649">
      <c r="G649" s="24" t="n"/>
      <c r="H649" s="24" t="n"/>
      <c r="I649" s="24" t="n"/>
    </row>
    <row r="650">
      <c r="G650" s="24" t="n"/>
      <c r="H650" s="24" t="n"/>
      <c r="I650" s="24" t="n"/>
    </row>
    <row r="651">
      <c r="G651" s="24" t="n"/>
      <c r="H651" s="24" t="n"/>
      <c r="I651" s="24" t="n"/>
    </row>
    <row r="652">
      <c r="G652" s="24" t="n"/>
      <c r="H652" s="24" t="n"/>
      <c r="I652" s="24" t="n"/>
    </row>
    <row r="653">
      <c r="G653" s="24" t="n"/>
      <c r="H653" s="24" t="n"/>
      <c r="I653" s="24" t="n"/>
    </row>
    <row r="654">
      <c r="G654" s="24" t="n"/>
      <c r="H654" s="24" t="n"/>
      <c r="I654" s="24" t="n"/>
    </row>
    <row r="655">
      <c r="G655" s="24" t="n"/>
      <c r="H655" s="24" t="n"/>
      <c r="I655" s="24" t="n"/>
    </row>
    <row r="656">
      <c r="G656" s="24" t="n"/>
      <c r="H656" s="24" t="n"/>
      <c r="I656" s="24" t="n"/>
    </row>
    <row r="657">
      <c r="G657" s="24" t="n"/>
      <c r="H657" s="24" t="n"/>
      <c r="I657" s="24" t="n"/>
    </row>
    <row r="658">
      <c r="G658" s="24" t="n"/>
      <c r="H658" s="24" t="n"/>
      <c r="I658" s="24" t="n"/>
    </row>
    <row r="659">
      <c r="G659" s="24" t="n"/>
      <c r="H659" s="24" t="n"/>
      <c r="I659" s="24" t="n"/>
    </row>
    <row r="660">
      <c r="G660" s="24" t="n"/>
      <c r="H660" s="24" t="n"/>
      <c r="I660" s="24" t="n"/>
    </row>
    <row r="661">
      <c r="G661" s="24" t="n"/>
      <c r="H661" s="24" t="n"/>
      <c r="I661" s="24" t="n"/>
    </row>
    <row r="662">
      <c r="G662" s="24" t="n"/>
      <c r="H662" s="24" t="n"/>
      <c r="I662" s="24" t="n"/>
    </row>
    <row r="663">
      <c r="G663" s="24" t="n"/>
      <c r="H663" s="24" t="n"/>
      <c r="I663" s="24" t="n"/>
    </row>
    <row r="664">
      <c r="G664" s="24" t="n"/>
      <c r="H664" s="24" t="n"/>
      <c r="I664" s="24" t="n"/>
    </row>
    <row r="665">
      <c r="G665" s="24" t="n"/>
      <c r="H665" s="24" t="n"/>
      <c r="I665" s="24" t="n"/>
    </row>
    <row r="666">
      <c r="G666" s="24" t="n"/>
      <c r="H666" s="24" t="n"/>
      <c r="I666" s="24" t="n"/>
    </row>
    <row r="667">
      <c r="G667" s="24" t="n"/>
      <c r="H667" s="24" t="n"/>
      <c r="I667" s="24" t="n"/>
    </row>
    <row r="668">
      <c r="G668" s="24" t="n"/>
      <c r="H668" s="24" t="n"/>
      <c r="I668" s="24" t="n"/>
    </row>
    <row r="669">
      <c r="G669" s="24" t="n"/>
      <c r="H669" s="24" t="n"/>
      <c r="I669" s="24" t="n"/>
    </row>
    <row r="670">
      <c r="G670" s="24" t="n"/>
      <c r="H670" s="24" t="n"/>
      <c r="I670" s="24" t="n"/>
    </row>
    <row r="671">
      <c r="G671" s="24" t="n"/>
      <c r="H671" s="24" t="n"/>
      <c r="I671" s="24" t="n"/>
    </row>
    <row r="672">
      <c r="G672" s="24" t="n"/>
      <c r="H672" s="24" t="n"/>
      <c r="I672" s="24" t="n"/>
    </row>
    <row r="673">
      <c r="G673" s="24" t="n"/>
      <c r="H673" s="24" t="n"/>
      <c r="I673" s="24" t="n"/>
    </row>
    <row r="674">
      <c r="G674" s="24" t="n"/>
      <c r="H674" s="24" t="n"/>
      <c r="I674" s="24" t="n"/>
    </row>
    <row r="675">
      <c r="G675" s="24" t="n"/>
      <c r="H675" s="24" t="n"/>
      <c r="I675" s="24" t="n"/>
    </row>
    <row r="676">
      <c r="G676" s="24" t="n"/>
      <c r="H676" s="24" t="n"/>
      <c r="I676" s="24" t="n"/>
    </row>
    <row r="677">
      <c r="G677" s="24" t="n"/>
      <c r="H677" s="24" t="n"/>
      <c r="I677" s="24" t="n"/>
    </row>
    <row r="678">
      <c r="G678" s="24" t="n"/>
      <c r="H678" s="24" t="n"/>
      <c r="I678" s="24" t="n"/>
    </row>
    <row r="679">
      <c r="G679" s="24" t="n"/>
      <c r="H679" s="24" t="n"/>
      <c r="I679" s="24" t="n"/>
    </row>
    <row r="680">
      <c r="G680" s="24" t="n"/>
      <c r="H680" s="24" t="n"/>
      <c r="I680" s="24" t="n"/>
    </row>
    <row r="681">
      <c r="G681" s="24" t="n"/>
      <c r="H681" s="24" t="n"/>
      <c r="I681" s="24" t="n"/>
    </row>
    <row r="682">
      <c r="G682" s="24" t="n"/>
      <c r="H682" s="24" t="n"/>
      <c r="I682" s="24" t="n"/>
    </row>
    <row r="683">
      <c r="G683" s="24" t="n"/>
      <c r="H683" s="24" t="n"/>
      <c r="I683" s="24" t="n"/>
    </row>
    <row r="684">
      <c r="G684" s="24" t="n"/>
      <c r="H684" s="24" t="n"/>
      <c r="I684" s="24" t="n"/>
    </row>
    <row r="685">
      <c r="G685" s="24" t="n"/>
      <c r="H685" s="24" t="n"/>
      <c r="I685" s="24" t="n"/>
    </row>
    <row r="686">
      <c r="G686" s="24" t="n"/>
      <c r="H686" s="24" t="n"/>
      <c r="I686" s="24" t="n"/>
    </row>
    <row r="687">
      <c r="G687" s="24" t="n"/>
      <c r="H687" s="24" t="n"/>
      <c r="I687" s="24" t="n"/>
    </row>
    <row r="688">
      <c r="G688" s="24" t="n"/>
      <c r="H688" s="24" t="n"/>
      <c r="I688" s="24" t="n"/>
    </row>
    <row r="689">
      <c r="G689" s="24" t="n"/>
      <c r="H689" s="24" t="n"/>
      <c r="I689" s="24" t="n"/>
    </row>
    <row r="690">
      <c r="G690" s="24" t="n"/>
      <c r="H690" s="24" t="n"/>
      <c r="I690" s="24" t="n"/>
    </row>
    <row r="691">
      <c r="G691" s="24" t="n"/>
      <c r="H691" s="24" t="n"/>
      <c r="I691" s="24" t="n"/>
    </row>
    <row r="692">
      <c r="G692" s="24" t="n"/>
      <c r="H692" s="24" t="n"/>
      <c r="I692" s="24" t="n"/>
    </row>
    <row r="693">
      <c r="G693" s="24" t="n"/>
      <c r="H693" s="24" t="n"/>
      <c r="I693" s="24" t="n"/>
    </row>
    <row r="694">
      <c r="G694" s="24" t="n"/>
      <c r="H694" s="24" t="n"/>
      <c r="I694" s="24" t="n"/>
    </row>
    <row r="695">
      <c r="G695" s="24" t="n"/>
      <c r="H695" s="24" t="n"/>
      <c r="I695" s="24" t="n"/>
    </row>
    <row r="696">
      <c r="G696" s="24" t="n"/>
      <c r="H696" s="24" t="n"/>
      <c r="I696" s="24" t="n"/>
    </row>
    <row r="697">
      <c r="G697" s="24" t="n"/>
      <c r="H697" s="24" t="n"/>
      <c r="I697" s="24" t="n"/>
    </row>
    <row r="698">
      <c r="G698" s="24" t="n"/>
      <c r="H698" s="24" t="n"/>
      <c r="I698" s="24" t="n"/>
    </row>
    <row r="699">
      <c r="G699" s="24" t="n"/>
      <c r="H699" s="24" t="n"/>
      <c r="I699" s="24" t="n"/>
    </row>
    <row r="700">
      <c r="G700" s="24" t="n"/>
      <c r="H700" s="24" t="n"/>
      <c r="I700" s="24" t="n"/>
    </row>
    <row r="701">
      <c r="G701" s="24" t="n"/>
      <c r="H701" s="24" t="n"/>
      <c r="I701" s="24" t="n"/>
    </row>
    <row r="702">
      <c r="G702" s="24" t="n"/>
      <c r="H702" s="24" t="n"/>
      <c r="I702" s="24" t="n"/>
    </row>
    <row r="703">
      <c r="G703" s="24" t="n"/>
      <c r="H703" s="24" t="n"/>
      <c r="I703" s="24" t="n"/>
    </row>
    <row r="704">
      <c r="G704" s="24" t="n"/>
      <c r="H704" s="24" t="n"/>
      <c r="I704" s="24" t="n"/>
    </row>
    <row r="705">
      <c r="G705" s="24" t="n"/>
      <c r="H705" s="24" t="n"/>
      <c r="I705" s="24" t="n"/>
    </row>
    <row r="706">
      <c r="G706" s="24" t="n"/>
      <c r="H706" s="24" t="n"/>
      <c r="I706" s="24" t="n"/>
    </row>
    <row r="707">
      <c r="G707" s="24" t="n"/>
      <c r="H707" s="24" t="n"/>
      <c r="I707" s="24" t="n"/>
    </row>
    <row r="708">
      <c r="G708" s="24" t="n"/>
      <c r="H708" s="24" t="n"/>
      <c r="I708" s="24" t="n"/>
    </row>
    <row r="709">
      <c r="G709" s="24" t="n"/>
      <c r="H709" s="24" t="n"/>
      <c r="I709" s="24" t="n"/>
    </row>
    <row r="710">
      <c r="G710" s="24" t="n"/>
      <c r="H710" s="24" t="n"/>
      <c r="I710" s="24" t="n"/>
    </row>
    <row r="711">
      <c r="G711" s="24" t="n"/>
      <c r="H711" s="24" t="n"/>
      <c r="I711" s="24" t="n"/>
    </row>
    <row r="712">
      <c r="G712" s="24" t="n"/>
      <c r="H712" s="24" t="n"/>
      <c r="I712" s="24" t="n"/>
    </row>
    <row r="713">
      <c r="G713" s="24" t="n"/>
      <c r="H713" s="24" t="n"/>
      <c r="I713" s="24" t="n"/>
    </row>
    <row r="714">
      <c r="G714" s="24" t="n"/>
      <c r="H714" s="24" t="n"/>
      <c r="I714" s="24" t="n"/>
    </row>
    <row r="715">
      <c r="G715" s="24" t="n"/>
      <c r="H715" s="24" t="n"/>
      <c r="I715" s="24" t="n"/>
    </row>
    <row r="716">
      <c r="G716" s="24" t="n"/>
      <c r="H716" s="24" t="n"/>
      <c r="I716" s="24" t="n"/>
    </row>
    <row r="717">
      <c r="G717" s="24" t="n"/>
      <c r="H717" s="24" t="n"/>
      <c r="I717" s="24" t="n"/>
    </row>
    <row r="718">
      <c r="G718" s="24" t="n"/>
      <c r="H718" s="24" t="n"/>
      <c r="I718" s="24" t="n"/>
    </row>
    <row r="719">
      <c r="G719" s="24" t="n"/>
      <c r="H719" s="24" t="n"/>
      <c r="I719" s="24" t="n"/>
    </row>
    <row r="720">
      <c r="G720" s="24" t="n"/>
      <c r="H720" s="24" t="n"/>
      <c r="I720" s="24" t="n"/>
    </row>
    <row r="721">
      <c r="G721" s="24" t="n"/>
      <c r="H721" s="24" t="n"/>
      <c r="I721" s="24" t="n"/>
    </row>
    <row r="722">
      <c r="G722" s="24" t="n"/>
      <c r="H722" s="24" t="n"/>
      <c r="I722" s="24" t="n"/>
    </row>
    <row r="723">
      <c r="G723" s="24" t="n"/>
      <c r="H723" s="24" t="n"/>
      <c r="I723" s="24" t="n"/>
    </row>
    <row r="724">
      <c r="G724" s="24" t="n"/>
      <c r="H724" s="24" t="n"/>
      <c r="I724" s="24" t="n"/>
    </row>
    <row r="725">
      <c r="G725" s="24" t="n"/>
      <c r="H725" s="24" t="n"/>
      <c r="I725" s="24" t="n"/>
    </row>
    <row r="726">
      <c r="G726" s="24" t="n"/>
      <c r="H726" s="24" t="n"/>
      <c r="I726" s="24" t="n"/>
    </row>
    <row r="727">
      <c r="G727" s="24" t="n"/>
      <c r="H727" s="24" t="n"/>
      <c r="I727" s="24" t="n"/>
    </row>
    <row r="728">
      <c r="G728" s="24" t="n"/>
      <c r="H728" s="24" t="n"/>
      <c r="I728" s="24" t="n"/>
    </row>
    <row r="729">
      <c r="G729" s="24" t="n"/>
      <c r="H729" s="24" t="n"/>
      <c r="I729" s="24" t="n"/>
    </row>
    <row r="730">
      <c r="G730" s="24" t="n"/>
      <c r="H730" s="24" t="n"/>
      <c r="I730" s="24" t="n"/>
    </row>
    <row r="731">
      <c r="G731" s="24" t="n"/>
      <c r="H731" s="24" t="n"/>
      <c r="I731" s="24" t="n"/>
    </row>
    <row r="732">
      <c r="G732" s="24" t="n"/>
      <c r="H732" s="24" t="n"/>
      <c r="I732" s="24" t="n"/>
    </row>
    <row r="733">
      <c r="G733" s="24" t="n"/>
      <c r="H733" s="24" t="n"/>
      <c r="I733" s="24" t="n"/>
    </row>
    <row r="734">
      <c r="G734" s="24" t="n"/>
      <c r="H734" s="24" t="n"/>
      <c r="I734" s="24" t="n"/>
    </row>
    <row r="735">
      <c r="G735" s="24" t="n"/>
      <c r="H735" s="24" t="n"/>
      <c r="I735" s="24" t="n"/>
    </row>
    <row r="736">
      <c r="G736" s="24" t="n"/>
      <c r="H736" s="24" t="n"/>
      <c r="I736" s="24" t="n"/>
    </row>
    <row r="737">
      <c r="G737" s="24" t="n"/>
      <c r="H737" s="24" t="n"/>
      <c r="I737" s="24" t="n"/>
    </row>
    <row r="738">
      <c r="G738" s="24" t="n"/>
      <c r="H738" s="24" t="n"/>
      <c r="I738" s="24" t="n"/>
    </row>
    <row r="739">
      <c r="G739" s="24" t="n"/>
      <c r="H739" s="24" t="n"/>
      <c r="I739" s="24" t="n"/>
    </row>
    <row r="740">
      <c r="G740" s="24" t="n"/>
      <c r="H740" s="24" t="n"/>
      <c r="I740" s="24" t="n"/>
    </row>
    <row r="741">
      <c r="G741" s="24" t="n"/>
      <c r="H741" s="24" t="n"/>
      <c r="I741" s="24" t="n"/>
    </row>
    <row r="742">
      <c r="G742" s="24" t="n"/>
      <c r="H742" s="24" t="n"/>
      <c r="I742" s="24" t="n"/>
    </row>
    <row r="743">
      <c r="G743" s="24" t="n"/>
      <c r="H743" s="24" t="n"/>
      <c r="I743" s="24" t="n"/>
    </row>
    <row r="744">
      <c r="G744" s="24" t="n"/>
      <c r="H744" s="24" t="n"/>
      <c r="I744" s="24" t="n"/>
    </row>
    <row r="745">
      <c r="G745" s="24" t="n"/>
      <c r="H745" s="24" t="n"/>
      <c r="I745" s="24" t="n"/>
    </row>
    <row r="746">
      <c r="G746" s="24" t="n"/>
      <c r="H746" s="24" t="n"/>
      <c r="I746" s="24" t="n"/>
    </row>
    <row r="747">
      <c r="G747" s="24" t="n"/>
      <c r="H747" s="24" t="n"/>
      <c r="I747" s="24" t="n"/>
    </row>
    <row r="748">
      <c r="G748" s="24" t="n"/>
      <c r="H748" s="24" t="n"/>
      <c r="I748" s="24" t="n"/>
    </row>
    <row r="749">
      <c r="G749" s="24" t="n"/>
      <c r="H749" s="24" t="n"/>
      <c r="I749" s="24" t="n"/>
    </row>
    <row r="750">
      <c r="G750" s="24" t="n"/>
      <c r="H750" s="24" t="n"/>
      <c r="I750" s="24" t="n"/>
    </row>
    <row r="751">
      <c r="G751" s="24" t="n"/>
      <c r="H751" s="24" t="n"/>
      <c r="I751" s="24" t="n"/>
    </row>
    <row r="752">
      <c r="G752" s="24" t="n"/>
      <c r="H752" s="24" t="n"/>
      <c r="I752" s="24" t="n"/>
    </row>
    <row r="753">
      <c r="G753" s="24" t="n"/>
      <c r="H753" s="24" t="n"/>
      <c r="I753" s="24" t="n"/>
    </row>
    <row r="754">
      <c r="G754" s="24" t="n"/>
      <c r="H754" s="24" t="n"/>
      <c r="I754" s="24" t="n"/>
    </row>
    <row r="755">
      <c r="G755" s="24" t="n"/>
      <c r="H755" s="24" t="n"/>
      <c r="I755" s="24" t="n"/>
    </row>
    <row r="756">
      <c r="G756" s="24" t="n"/>
      <c r="H756" s="24" t="n"/>
      <c r="I756" s="24" t="n"/>
    </row>
    <row r="757">
      <c r="G757" s="24" t="n"/>
      <c r="H757" s="24" t="n"/>
      <c r="I757" s="24" t="n"/>
    </row>
    <row r="758">
      <c r="G758" s="24" t="n"/>
      <c r="H758" s="24" t="n"/>
      <c r="I758" s="24" t="n"/>
    </row>
    <row r="759">
      <c r="G759" s="24" t="n"/>
      <c r="H759" s="24" t="n"/>
      <c r="I759" s="24" t="n"/>
    </row>
    <row r="760">
      <c r="G760" s="24" t="n"/>
      <c r="H760" s="24" t="n"/>
      <c r="I760" s="24" t="n"/>
    </row>
    <row r="761">
      <c r="G761" s="24" t="n"/>
      <c r="H761" s="24" t="n"/>
      <c r="I761" s="24" t="n"/>
    </row>
    <row r="762">
      <c r="G762" s="24" t="n"/>
      <c r="H762" s="24" t="n"/>
      <c r="I762" s="24" t="n"/>
    </row>
    <row r="763">
      <c r="G763" s="24" t="n"/>
      <c r="H763" s="24" t="n"/>
      <c r="I763" s="24" t="n"/>
    </row>
    <row r="764">
      <c r="G764" s="24" t="n"/>
      <c r="H764" s="24" t="n"/>
      <c r="I764" s="24" t="n"/>
    </row>
    <row r="765">
      <c r="G765" s="24" t="n"/>
      <c r="H765" s="24" t="n"/>
      <c r="I765" s="24" t="n"/>
    </row>
    <row r="766">
      <c r="G766" s="24" t="n"/>
      <c r="H766" s="24" t="n"/>
      <c r="I766" s="24" t="n"/>
    </row>
    <row r="767">
      <c r="G767" s="24" t="n"/>
      <c r="H767" s="24" t="n"/>
      <c r="I767" s="24" t="n"/>
    </row>
    <row r="768">
      <c r="G768" s="24" t="n"/>
      <c r="H768" s="24" t="n"/>
      <c r="I768" s="24" t="n"/>
    </row>
    <row r="769">
      <c r="G769" s="24" t="n"/>
      <c r="H769" s="24" t="n"/>
      <c r="I769" s="24" t="n"/>
    </row>
    <row r="770">
      <c r="G770" s="24" t="n"/>
      <c r="H770" s="24" t="n"/>
      <c r="I770" s="24" t="n"/>
    </row>
    <row r="771">
      <c r="G771" s="24" t="n"/>
      <c r="H771" s="24" t="n"/>
      <c r="I771" s="24" t="n"/>
    </row>
    <row r="772">
      <c r="G772" s="24" t="n"/>
      <c r="H772" s="24" t="n"/>
      <c r="I772" s="24" t="n"/>
    </row>
    <row r="773">
      <c r="G773" s="24" t="n"/>
      <c r="H773" s="24" t="n"/>
      <c r="I773" s="24" t="n"/>
    </row>
    <row r="774">
      <c r="G774" s="24" t="n"/>
      <c r="H774" s="24" t="n"/>
      <c r="I774" s="24" t="n"/>
    </row>
    <row r="775">
      <c r="G775" s="24" t="n"/>
      <c r="H775" s="24" t="n"/>
      <c r="I775" s="24" t="n"/>
    </row>
    <row r="776">
      <c r="G776" s="24" t="n"/>
      <c r="H776" s="24" t="n"/>
      <c r="I776" s="24" t="n"/>
    </row>
    <row r="777">
      <c r="G777" s="24" t="n"/>
      <c r="H777" s="24" t="n"/>
      <c r="I777" s="24" t="n"/>
    </row>
    <row r="778">
      <c r="G778" s="24" t="n"/>
      <c r="H778" s="24" t="n"/>
      <c r="I778" s="24" t="n"/>
    </row>
    <row r="779">
      <c r="G779" s="24" t="n"/>
      <c r="H779" s="24" t="n"/>
      <c r="I779" s="24" t="n"/>
    </row>
    <row r="780">
      <c r="G780" s="24" t="n"/>
      <c r="H780" s="24" t="n"/>
      <c r="I780" s="24" t="n"/>
    </row>
    <row r="781">
      <c r="G781" s="24" t="n"/>
      <c r="H781" s="24" t="n"/>
      <c r="I781" s="24" t="n"/>
    </row>
    <row r="782">
      <c r="G782" s="24" t="n"/>
      <c r="H782" s="24" t="n"/>
      <c r="I782" s="24" t="n"/>
    </row>
    <row r="783">
      <c r="G783" s="24" t="n"/>
      <c r="H783" s="24" t="n"/>
      <c r="I783" s="24" t="n"/>
    </row>
    <row r="784">
      <c r="G784" s="24" t="n"/>
      <c r="H784" s="24" t="n"/>
      <c r="I784" s="24" t="n"/>
    </row>
    <row r="785">
      <c r="G785" s="24" t="n"/>
      <c r="H785" s="24" t="n"/>
      <c r="I785" s="24" t="n"/>
    </row>
    <row r="786">
      <c r="G786" s="24" t="n"/>
      <c r="H786" s="24" t="n"/>
      <c r="I786" s="24" t="n"/>
    </row>
    <row r="787">
      <c r="G787" s="24" t="n"/>
      <c r="H787" s="24" t="n"/>
      <c r="I787" s="24" t="n"/>
    </row>
    <row r="788">
      <c r="G788" s="24" t="n"/>
      <c r="H788" s="24" t="n"/>
      <c r="I788" s="24" t="n"/>
    </row>
    <row r="789">
      <c r="G789" s="24" t="n"/>
      <c r="H789" s="24" t="n"/>
      <c r="I789" s="24" t="n"/>
    </row>
    <row r="790">
      <c r="G790" s="24" t="n"/>
      <c r="H790" s="24" t="n"/>
      <c r="I790" s="24" t="n"/>
    </row>
    <row r="791">
      <c r="G791" s="24" t="n"/>
      <c r="H791" s="24" t="n"/>
      <c r="I791" s="24" t="n"/>
    </row>
    <row r="792">
      <c r="G792" s="24" t="n"/>
      <c r="H792" s="24" t="n"/>
      <c r="I792" s="24" t="n"/>
    </row>
    <row r="793">
      <c r="G793" s="24" t="n"/>
      <c r="H793" s="24" t="n"/>
      <c r="I793" s="24" t="n"/>
    </row>
    <row r="794">
      <c r="G794" s="24" t="n"/>
      <c r="H794" s="24" t="n"/>
      <c r="I794" s="24" t="n"/>
    </row>
    <row r="795">
      <c r="G795" s="24" t="n"/>
      <c r="H795" s="24" t="n"/>
      <c r="I795" s="24" t="n"/>
    </row>
    <row r="796">
      <c r="G796" s="24" t="n"/>
      <c r="H796" s="24" t="n"/>
      <c r="I796" s="24" t="n"/>
    </row>
    <row r="797">
      <c r="G797" s="24" t="n"/>
      <c r="H797" s="24" t="n"/>
      <c r="I797" s="24" t="n"/>
    </row>
    <row r="798">
      <c r="G798" s="24" t="n"/>
      <c r="H798" s="24" t="n"/>
      <c r="I798" s="24" t="n"/>
    </row>
    <row r="799">
      <c r="G799" s="24" t="n"/>
      <c r="H799" s="24" t="n"/>
      <c r="I799" s="24" t="n"/>
    </row>
    <row r="800">
      <c r="G800" s="24" t="n"/>
      <c r="H800" s="24" t="n"/>
      <c r="I800" s="24" t="n"/>
    </row>
    <row r="801">
      <c r="G801" s="24" t="n"/>
      <c r="H801" s="24" t="n"/>
      <c r="I801" s="24" t="n"/>
    </row>
    <row r="802">
      <c r="G802" s="24" t="n"/>
      <c r="H802" s="24" t="n"/>
      <c r="I802" s="24" t="n"/>
    </row>
    <row r="803">
      <c r="G803" s="24" t="n"/>
      <c r="H803" s="24" t="n"/>
      <c r="I803" s="24" t="n"/>
    </row>
    <row r="804">
      <c r="G804" s="24" t="n"/>
      <c r="H804" s="24" t="n"/>
      <c r="I804" s="24" t="n"/>
    </row>
    <row r="805">
      <c r="G805" s="24" t="n"/>
      <c r="H805" s="24" t="n"/>
      <c r="I805" s="24" t="n"/>
    </row>
    <row r="806">
      <c r="G806" s="24" t="n"/>
      <c r="H806" s="24" t="n"/>
      <c r="I806" s="24" t="n"/>
    </row>
    <row r="807">
      <c r="G807" s="24" t="n"/>
      <c r="H807" s="24" t="n"/>
      <c r="I807" s="24" t="n"/>
    </row>
    <row r="808">
      <c r="G808" s="24" t="n"/>
      <c r="H808" s="24" t="n"/>
      <c r="I808" s="24" t="n"/>
    </row>
    <row r="809">
      <c r="G809" s="24" t="n"/>
      <c r="H809" s="24" t="n"/>
      <c r="I809" s="24" t="n"/>
    </row>
    <row r="810">
      <c r="G810" s="24" t="n"/>
      <c r="H810" s="24" t="n"/>
      <c r="I810" s="24" t="n"/>
    </row>
    <row r="811">
      <c r="G811" s="24" t="n"/>
      <c r="H811" s="24" t="n"/>
      <c r="I811" s="24" t="n"/>
    </row>
    <row r="812">
      <c r="G812" s="24" t="n"/>
      <c r="H812" s="24" t="n"/>
      <c r="I812" s="24" t="n"/>
    </row>
    <row r="813">
      <c r="G813" s="24" t="n"/>
      <c r="H813" s="24" t="n"/>
      <c r="I813" s="24" t="n"/>
    </row>
    <row r="814">
      <c r="G814" s="24" t="n"/>
      <c r="H814" s="24" t="n"/>
      <c r="I814" s="24" t="n"/>
    </row>
    <row r="815">
      <c r="G815" s="24" t="n"/>
      <c r="H815" s="24" t="n"/>
      <c r="I815" s="24" t="n"/>
    </row>
    <row r="816">
      <c r="G816" s="24" t="n"/>
      <c r="H816" s="24" t="n"/>
      <c r="I816" s="24" t="n"/>
    </row>
    <row r="817">
      <c r="G817" s="24" t="n"/>
      <c r="H817" s="24" t="n"/>
      <c r="I817" s="24" t="n"/>
    </row>
    <row r="818">
      <c r="G818" s="24" t="n"/>
      <c r="H818" s="24" t="n"/>
      <c r="I818" s="24" t="n"/>
    </row>
    <row r="819">
      <c r="G819" s="24" t="n"/>
      <c r="H819" s="24" t="n"/>
      <c r="I819" s="24" t="n"/>
    </row>
    <row r="820">
      <c r="G820" s="24" t="n"/>
      <c r="H820" s="24" t="n"/>
      <c r="I820" s="24" t="n"/>
    </row>
    <row r="821">
      <c r="G821" s="24" t="n"/>
      <c r="H821" s="24" t="n"/>
      <c r="I821" s="24" t="n"/>
    </row>
    <row r="822">
      <c r="G822" s="24" t="n"/>
      <c r="H822" s="24" t="n"/>
      <c r="I822" s="24" t="n"/>
    </row>
    <row r="823">
      <c r="G823" s="24" t="n"/>
      <c r="H823" s="24" t="n"/>
      <c r="I823" s="24" t="n"/>
    </row>
    <row r="824">
      <c r="G824" s="24" t="n"/>
      <c r="H824" s="24" t="n"/>
      <c r="I824" s="24" t="n"/>
    </row>
    <row r="825">
      <c r="G825" s="24" t="n"/>
      <c r="H825" s="24" t="n"/>
      <c r="I825" s="24" t="n"/>
    </row>
    <row r="826">
      <c r="G826" s="24" t="n"/>
      <c r="H826" s="24" t="n"/>
      <c r="I826" s="24" t="n"/>
    </row>
    <row r="827">
      <c r="G827" s="24" t="n"/>
      <c r="H827" s="24" t="n"/>
      <c r="I827" s="24" t="n"/>
    </row>
    <row r="828">
      <c r="G828" s="24" t="n"/>
      <c r="H828" s="24" t="n"/>
      <c r="I828" s="24" t="n"/>
    </row>
    <row r="829">
      <c r="G829" s="24" t="n"/>
      <c r="H829" s="24" t="n"/>
      <c r="I829" s="24" t="n"/>
    </row>
    <row r="830">
      <c r="G830" s="24" t="n"/>
      <c r="H830" s="24" t="n"/>
      <c r="I830" s="24" t="n"/>
    </row>
    <row r="831">
      <c r="G831" s="24" t="n"/>
      <c r="H831" s="24" t="n"/>
      <c r="I831" s="24" t="n"/>
    </row>
    <row r="832">
      <c r="G832" s="24" t="n"/>
      <c r="H832" s="24" t="n"/>
      <c r="I832" s="24" t="n"/>
    </row>
    <row r="833">
      <c r="G833" s="24" t="n"/>
      <c r="H833" s="24" t="n"/>
      <c r="I833" s="24" t="n"/>
    </row>
    <row r="834">
      <c r="G834" s="24" t="n"/>
      <c r="H834" s="24" t="n"/>
      <c r="I834" s="24" t="n"/>
    </row>
    <row r="835">
      <c r="G835" s="24" t="n"/>
      <c r="H835" s="24" t="n"/>
      <c r="I835" s="24" t="n"/>
    </row>
    <row r="836">
      <c r="G836" s="24" t="n"/>
      <c r="H836" s="24" t="n"/>
      <c r="I836" s="24" t="n"/>
    </row>
    <row r="837">
      <c r="G837" s="24" t="n"/>
      <c r="H837" s="24" t="n"/>
      <c r="I837" s="24" t="n"/>
    </row>
    <row r="838">
      <c r="G838" s="24" t="n"/>
      <c r="H838" s="24" t="n"/>
      <c r="I838" s="24" t="n"/>
    </row>
    <row r="839">
      <c r="G839" s="24" t="n"/>
      <c r="H839" s="24" t="n"/>
      <c r="I839" s="24" t="n"/>
    </row>
    <row r="840">
      <c r="G840" s="24" t="n"/>
      <c r="H840" s="24" t="n"/>
      <c r="I840" s="24" t="n"/>
    </row>
    <row r="841">
      <c r="G841" s="24" t="n"/>
      <c r="H841" s="24" t="n"/>
      <c r="I841" s="24" t="n"/>
    </row>
    <row r="842">
      <c r="G842" s="24" t="n"/>
      <c r="H842" s="24" t="n"/>
      <c r="I842" s="24" t="n"/>
    </row>
    <row r="843">
      <c r="G843" s="24" t="n"/>
      <c r="H843" s="24" t="n"/>
      <c r="I843" s="24" t="n"/>
    </row>
    <row r="844">
      <c r="G844" s="24" t="n"/>
      <c r="H844" s="24" t="n"/>
      <c r="I844" s="24" t="n"/>
    </row>
    <row r="845">
      <c r="G845" s="24" t="n"/>
      <c r="H845" s="24" t="n"/>
      <c r="I845" s="24" t="n"/>
    </row>
    <row r="846">
      <c r="G846" s="24" t="n"/>
      <c r="H846" s="24" t="n"/>
      <c r="I846" s="24" t="n"/>
    </row>
    <row r="847">
      <c r="G847" s="24" t="n"/>
      <c r="H847" s="24" t="n"/>
      <c r="I847" s="24" t="n"/>
    </row>
    <row r="848">
      <c r="G848" s="24" t="n"/>
      <c r="H848" s="24" t="n"/>
      <c r="I848" s="24" t="n"/>
    </row>
    <row r="849">
      <c r="G849" s="24" t="n"/>
      <c r="H849" s="24" t="n"/>
      <c r="I849" s="24" t="n"/>
    </row>
    <row r="850">
      <c r="G850" s="24" t="n"/>
      <c r="H850" s="24" t="n"/>
      <c r="I850" s="24" t="n"/>
    </row>
    <row r="851">
      <c r="G851" s="24" t="n"/>
      <c r="H851" s="24" t="n"/>
      <c r="I851" s="24" t="n"/>
    </row>
    <row r="852">
      <c r="G852" s="24" t="n"/>
      <c r="H852" s="24" t="n"/>
      <c r="I852" s="24" t="n"/>
    </row>
    <row r="853">
      <c r="G853" s="24" t="n"/>
      <c r="H853" s="24" t="n"/>
      <c r="I853" s="24" t="n"/>
    </row>
    <row r="854">
      <c r="G854" s="24" t="n"/>
      <c r="H854" s="24" t="n"/>
      <c r="I854" s="24" t="n"/>
    </row>
    <row r="855">
      <c r="G855" s="24" t="n"/>
      <c r="H855" s="24" t="n"/>
      <c r="I855" s="24" t="n"/>
    </row>
    <row r="856">
      <c r="G856" s="24" t="n"/>
      <c r="H856" s="24" t="n"/>
      <c r="I856" s="24" t="n"/>
    </row>
    <row r="857">
      <c r="G857" s="24" t="n"/>
      <c r="H857" s="24" t="n"/>
      <c r="I857" s="24" t="n"/>
    </row>
    <row r="858">
      <c r="G858" s="24" t="n"/>
      <c r="H858" s="24" t="n"/>
      <c r="I858" s="24" t="n"/>
    </row>
    <row r="859">
      <c r="G859" s="24" t="n"/>
      <c r="H859" s="24" t="n"/>
      <c r="I859" s="24" t="n"/>
    </row>
    <row r="860">
      <c r="G860" s="24" t="n"/>
      <c r="H860" s="24" t="n"/>
      <c r="I860" s="24" t="n"/>
    </row>
    <row r="861">
      <c r="G861" s="24" t="n"/>
      <c r="H861" s="24" t="n"/>
      <c r="I861" s="24" t="n"/>
    </row>
    <row r="862">
      <c r="G862" s="24" t="n"/>
      <c r="H862" s="24" t="n"/>
      <c r="I862" s="24" t="n"/>
    </row>
    <row r="863">
      <c r="G863" s="24" t="n"/>
      <c r="H863" s="24" t="n"/>
      <c r="I863" s="24" t="n"/>
    </row>
    <row r="864">
      <c r="G864" s="24" t="n"/>
      <c r="H864" s="24" t="n"/>
      <c r="I864" s="24" t="n"/>
    </row>
    <row r="865">
      <c r="G865" s="24" t="n"/>
      <c r="H865" s="24" t="n"/>
      <c r="I865" s="24" t="n"/>
    </row>
    <row r="866">
      <c r="G866" s="24" t="n"/>
      <c r="H866" s="24" t="n"/>
      <c r="I866" s="24" t="n"/>
    </row>
    <row r="867">
      <c r="G867" s="24" t="n"/>
      <c r="H867" s="24" t="n"/>
      <c r="I867" s="24" t="n"/>
    </row>
    <row r="868">
      <c r="G868" s="24" t="n"/>
      <c r="H868" s="24" t="n"/>
      <c r="I868" s="24" t="n"/>
    </row>
    <row r="869">
      <c r="G869" s="24" t="n"/>
      <c r="H869" s="24" t="n"/>
      <c r="I869" s="24" t="n"/>
    </row>
    <row r="870">
      <c r="G870" s="24" t="n"/>
      <c r="H870" s="24" t="n"/>
      <c r="I870" s="24" t="n"/>
    </row>
    <row r="871">
      <c r="G871" s="24" t="n"/>
      <c r="H871" s="24" t="n"/>
      <c r="I871" s="24" t="n"/>
    </row>
    <row r="872">
      <c r="G872" s="24" t="n"/>
      <c r="H872" s="24" t="n"/>
      <c r="I872" s="24" t="n"/>
    </row>
    <row r="873">
      <c r="G873" s="24" t="n"/>
      <c r="H873" s="24" t="n"/>
      <c r="I873" s="24" t="n"/>
    </row>
    <row r="874">
      <c r="G874" s="24" t="n"/>
      <c r="H874" s="24" t="n"/>
      <c r="I874" s="24" t="n"/>
    </row>
    <row r="875">
      <c r="G875" s="24" t="n"/>
      <c r="H875" s="24" t="n"/>
      <c r="I875" s="24" t="n"/>
    </row>
    <row r="876">
      <c r="G876" s="24" t="n"/>
      <c r="H876" s="24" t="n"/>
      <c r="I876" s="24" t="n"/>
    </row>
    <row r="877">
      <c r="G877" s="24" t="n"/>
      <c r="H877" s="24" t="n"/>
      <c r="I877" s="24" t="n"/>
    </row>
    <row r="878">
      <c r="G878" s="24" t="n"/>
      <c r="H878" s="24" t="n"/>
      <c r="I878" s="24" t="n"/>
    </row>
    <row r="879">
      <c r="G879" s="24" t="n"/>
      <c r="H879" s="24" t="n"/>
      <c r="I879" s="24" t="n"/>
    </row>
    <row r="880">
      <c r="G880" s="24" t="n"/>
      <c r="H880" s="24" t="n"/>
      <c r="I880" s="24" t="n"/>
    </row>
    <row r="881">
      <c r="G881" s="24" t="n"/>
      <c r="H881" s="24" t="n"/>
      <c r="I881" s="24" t="n"/>
    </row>
    <row r="882">
      <c r="G882" s="24" t="n"/>
      <c r="H882" s="24" t="n"/>
      <c r="I882" s="24" t="n"/>
    </row>
    <row r="883">
      <c r="G883" s="24" t="n"/>
      <c r="H883" s="24" t="n"/>
      <c r="I883" s="24" t="n"/>
    </row>
    <row r="884">
      <c r="G884" s="24" t="n"/>
      <c r="H884" s="24" t="n"/>
      <c r="I884" s="24" t="n"/>
    </row>
    <row r="885">
      <c r="G885" s="24" t="n"/>
      <c r="H885" s="24" t="n"/>
      <c r="I885" s="24" t="n"/>
    </row>
    <row r="886">
      <c r="G886" s="24" t="n"/>
      <c r="H886" s="24" t="n"/>
      <c r="I886" s="24" t="n"/>
    </row>
    <row r="887">
      <c r="G887" s="24" t="n"/>
      <c r="H887" s="24" t="n"/>
      <c r="I887" s="24" t="n"/>
    </row>
    <row r="888">
      <c r="G888" s="24" t="n"/>
      <c r="H888" s="24" t="n"/>
      <c r="I888" s="24" t="n"/>
    </row>
    <row r="889">
      <c r="G889" s="24" t="n"/>
      <c r="H889" s="24" t="n"/>
      <c r="I889" s="24" t="n"/>
    </row>
    <row r="890">
      <c r="G890" s="24" t="n"/>
      <c r="H890" s="24" t="n"/>
      <c r="I890" s="24" t="n"/>
    </row>
    <row r="891">
      <c r="G891" s="24" t="n"/>
      <c r="H891" s="24" t="n"/>
      <c r="I891" s="24" t="n"/>
    </row>
    <row r="892">
      <c r="G892" s="24" t="n"/>
      <c r="H892" s="24" t="n"/>
      <c r="I892" s="24" t="n"/>
    </row>
    <row r="893">
      <c r="G893" s="24" t="n"/>
      <c r="H893" s="24" t="n"/>
      <c r="I893" s="24" t="n"/>
    </row>
    <row r="894">
      <c r="G894" s="24" t="n"/>
      <c r="H894" s="24" t="n"/>
      <c r="I894" s="24" t="n"/>
    </row>
    <row r="895">
      <c r="G895" s="24" t="n"/>
      <c r="H895" s="24" t="n"/>
      <c r="I895" s="24" t="n"/>
    </row>
    <row r="896">
      <c r="G896" s="24" t="n"/>
      <c r="H896" s="24" t="n"/>
      <c r="I896" s="24" t="n"/>
    </row>
    <row r="897">
      <c r="G897" s="24" t="n"/>
      <c r="H897" s="24" t="n"/>
      <c r="I897" s="24" t="n"/>
    </row>
    <row r="898">
      <c r="G898" s="24" t="n"/>
      <c r="H898" s="24" t="n"/>
      <c r="I898" s="24" t="n"/>
    </row>
    <row r="899">
      <c r="G899" s="24" t="n"/>
      <c r="H899" s="24" t="n"/>
      <c r="I899" s="24" t="n"/>
    </row>
    <row r="900">
      <c r="G900" s="24" t="n"/>
      <c r="H900" s="24" t="n"/>
      <c r="I900" s="24" t="n"/>
    </row>
    <row r="901">
      <c r="G901" s="24" t="n"/>
      <c r="H901" s="24" t="n"/>
      <c r="I901" s="24" t="n"/>
    </row>
    <row r="902">
      <c r="G902" s="24" t="n"/>
      <c r="H902" s="24" t="n"/>
      <c r="I902" s="24" t="n"/>
    </row>
    <row r="903">
      <c r="G903" s="24" t="n"/>
      <c r="H903" s="24" t="n"/>
      <c r="I903" s="24" t="n"/>
    </row>
    <row r="904">
      <c r="G904" s="24" t="n"/>
      <c r="H904" s="24" t="n"/>
      <c r="I904" s="24" t="n"/>
    </row>
    <row r="905">
      <c r="G905" s="24" t="n"/>
      <c r="H905" s="24" t="n"/>
      <c r="I905" s="24" t="n"/>
    </row>
    <row r="906">
      <c r="G906" s="24" t="n"/>
      <c r="H906" s="24" t="n"/>
      <c r="I906" s="24" t="n"/>
    </row>
    <row r="907">
      <c r="G907" s="24" t="n"/>
      <c r="H907" s="24" t="n"/>
      <c r="I907" s="24" t="n"/>
    </row>
    <row r="908">
      <c r="G908" s="24" t="n"/>
      <c r="H908" s="24" t="n"/>
      <c r="I908" s="24" t="n"/>
    </row>
    <row r="909">
      <c r="G909" s="24" t="n"/>
      <c r="H909" s="24" t="n"/>
      <c r="I909" s="24" t="n"/>
    </row>
    <row r="910">
      <c r="G910" s="24" t="n"/>
      <c r="H910" s="24" t="n"/>
      <c r="I910" s="24" t="n"/>
    </row>
    <row r="911">
      <c r="G911" s="24" t="n"/>
      <c r="H911" s="24" t="n"/>
      <c r="I911" s="24" t="n"/>
    </row>
    <row r="912">
      <c r="G912" s="24" t="n"/>
      <c r="H912" s="24" t="n"/>
      <c r="I912" s="24" t="n"/>
    </row>
    <row r="913">
      <c r="G913" s="24" t="n"/>
      <c r="H913" s="24" t="n"/>
      <c r="I913" s="24" t="n"/>
    </row>
    <row r="914">
      <c r="G914" s="24" t="n"/>
      <c r="H914" s="24" t="n"/>
      <c r="I914" s="24" t="n"/>
    </row>
    <row r="915">
      <c r="G915" s="24" t="n"/>
      <c r="H915" s="24" t="n"/>
      <c r="I915" s="24" t="n"/>
    </row>
    <row r="916">
      <c r="G916" s="24" t="n"/>
      <c r="H916" s="24" t="n"/>
      <c r="I916" s="24" t="n"/>
    </row>
    <row r="917">
      <c r="G917" s="24" t="n"/>
      <c r="H917" s="24" t="n"/>
      <c r="I917" s="24" t="n"/>
    </row>
    <row r="918">
      <c r="G918" s="24" t="n"/>
      <c r="H918" s="24" t="n"/>
      <c r="I918" s="24" t="n"/>
    </row>
    <row r="919">
      <c r="G919" s="24" t="n"/>
      <c r="H919" s="24" t="n"/>
      <c r="I919" s="24" t="n"/>
    </row>
    <row r="920">
      <c r="G920" s="24" t="n"/>
      <c r="H920" s="24" t="n"/>
      <c r="I920" s="24" t="n"/>
    </row>
    <row r="921">
      <c r="G921" s="24" t="n"/>
      <c r="H921" s="24" t="n"/>
      <c r="I921" s="24" t="n"/>
    </row>
    <row r="922">
      <c r="G922" s="24" t="n"/>
      <c r="H922" s="24" t="n"/>
      <c r="I922" s="24" t="n"/>
    </row>
    <row r="923">
      <c r="G923" s="24" t="n"/>
      <c r="H923" s="24" t="n"/>
      <c r="I923" s="24" t="n"/>
    </row>
    <row r="924">
      <c r="G924" s="24" t="n"/>
      <c r="H924" s="24" t="n"/>
      <c r="I924" s="24" t="n"/>
    </row>
    <row r="925">
      <c r="G925" s="24" t="n"/>
      <c r="H925" s="24" t="n"/>
      <c r="I925" s="24" t="n"/>
    </row>
    <row r="926">
      <c r="G926" s="24" t="n"/>
      <c r="H926" s="24" t="n"/>
      <c r="I926" s="24" t="n"/>
    </row>
    <row r="927">
      <c r="G927" s="24" t="n"/>
      <c r="H927" s="24" t="n"/>
      <c r="I927" s="24" t="n"/>
    </row>
    <row r="928">
      <c r="G928" s="24" t="n"/>
      <c r="H928" s="24" t="n"/>
      <c r="I928" s="24" t="n"/>
    </row>
    <row r="929">
      <c r="G929" s="24" t="n"/>
      <c r="H929" s="24" t="n"/>
      <c r="I929" s="24" t="n"/>
    </row>
    <row r="930">
      <c r="G930" s="24" t="n"/>
      <c r="H930" s="24" t="n"/>
      <c r="I930" s="24" t="n"/>
    </row>
    <row r="931">
      <c r="G931" s="24" t="n"/>
      <c r="H931" s="24" t="n"/>
      <c r="I931" s="24" t="n"/>
    </row>
    <row r="932">
      <c r="G932" s="24" t="n"/>
      <c r="H932" s="24" t="n"/>
      <c r="I932" s="24" t="n"/>
    </row>
    <row r="933">
      <c r="G933" s="24" t="n"/>
      <c r="H933" s="24" t="n"/>
      <c r="I933" s="24" t="n"/>
    </row>
    <row r="934">
      <c r="G934" s="24" t="n"/>
      <c r="H934" s="24" t="n"/>
      <c r="I934" s="24" t="n"/>
    </row>
    <row r="935">
      <c r="G935" s="24" t="n"/>
      <c r="H935" s="24" t="n"/>
      <c r="I935" s="24" t="n"/>
    </row>
    <row r="936">
      <c r="G936" s="24" t="n"/>
      <c r="H936" s="24" t="n"/>
      <c r="I936" s="24" t="n"/>
    </row>
    <row r="937">
      <c r="G937" s="24" t="n"/>
      <c r="H937" s="24" t="n"/>
      <c r="I937" s="24" t="n"/>
    </row>
    <row r="938">
      <c r="G938" s="24" t="n"/>
      <c r="H938" s="24" t="n"/>
      <c r="I938" s="24" t="n"/>
    </row>
    <row r="939">
      <c r="G939" s="24" t="n"/>
      <c r="H939" s="24" t="n"/>
      <c r="I939" s="24" t="n"/>
    </row>
    <row r="940">
      <c r="G940" s="24" t="n"/>
      <c r="H940" s="24" t="n"/>
      <c r="I940" s="24" t="n"/>
    </row>
    <row r="941">
      <c r="G941" s="24" t="n"/>
      <c r="H941" s="24" t="n"/>
      <c r="I941" s="24" t="n"/>
    </row>
    <row r="942">
      <c r="G942" s="24" t="n"/>
      <c r="H942" s="24" t="n"/>
      <c r="I942" s="24" t="n"/>
    </row>
    <row r="943">
      <c r="G943" s="24" t="n"/>
      <c r="H943" s="24" t="n"/>
      <c r="I943" s="24" t="n"/>
    </row>
    <row r="944">
      <c r="G944" s="24" t="n"/>
      <c r="H944" s="24" t="n"/>
      <c r="I944" s="24" t="n"/>
    </row>
    <row r="945">
      <c r="G945" s="24" t="n"/>
      <c r="H945" s="24" t="n"/>
      <c r="I945" s="24" t="n"/>
    </row>
    <row r="946">
      <c r="G946" s="24" t="n"/>
      <c r="H946" s="24" t="n"/>
      <c r="I946" s="24" t="n"/>
    </row>
    <row r="947">
      <c r="G947" s="24" t="n"/>
      <c r="H947" s="24" t="n"/>
      <c r="I947" s="24" t="n"/>
    </row>
    <row r="948">
      <c r="G948" s="24" t="n"/>
      <c r="H948" s="24" t="n"/>
      <c r="I948" s="24" t="n"/>
    </row>
    <row r="949">
      <c r="G949" s="24" t="n"/>
      <c r="H949" s="24" t="n"/>
      <c r="I949" s="24" t="n"/>
    </row>
    <row r="950">
      <c r="G950" s="24" t="n"/>
      <c r="H950" s="24" t="n"/>
      <c r="I950" s="24" t="n"/>
    </row>
    <row r="951">
      <c r="G951" s="24" t="n"/>
      <c r="H951" s="24" t="n"/>
      <c r="I951" s="24" t="n"/>
    </row>
    <row r="952">
      <c r="G952" s="24" t="n"/>
      <c r="H952" s="24" t="n"/>
      <c r="I952" s="24" t="n"/>
    </row>
    <row r="953">
      <c r="G953" s="24" t="n"/>
      <c r="H953" s="24" t="n"/>
      <c r="I953" s="24" t="n"/>
    </row>
    <row r="954">
      <c r="G954" s="24" t="n"/>
      <c r="H954" s="24" t="n"/>
      <c r="I954" s="24" t="n"/>
    </row>
    <row r="955">
      <c r="G955" s="24" t="n"/>
      <c r="H955" s="24" t="n"/>
      <c r="I955" s="24" t="n"/>
    </row>
    <row r="956">
      <c r="G956" s="24" t="n"/>
      <c r="H956" s="24" t="n"/>
      <c r="I956" s="24" t="n"/>
    </row>
    <row r="957">
      <c r="G957" s="24" t="n"/>
      <c r="H957" s="24" t="n"/>
      <c r="I957" s="24" t="n"/>
    </row>
    <row r="958">
      <c r="G958" s="24" t="n"/>
      <c r="H958" s="24" t="n"/>
      <c r="I958" s="24" t="n"/>
    </row>
    <row r="959">
      <c r="G959" s="24" t="n"/>
      <c r="H959" s="24" t="n"/>
      <c r="I959" s="24" t="n"/>
    </row>
    <row r="960">
      <c r="G960" s="24" t="n"/>
      <c r="H960" s="24" t="n"/>
      <c r="I960" s="24" t="n"/>
    </row>
    <row r="961">
      <c r="G961" s="24" t="n"/>
      <c r="H961" s="24" t="n"/>
      <c r="I961" s="24" t="n"/>
    </row>
    <row r="962">
      <c r="G962" s="24" t="n"/>
      <c r="H962" s="24" t="n"/>
      <c r="I962" s="24" t="n"/>
    </row>
    <row r="963">
      <c r="G963" s="24" t="n"/>
      <c r="H963" s="24" t="n"/>
      <c r="I963" s="24" t="n"/>
    </row>
    <row r="964">
      <c r="G964" s="24" t="n"/>
      <c r="H964" s="24" t="n"/>
      <c r="I964" s="24" t="n"/>
    </row>
    <row r="965">
      <c r="G965" s="24" t="n"/>
      <c r="H965" s="24" t="n"/>
      <c r="I965" s="24" t="n"/>
    </row>
    <row r="966">
      <c r="G966" s="24" t="n"/>
      <c r="H966" s="24" t="n"/>
      <c r="I966" s="24" t="n"/>
    </row>
    <row r="967">
      <c r="G967" s="24" t="n"/>
      <c r="H967" s="24" t="n"/>
      <c r="I967" s="24" t="n"/>
    </row>
    <row r="968">
      <c r="G968" s="24" t="n"/>
      <c r="H968" s="24" t="n"/>
      <c r="I968" s="24" t="n"/>
    </row>
    <row r="969">
      <c r="G969" s="24" t="n"/>
      <c r="H969" s="24" t="n"/>
      <c r="I969" s="24" t="n"/>
    </row>
    <row r="970">
      <c r="G970" s="24" t="n"/>
      <c r="H970" s="24" t="n"/>
      <c r="I970" s="24" t="n"/>
    </row>
    <row r="971">
      <c r="G971" s="24" t="n"/>
      <c r="H971" s="24" t="n"/>
      <c r="I971" s="24" t="n"/>
    </row>
    <row r="972">
      <c r="G972" s="24" t="n"/>
      <c r="H972" s="24" t="n"/>
      <c r="I972" s="24" t="n"/>
    </row>
    <row r="973">
      <c r="G973" s="24" t="n"/>
      <c r="H973" s="24" t="n"/>
      <c r="I973" s="24" t="n"/>
    </row>
    <row r="974">
      <c r="G974" s="24" t="n"/>
      <c r="H974" s="24" t="n"/>
      <c r="I974" s="24" t="n"/>
    </row>
    <row r="975">
      <c r="G975" s="24" t="n"/>
      <c r="H975" s="24" t="n"/>
      <c r="I975" s="24" t="n"/>
    </row>
    <row r="976">
      <c r="G976" s="24" t="n"/>
      <c r="H976" s="24" t="n"/>
      <c r="I976" s="24" t="n"/>
    </row>
    <row r="977">
      <c r="G977" s="24" t="n"/>
      <c r="H977" s="24" t="n"/>
      <c r="I977" s="24" t="n"/>
    </row>
    <row r="978">
      <c r="G978" s="24" t="n"/>
      <c r="H978" s="24" t="n"/>
      <c r="I978" s="24" t="n"/>
    </row>
    <row r="979">
      <c r="G979" s="24" t="n"/>
      <c r="H979" s="24" t="n"/>
      <c r="I979" s="24" t="n"/>
    </row>
    <row r="980">
      <c r="G980" s="24" t="n"/>
      <c r="H980" s="24" t="n"/>
      <c r="I980" s="24" t="n"/>
    </row>
    <row r="981">
      <c r="G981" s="24" t="n"/>
      <c r="H981" s="24" t="n"/>
      <c r="I981" s="24" t="n"/>
    </row>
    <row r="982">
      <c r="G982" s="24" t="n"/>
      <c r="H982" s="24" t="n"/>
      <c r="I982" s="24" t="n"/>
    </row>
    <row r="983">
      <c r="G983" s="24" t="n"/>
      <c r="H983" s="24" t="n"/>
      <c r="I983" s="24" t="n"/>
    </row>
    <row r="984">
      <c r="G984" s="24" t="n"/>
      <c r="H984" s="24" t="n"/>
      <c r="I984" s="24" t="n"/>
    </row>
    <row r="985">
      <c r="G985" s="24" t="n"/>
      <c r="H985" s="24" t="n"/>
      <c r="I985" s="24" t="n"/>
    </row>
    <row r="986">
      <c r="G986" s="24" t="n"/>
      <c r="H986" s="24" t="n"/>
      <c r="I986" s="24" t="n"/>
    </row>
    <row r="987">
      <c r="G987" s="24" t="n"/>
      <c r="H987" s="24" t="n"/>
      <c r="I987" s="24" t="n"/>
    </row>
    <row r="988">
      <c r="G988" s="24" t="n"/>
      <c r="H988" s="24" t="n"/>
      <c r="I988" s="24" t="n"/>
    </row>
    <row r="989">
      <c r="G989" s="24" t="n"/>
      <c r="H989" s="24" t="n"/>
      <c r="I989" s="24" t="n"/>
    </row>
    <row r="990">
      <c r="G990" s="24" t="n"/>
      <c r="H990" s="24" t="n"/>
      <c r="I990" s="24" t="n"/>
    </row>
    <row r="991">
      <c r="G991" s="24" t="n"/>
      <c r="H991" s="24" t="n"/>
      <c r="I991" s="24" t="n"/>
    </row>
    <row r="992">
      <c r="G992" s="24" t="n"/>
      <c r="H992" s="24" t="n"/>
      <c r="I992" s="24" t="n"/>
    </row>
    <row r="993">
      <c r="G993" s="24" t="n"/>
      <c r="H993" s="24" t="n"/>
      <c r="I993" s="24" t="n"/>
    </row>
    <row r="994">
      <c r="G994" s="24" t="n"/>
      <c r="H994" s="24" t="n"/>
      <c r="I994" s="24" t="n"/>
    </row>
    <row r="995">
      <c r="G995" s="24" t="n"/>
      <c r="H995" s="24" t="n"/>
      <c r="I995" s="24" t="n"/>
    </row>
    <row r="996">
      <c r="G996" s="24" t="n"/>
      <c r="H996" s="24" t="n"/>
      <c r="I996" s="24" t="n"/>
    </row>
    <row r="997">
      <c r="G997" s="24" t="n"/>
      <c r="H997" s="24" t="n"/>
      <c r="I997" s="24" t="n"/>
    </row>
    <row r="998">
      <c r="G998" s="24" t="n"/>
      <c r="H998" s="24" t="n"/>
      <c r="I998" s="24" t="n"/>
    </row>
    <row r="999">
      <c r="G999" s="24" t="n"/>
      <c r="H999" s="24" t="n"/>
      <c r="I999" s="24" t="n"/>
    </row>
    <row r="1000">
      <c r="G1000" s="24" t="n"/>
      <c r="H1000" s="24" t="n"/>
      <c r="I1000" s="24" t="n"/>
    </row>
  </sheetData>
  <autoFilter ref="$A$1:$D$150"/>
  <mergeCells count="5">
    <mergeCell ref="F1:I1"/>
    <mergeCell ref="G2:H2"/>
    <mergeCell ref="F3:F12"/>
    <mergeCell ref="F13:F22"/>
    <mergeCell ref="F23:F25"/>
  </mergeCells>
  <conditionalFormatting sqref="G23:H25">
    <cfRule type="cellIs" priority="1" operator="equal" dxfId="14">
      <formula>"GR"</formula>
    </cfRule>
  </conditionalFormatting>
  <conditionalFormatting sqref="G2:H1000">
    <cfRule type="containsText" priority="2" operator="containsText" dxfId="2" text="A m">
      <formula>NOT(ISERROR(SEARCH(("A m"),(G2))))</formula>
    </cfRule>
    <cfRule type="containsText" priority="3" operator="containsText" dxfId="3" text="A v">
      <formula>NOT(ISERROR(SEARCH(("A v"),(G2))))</formula>
    </cfRule>
    <cfRule type="containsText" priority="4" operator="containsText" dxfId="4" text="B1 m">
      <formula>NOT(ISERROR(SEARCH(("B1 m"),(G2))))</formula>
    </cfRule>
    <cfRule type="containsText" priority="5" operator="containsText" dxfId="5" text="B1 v">
      <formula>NOT(ISERROR(SEARCH(("B1 v"),(G2))))</formula>
    </cfRule>
    <cfRule type="containsText" priority="6" operator="containsText" dxfId="6" text="B2 m">
      <formula>NOT(ISERROR(SEARCH(("B2 m"),(G2))))</formula>
    </cfRule>
    <cfRule type="containsText" priority="7" operator="containsText" dxfId="7" text="B2 v">
      <formula>NOT(ISERROR(SEARCH(("B2 v"),(G2))))</formula>
    </cfRule>
    <cfRule type="containsText" priority="8" operator="containsText" dxfId="8" text="C m">
      <formula>NOT(ISERROR(SEARCH(("C m"),(G2))))</formula>
    </cfRule>
    <cfRule type="containsText" priority="9" operator="containsText" dxfId="9" text="C v">
      <formula>NOT(ISERROR(SEARCH(("C v"),(G2))))</formula>
    </cfRule>
    <cfRule type="containsText" priority="10" operator="containsText" dxfId="10" text="D v">
      <formula>NOT(ISERROR(SEARCH(("D v"),(G2))))</formula>
    </cfRule>
    <cfRule type="containsText" priority="11" operator="containsText" dxfId="11" text="D m">
      <formula>NOT(ISERROR(SEARCH(("D m"),(G2))))</formula>
    </cfRule>
    <cfRule type="containsText" priority="12" operator="containsText" dxfId="12" text="E m">
      <formula>NOT(ISERROR(SEARCH(("E m"),(G2))))</formula>
    </cfRule>
    <cfRule type="containsText" priority="13" operator="containsText" dxfId="13" text="E v">
      <formula>NOT(ISERROR(SEARCH(("E v"),(G2))))</formula>
    </cfRule>
  </conditionalFormatting>
  <dataValidations count="1">
    <dataValidation sqref="D2:D150" showDropDown="0" showInputMessage="0" showErrorMessage="1" allowBlank="1" type="list">
      <formula1>"Veio,Não Veio"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85"/>
  <sheetViews>
    <sheetView workbookViewId="0">
      <selection activeCell="A1" sqref="A1"/>
    </sheetView>
  </sheetViews>
  <sheetFormatPr baseColWidth="8" defaultColWidth="12.63" defaultRowHeight="15.75" customHeight="1"/>
  <cols>
    <col width="40.13" customWidth="1" style="128" min="1" max="1"/>
    <col width="28.25" customWidth="1" style="128" min="10" max="10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F1" s="69" t="inlineStr">
        <is>
          <t>CONFRONTOS</t>
        </is>
      </c>
      <c r="G1" s="130" t="n"/>
      <c r="H1" s="130" t="n"/>
      <c r="I1" s="131" t="n"/>
      <c r="J1" s="74" t="n"/>
    </row>
    <row r="2">
      <c r="A2" s="34">
        <f>IFERROR(__xludf.DUMMYFUNCTION("FILTER(Alunos!A:A, Alunos!$H:$H = ""Participa"")"),"ADILSON EVÊNCIO DA SILVA JUNIOR")</f>
        <v/>
      </c>
      <c r="B2" s="34">
        <f>IFERROR(__xludf.DUMMYFUNCTION("FILTER(Alunos!B:B, Alunos!$H:$H = ""Participa"")"),"Turma E")</f>
        <v/>
      </c>
      <c r="C2" s="34">
        <f>IFERROR(__xludf.DUMMYFUNCTION("FILTER(Alunos!C:C, Alunos!$H:$H = ""Participa"")"),"Matutino")</f>
        <v/>
      </c>
      <c r="D2" s="34" t="inlineStr">
        <is>
          <t>Veio</t>
        </is>
      </c>
      <c r="F2" s="61" t="inlineStr">
        <is>
          <t>Categoria</t>
        </is>
      </c>
      <c r="G2" s="61" t="inlineStr">
        <is>
          <t>Turmas</t>
        </is>
      </c>
      <c r="H2" s="131" t="n"/>
      <c r="I2" s="73" t="inlineStr">
        <is>
          <t>Resultados</t>
        </is>
      </c>
      <c r="J2" s="74" t="n"/>
    </row>
    <row r="3">
      <c r="A3" s="34">
        <f>IFERROR(__xludf.DUMMYFUNCTION("""COMPUTED_VALUE"""),"ALLAN ALVES RIBEIRO")</f>
        <v/>
      </c>
      <c r="B3" s="34">
        <f>IFERROR(__xludf.DUMMYFUNCTION("""COMPUTED_VALUE"""),"Turma E")</f>
        <v/>
      </c>
      <c r="C3" s="34">
        <f>IFERROR(__xludf.DUMMYFUNCTION("""COMPUTED_VALUE"""),"Vespertino")</f>
        <v/>
      </c>
      <c r="D3" s="34" t="inlineStr">
        <is>
          <t>Veio</t>
        </is>
      </c>
      <c r="F3" s="67" t="inlineStr">
        <is>
          <t>Juvenil</t>
        </is>
      </c>
      <c r="G3" s="114" t="inlineStr">
        <is>
          <t>C m</t>
        </is>
      </c>
      <c r="H3" s="114" t="inlineStr">
        <is>
          <t>D v</t>
        </is>
      </c>
      <c r="I3" s="65" t="inlineStr">
        <is>
          <t>D v</t>
        </is>
      </c>
      <c r="J3" s="74" t="n"/>
    </row>
    <row r="4">
      <c r="A4" s="34">
        <f>IFERROR(__xludf.DUMMYFUNCTION("""COMPUTED_VALUE"""),"ANA CLARA DE FREITAS TEIXEIRA")</f>
        <v/>
      </c>
      <c r="B4" s="34">
        <f>IFERROR(__xludf.DUMMYFUNCTION("""COMPUTED_VALUE"""),"Turma GR")</f>
        <v/>
      </c>
      <c r="C4" s="34">
        <f>IFERROR(__xludf.DUMMYFUNCTION("""COMPUTED_VALUE"""),"Vespertino")</f>
        <v/>
      </c>
      <c r="D4" s="34" t="inlineStr">
        <is>
          <t>Veio</t>
        </is>
      </c>
      <c r="F4" s="134" t="n"/>
      <c r="G4" s="114" t="inlineStr">
        <is>
          <t>C v</t>
        </is>
      </c>
      <c r="H4" s="114" t="inlineStr">
        <is>
          <t>D m</t>
        </is>
      </c>
      <c r="I4" s="65" t="inlineStr">
        <is>
          <t>D m</t>
        </is>
      </c>
      <c r="J4" s="74" t="inlineStr">
        <is>
          <t>Cv torcida</t>
        </is>
      </c>
    </row>
    <row r="5">
      <c r="A5" s="34">
        <f>IFERROR(__xludf.DUMMYFUNCTION("""COMPUTED_VALUE"""),"ANA LUIZA DA SILVA BORGES")</f>
        <v/>
      </c>
      <c r="B5" s="34">
        <f>IFERROR(__xludf.DUMMYFUNCTION("""COMPUTED_VALUE"""),"Turma E")</f>
        <v/>
      </c>
      <c r="C5" s="34">
        <f>IFERROR(__xludf.DUMMYFUNCTION("""COMPUTED_VALUE"""),"Matutino")</f>
        <v/>
      </c>
      <c r="D5" s="34" t="inlineStr">
        <is>
          <t>Veio</t>
        </is>
      </c>
      <c r="F5" s="134" t="n"/>
      <c r="G5" s="114" t="inlineStr">
        <is>
          <t>B2 v</t>
        </is>
      </c>
      <c r="H5" s="114" t="inlineStr">
        <is>
          <t>D v</t>
        </is>
      </c>
      <c r="I5" s="65" t="inlineStr">
        <is>
          <t>D v</t>
        </is>
      </c>
      <c r="J5" s="74" t="n"/>
    </row>
    <row r="6">
      <c r="A6" s="34">
        <f>IFERROR(__xludf.DUMMYFUNCTION("""COMPUTED_VALUE"""),"ANA VITÓRIA ALCANTARA DIAS FERREIRA")</f>
        <v/>
      </c>
      <c r="B6" s="34">
        <f>IFERROR(__xludf.DUMMYFUNCTION("""COMPUTED_VALUE"""),"Turma E")</f>
        <v/>
      </c>
      <c r="C6" s="34">
        <f>IFERROR(__xludf.DUMMYFUNCTION("""COMPUTED_VALUE"""),"Vespertino")</f>
        <v/>
      </c>
      <c r="D6" s="34" t="inlineStr">
        <is>
          <t>Veio</t>
        </is>
      </c>
      <c r="F6" s="134" t="n"/>
      <c r="G6" s="114" t="inlineStr">
        <is>
          <t>C m</t>
        </is>
      </c>
      <c r="H6" s="114" t="inlineStr">
        <is>
          <t>C v</t>
        </is>
      </c>
      <c r="I6" s="65" t="inlineStr">
        <is>
          <t>C v</t>
        </is>
      </c>
      <c r="J6" s="74" t="n"/>
    </row>
    <row r="7">
      <c r="A7" s="34">
        <f>IFERROR(__xludf.DUMMYFUNCTION("""COMPUTED_VALUE"""),"Andressa Campos De Barros")</f>
        <v/>
      </c>
      <c r="B7" s="34">
        <f>IFERROR(__xludf.DUMMYFUNCTION("""COMPUTED_VALUE"""),"Turma D")</f>
        <v/>
      </c>
      <c r="C7" s="34">
        <f>IFERROR(__xludf.DUMMYFUNCTION("""COMPUTED_VALUE"""),"Vespertino")</f>
        <v/>
      </c>
      <c r="D7" s="34" t="inlineStr">
        <is>
          <t>Veio</t>
        </is>
      </c>
      <c r="F7" s="134" t="n"/>
      <c r="G7" s="114" t="inlineStr">
        <is>
          <t>B2 v</t>
        </is>
      </c>
      <c r="H7" s="114" t="inlineStr">
        <is>
          <t>D m</t>
        </is>
      </c>
      <c r="I7" s="65" t="inlineStr">
        <is>
          <t>D m</t>
        </is>
      </c>
      <c r="J7" s="74" t="n"/>
    </row>
    <row r="8">
      <c r="A8" s="34">
        <f>IFERROR(__xludf.DUMMYFUNCTION("""COMPUTED_VALUE"""),"ANY GABRIELLY DE ALMEIDA OLIVEIRA")</f>
        <v/>
      </c>
      <c r="B8" s="34">
        <f>IFERROR(__xludf.DUMMYFUNCTION("""COMPUTED_VALUE"""),"Turma E")</f>
        <v/>
      </c>
      <c r="C8" s="34">
        <f>IFERROR(__xludf.DUMMYFUNCTION("""COMPUTED_VALUE"""),"Vespertino")</f>
        <v/>
      </c>
      <c r="D8" s="34" t="inlineStr">
        <is>
          <t>Veio</t>
        </is>
      </c>
      <c r="F8" s="134" t="n"/>
      <c r="G8" s="24" t="inlineStr">
        <is>
          <t>D v</t>
        </is>
      </c>
      <c r="H8" s="24" t="inlineStr">
        <is>
          <t>C v</t>
        </is>
      </c>
      <c r="I8" s="65" t="inlineStr">
        <is>
          <t>D v</t>
        </is>
      </c>
      <c r="J8" s="74" t="n"/>
    </row>
    <row r="9">
      <c r="A9" s="34">
        <f>IFERROR(__xludf.DUMMYFUNCTION("""COMPUTED_VALUE"""),"AQUIRIZ ARAUJO DE FREITAS")</f>
        <v/>
      </c>
      <c r="B9" s="34">
        <f>IFERROR(__xludf.DUMMYFUNCTION("""COMPUTED_VALUE"""),"Turma C")</f>
        <v/>
      </c>
      <c r="C9" s="34">
        <f>IFERROR(__xludf.DUMMYFUNCTION("""COMPUTED_VALUE"""),"Vespertino")</f>
        <v/>
      </c>
      <c r="D9" s="34" t="inlineStr">
        <is>
          <t>Veio</t>
        </is>
      </c>
      <c r="F9" s="134" t="n"/>
      <c r="G9" s="24" t="inlineStr">
        <is>
          <t>B2 v</t>
        </is>
      </c>
      <c r="H9" s="24" t="inlineStr">
        <is>
          <t>C v</t>
        </is>
      </c>
      <c r="I9" s="65" t="inlineStr">
        <is>
          <t>B2 v</t>
        </is>
      </c>
      <c r="J9" s="74" t="inlineStr">
        <is>
          <t>Aluno (n/d) - Aluno (n/d) - Aluno (n/d) Dm</t>
        </is>
      </c>
      <c r="K9" s="34" t="inlineStr">
        <is>
          <t xml:space="preserve"> Aluno (n/d) Aluno (n/d)</t>
        </is>
      </c>
    </row>
    <row r="10">
      <c r="A10" s="34">
        <f>IFERROR(__xludf.DUMMYFUNCTION("""COMPUTED_VALUE"""),"ARTHUR FERREIRA NAPOLEÃO")</f>
        <v/>
      </c>
      <c r="B10" s="34">
        <f>IFERROR(__xludf.DUMMYFUNCTION("""COMPUTED_VALUE"""),"Turma D")</f>
        <v/>
      </c>
      <c r="C10" s="34">
        <f>IFERROR(__xludf.DUMMYFUNCTION("""COMPUTED_VALUE"""),"Matutino")</f>
        <v/>
      </c>
      <c r="D10" s="34" t="inlineStr">
        <is>
          <t>Veio</t>
        </is>
      </c>
      <c r="F10" s="134" t="n"/>
      <c r="G10" s="24" t="inlineStr">
        <is>
          <t>D m</t>
        </is>
      </c>
      <c r="H10" s="24" t="inlineStr">
        <is>
          <t>C m</t>
        </is>
      </c>
      <c r="I10" s="65" t="inlineStr">
        <is>
          <t>D m</t>
        </is>
      </c>
      <c r="J10" s="25" t="inlineStr">
        <is>
          <t>Aluno (n/d) Aluno (n/d) - Aluno (n/d) Aluno (n/d) Cm</t>
        </is>
      </c>
    </row>
    <row r="11">
      <c r="A11" s="34">
        <f>IFERROR(__xludf.DUMMYFUNCTION("""COMPUTED_VALUE"""),"ARTHUR LOPES RODRIGUES NEVES")</f>
        <v/>
      </c>
      <c r="B11" s="34">
        <f>IFERROR(__xludf.DUMMYFUNCTION("""COMPUTED_VALUE"""),"Turma B2")</f>
        <v/>
      </c>
      <c r="C11" s="34">
        <f>IFERROR(__xludf.DUMMYFUNCTION("""COMPUTED_VALUE"""),"Vespertino")</f>
        <v/>
      </c>
      <c r="D11" s="34" t="inlineStr">
        <is>
          <t>Veio</t>
        </is>
      </c>
      <c r="F11" s="134" t="n"/>
      <c r="G11" s="24" t="inlineStr">
        <is>
          <t>B2 v</t>
        </is>
      </c>
      <c r="H11" s="24" t="inlineStr">
        <is>
          <t>C m</t>
        </is>
      </c>
      <c r="I11" s="65" t="inlineStr">
        <is>
          <t>B2 v</t>
        </is>
      </c>
      <c r="J11" s="74" t="n"/>
    </row>
    <row r="12">
      <c r="A12" s="34">
        <f>IFERROR(__xludf.DUMMYFUNCTION("""COMPUTED_VALUE"""),"CAIO RUAN GERÔNIMO OLIVEIRA")</f>
        <v/>
      </c>
      <c r="B12" s="34">
        <f>IFERROR(__xludf.DUMMYFUNCTION("""COMPUTED_VALUE"""),"Turma E")</f>
        <v/>
      </c>
      <c r="C12" s="34">
        <f>IFERROR(__xludf.DUMMYFUNCTION("""COMPUTED_VALUE"""),"Matutino")</f>
        <v/>
      </c>
      <c r="D12" s="34" t="inlineStr">
        <is>
          <t>Veio</t>
        </is>
      </c>
      <c r="F12" s="134" t="n"/>
      <c r="G12" s="24" t="inlineStr">
        <is>
          <t>D m</t>
        </is>
      </c>
      <c r="H12" s="24" t="inlineStr">
        <is>
          <t>D v</t>
        </is>
      </c>
      <c r="I12" s="65" t="inlineStr">
        <is>
          <t>D v</t>
        </is>
      </c>
      <c r="J12" s="74" t="n"/>
    </row>
    <row r="13">
      <c r="A13" s="34">
        <f>IFERROR(__xludf.DUMMYFUNCTION("""COMPUTED_VALUE"""),"CAIO SOUZA PRÓCÓPIO DA SILVA")</f>
        <v/>
      </c>
      <c r="B13" s="34">
        <f>IFERROR(__xludf.DUMMYFUNCTION("""COMPUTED_VALUE"""),"Turma E")</f>
        <v/>
      </c>
      <c r="C13" s="34">
        <f>IFERROR(__xludf.DUMMYFUNCTION("""COMPUTED_VALUE"""),"Matutino")</f>
        <v/>
      </c>
      <c r="D13" s="34" t="inlineStr">
        <is>
          <t>Veio</t>
        </is>
      </c>
      <c r="F13" s="137" t="inlineStr">
        <is>
          <t>Júnior</t>
        </is>
      </c>
      <c r="G13" s="114" t="inlineStr">
        <is>
          <t>E m</t>
        </is>
      </c>
      <c r="H13" s="114" t="inlineStr">
        <is>
          <t>E v</t>
        </is>
      </c>
      <c r="I13" s="65" t="inlineStr">
        <is>
          <t>E m</t>
        </is>
      </c>
      <c r="J13" s="74" t="n"/>
    </row>
    <row r="14">
      <c r="A14" s="34">
        <f>IFERROR(__xludf.DUMMYFUNCTION("""COMPUTED_VALUE"""),"CARLOS DANIEL BARROSO FERREIRA")</f>
        <v/>
      </c>
      <c r="B14" s="34">
        <f>IFERROR(__xludf.DUMMYFUNCTION("""COMPUTED_VALUE"""),"Turma C")</f>
        <v/>
      </c>
      <c r="C14" s="34">
        <f>IFERROR(__xludf.DUMMYFUNCTION("""COMPUTED_VALUE"""),"Vespertino")</f>
        <v/>
      </c>
      <c r="D14" s="34" t="inlineStr">
        <is>
          <t>Veio</t>
        </is>
      </c>
      <c r="F14" s="134" t="n"/>
      <c r="G14" s="114" t="inlineStr">
        <is>
          <t>GR</t>
        </is>
      </c>
      <c r="H14" s="114" t="inlineStr">
        <is>
          <t>E m</t>
        </is>
      </c>
      <c r="I14" s="65" t="inlineStr">
        <is>
          <t>GR</t>
        </is>
      </c>
      <c r="J14" s="74" t="inlineStr">
        <is>
          <t>Gr torcida</t>
        </is>
      </c>
    </row>
    <row r="15">
      <c r="A15" s="34">
        <f>IFERROR(__xludf.DUMMYFUNCTION("""COMPUTED_VALUE"""),"CARLOS EDUARDO GENUINO DE ALENCAR")</f>
        <v/>
      </c>
      <c r="B15" s="34">
        <f>IFERROR(__xludf.DUMMYFUNCTION("""COMPUTED_VALUE"""),"Turma C")</f>
        <v/>
      </c>
      <c r="C15" s="34">
        <f>IFERROR(__xludf.DUMMYFUNCTION("""COMPUTED_VALUE"""),"Vespertino")</f>
        <v/>
      </c>
      <c r="D15" s="34" t="inlineStr">
        <is>
          <t>Veio</t>
        </is>
      </c>
      <c r="F15" s="135" t="n"/>
      <c r="G15" s="114" t="inlineStr">
        <is>
          <t>E v</t>
        </is>
      </c>
      <c r="H15" s="114" t="inlineStr">
        <is>
          <t>GR</t>
        </is>
      </c>
      <c r="I15" s="65" t="inlineStr">
        <is>
          <t>GR</t>
        </is>
      </c>
      <c r="J15" s="74" t="n"/>
    </row>
    <row r="16">
      <c r="A16" s="34">
        <f>IFERROR(__xludf.DUMMYFUNCTION("""COMPUTED_VALUE"""),"CARLOS EDUARDO VILLA NOVA DOS SANTOS")</f>
        <v/>
      </c>
      <c r="B16" s="34">
        <f>IFERROR(__xludf.DUMMYFUNCTION("""COMPUTED_VALUE"""),"Turma D")</f>
        <v/>
      </c>
      <c r="C16" s="34">
        <f>IFERROR(__xludf.DUMMYFUNCTION("""COMPUTED_VALUE"""),"Matutino")</f>
        <v/>
      </c>
      <c r="D16" s="34" t="inlineStr">
        <is>
          <t>Não Veio</t>
        </is>
      </c>
      <c r="F16" s="59" t="n"/>
      <c r="J16" s="74" t="n"/>
    </row>
    <row r="17">
      <c r="A17" s="34">
        <f>IFERROR(__xludf.DUMMYFUNCTION("""COMPUTED_VALUE"""),"CAUÃ VITORINO HOTTS DA SILVA")</f>
        <v/>
      </c>
      <c r="B17" s="34">
        <f>IFERROR(__xludf.DUMMYFUNCTION("""COMPUTED_VALUE"""),"Turma E")</f>
        <v/>
      </c>
      <c r="C17" s="34">
        <f>IFERROR(__xludf.DUMMYFUNCTION("""COMPUTED_VALUE"""),"Vespertino")</f>
        <v/>
      </c>
      <c r="D17" s="34" t="inlineStr">
        <is>
          <t>Veio</t>
        </is>
      </c>
      <c r="F17" s="59" t="n"/>
      <c r="J17" s="74" t="n"/>
    </row>
    <row r="18">
      <c r="A18" s="34">
        <f>IFERROR(__xludf.DUMMYFUNCTION("""COMPUTED_VALUE"""),"CLAUDIA GABRIELY CAMARGO MOREIRA")</f>
        <v/>
      </c>
      <c r="B18" s="34">
        <f>IFERROR(__xludf.DUMMYFUNCTION("""COMPUTED_VALUE"""),"Turma D")</f>
        <v/>
      </c>
      <c r="C18" s="34">
        <f>IFERROR(__xludf.DUMMYFUNCTION("""COMPUTED_VALUE"""),"Matutino")</f>
        <v/>
      </c>
      <c r="D18" s="34" t="inlineStr">
        <is>
          <t>Veio</t>
        </is>
      </c>
      <c r="J18" s="74" t="n"/>
    </row>
    <row r="19">
      <c r="A19" s="34">
        <f>IFERROR(__xludf.DUMMYFUNCTION("""COMPUTED_VALUE"""),"DAVI LORENZO BARBOSA MOREIRA")</f>
        <v/>
      </c>
      <c r="B19" s="34">
        <f>IFERROR(__xludf.DUMMYFUNCTION("""COMPUTED_VALUE"""),"Turma C")</f>
        <v/>
      </c>
      <c r="C19" s="34">
        <f>IFERROR(__xludf.DUMMYFUNCTION("""COMPUTED_VALUE"""),"Vespertino")</f>
        <v/>
      </c>
      <c r="D19" s="34" t="inlineStr">
        <is>
          <t>Veio</t>
        </is>
      </c>
      <c r="J19" s="74" t="n"/>
    </row>
    <row r="20">
      <c r="A20" s="34">
        <f>IFERROR(__xludf.DUMMYFUNCTION("""COMPUTED_VALUE"""),"DERIK PEREIRA VIANA")</f>
        <v/>
      </c>
      <c r="B20" s="34">
        <f>IFERROR(__xludf.DUMMYFUNCTION("""COMPUTED_VALUE"""),"Turma B2")</f>
        <v/>
      </c>
      <c r="C20" s="34">
        <f>IFERROR(__xludf.DUMMYFUNCTION("""COMPUTED_VALUE"""),"Vespertino")</f>
        <v/>
      </c>
      <c r="D20" s="34" t="inlineStr">
        <is>
          <t>Veio</t>
        </is>
      </c>
      <c r="J20" s="74" t="n"/>
    </row>
    <row r="21">
      <c r="A21" s="34">
        <f>IFERROR(__xludf.DUMMYFUNCTION("""COMPUTED_VALUE"""),"DIEGO RENAN OLIVEIRA DA SILVA")</f>
        <v/>
      </c>
      <c r="B21" s="34">
        <f>IFERROR(__xludf.DUMMYFUNCTION("""COMPUTED_VALUE"""),"Turma E")</f>
        <v/>
      </c>
      <c r="C21" s="34">
        <f>IFERROR(__xludf.DUMMYFUNCTION("""COMPUTED_VALUE"""),"Vespertino")</f>
        <v/>
      </c>
      <c r="D21" s="34" t="inlineStr">
        <is>
          <t>Veio</t>
        </is>
      </c>
      <c r="J21" s="74" t="n"/>
    </row>
    <row r="22">
      <c r="A22" s="34">
        <f>IFERROR(__xludf.DUMMYFUNCTION("""COMPUTED_VALUE"""),"EMANIELLY VITÓRIA PORTUGAL DE ALMEIDA")</f>
        <v/>
      </c>
      <c r="B22" s="34">
        <f>IFERROR(__xludf.DUMMYFUNCTION("""COMPUTED_VALUE"""),"Turma C")</f>
        <v/>
      </c>
      <c r="C22" s="34">
        <f>IFERROR(__xludf.DUMMYFUNCTION("""COMPUTED_VALUE"""),"Vespertino")</f>
        <v/>
      </c>
      <c r="D22" s="34" t="inlineStr">
        <is>
          <t>Veio</t>
        </is>
      </c>
      <c r="J22" s="74" t="n"/>
    </row>
    <row r="23">
      <c r="A23" s="34">
        <f>IFERROR(__xludf.DUMMYFUNCTION("""COMPUTED_VALUE"""),"EMANUEL BATISTA DA SILVA")</f>
        <v/>
      </c>
      <c r="B23" s="34">
        <f>IFERROR(__xludf.DUMMYFUNCTION("""COMPUTED_VALUE"""),"Turma E")</f>
        <v/>
      </c>
      <c r="C23" s="34">
        <f>IFERROR(__xludf.DUMMYFUNCTION("""COMPUTED_VALUE"""),"Vespertino")</f>
        <v/>
      </c>
      <c r="D23" s="34" t="inlineStr">
        <is>
          <t>Veio</t>
        </is>
      </c>
      <c r="J23" s="74" t="n"/>
    </row>
    <row r="24">
      <c r="A24" s="34">
        <f>IFERROR(__xludf.DUMMYFUNCTION("""COMPUTED_VALUE"""),"EMILLY VICTÓRIA DO NASCIMENTO BEZERRA")</f>
        <v/>
      </c>
      <c r="B24" s="34">
        <f>IFERROR(__xludf.DUMMYFUNCTION("""COMPUTED_VALUE"""),"Turma B2")</f>
        <v/>
      </c>
      <c r="C24" s="34">
        <f>IFERROR(__xludf.DUMMYFUNCTION("""COMPUTED_VALUE"""),"Vespertino")</f>
        <v/>
      </c>
      <c r="D24" s="34" t="inlineStr">
        <is>
          <t>Veio</t>
        </is>
      </c>
      <c r="J24" s="74" t="n"/>
    </row>
    <row r="25">
      <c r="A25" s="34">
        <f>IFERROR(__xludf.DUMMYFUNCTION("""COMPUTED_VALUE"""),"EMILY VITÓRIA DA SILVA SANTOS")</f>
        <v/>
      </c>
      <c r="B25" s="34">
        <f>IFERROR(__xludf.DUMMYFUNCTION("""COMPUTED_VALUE"""),"Turma GR")</f>
        <v/>
      </c>
      <c r="C25" s="34">
        <f>IFERROR(__xludf.DUMMYFUNCTION("""COMPUTED_VALUE"""),"Vespertino")</f>
        <v/>
      </c>
      <c r="D25" s="34" t="inlineStr">
        <is>
          <t>Veio</t>
        </is>
      </c>
      <c r="J25" s="74" t="n"/>
    </row>
    <row r="26">
      <c r="A26" s="34">
        <f>IFERROR(__xludf.DUMMYFUNCTION("""COMPUTED_VALUE"""),"ENZO GABRIEL FERREIRA DOS SANTOS")</f>
        <v/>
      </c>
      <c r="B26" s="34">
        <f>IFERROR(__xludf.DUMMYFUNCTION("""COMPUTED_VALUE"""),"Turma B2")</f>
        <v/>
      </c>
      <c r="C26" s="34">
        <f>IFERROR(__xludf.DUMMYFUNCTION("""COMPUTED_VALUE"""),"Vespertino")</f>
        <v/>
      </c>
      <c r="D26" s="34" t="inlineStr">
        <is>
          <t>Veio</t>
        </is>
      </c>
      <c r="J26" s="74" t="n"/>
    </row>
    <row r="27">
      <c r="A27" s="34">
        <f>IFERROR(__xludf.DUMMYFUNCTION("""COMPUTED_VALUE"""),"EROS PINHEIRO")</f>
        <v/>
      </c>
      <c r="B27" s="34">
        <f>IFERROR(__xludf.DUMMYFUNCTION("""COMPUTED_VALUE"""),"Turma GR")</f>
        <v/>
      </c>
      <c r="C27" s="34">
        <f>IFERROR(__xludf.DUMMYFUNCTION("""COMPUTED_VALUE"""),"Vespertino")</f>
        <v/>
      </c>
      <c r="D27" s="34" t="inlineStr">
        <is>
          <t>Veio</t>
        </is>
      </c>
      <c r="J27" s="74" t="n"/>
    </row>
    <row r="28">
      <c r="A28" s="34">
        <f>IFERROR(__xludf.DUMMYFUNCTION("""COMPUTED_VALUE"""),"ESTEPHANIE ISADORA SALES ROQUE")</f>
        <v/>
      </c>
      <c r="B28" s="34">
        <f>IFERROR(__xludf.DUMMYFUNCTION("""COMPUTED_VALUE"""),"Turma GR")</f>
        <v/>
      </c>
      <c r="C28" s="34">
        <f>IFERROR(__xludf.DUMMYFUNCTION("""COMPUTED_VALUE"""),"Vespertino")</f>
        <v/>
      </c>
      <c r="D28" s="34" t="inlineStr">
        <is>
          <t>Veio</t>
        </is>
      </c>
      <c r="J28" s="74" t="n"/>
    </row>
    <row r="29">
      <c r="A29" s="34">
        <f>IFERROR(__xludf.DUMMYFUNCTION("""COMPUTED_VALUE"""),"FELIPE LUAN DELGADO DOS SANTOS")</f>
        <v/>
      </c>
      <c r="B29" s="34">
        <f>IFERROR(__xludf.DUMMYFUNCTION("""COMPUTED_VALUE"""),"Turma C")</f>
        <v/>
      </c>
      <c r="C29" s="34">
        <f>IFERROR(__xludf.DUMMYFUNCTION("""COMPUTED_VALUE"""),"Vespertino")</f>
        <v/>
      </c>
      <c r="D29" s="34" t="inlineStr">
        <is>
          <t>Veio</t>
        </is>
      </c>
      <c r="J29" s="74" t="n"/>
    </row>
    <row r="30">
      <c r="A30" s="34">
        <f>IFERROR(__xludf.DUMMYFUNCTION("""COMPUTED_VALUE"""),"GABRIEL MARTINS DOS SANTOS")</f>
        <v/>
      </c>
      <c r="B30" s="34">
        <f>IFERROR(__xludf.DUMMYFUNCTION("""COMPUTED_VALUE"""),"Turma C")</f>
        <v/>
      </c>
      <c r="C30" s="34">
        <f>IFERROR(__xludf.DUMMYFUNCTION("""COMPUTED_VALUE"""),"Vespertino")</f>
        <v/>
      </c>
      <c r="D30" s="34" t="inlineStr">
        <is>
          <t>Não Veio</t>
        </is>
      </c>
      <c r="J30" s="74" t="n"/>
    </row>
    <row r="31">
      <c r="A31" s="34">
        <f>IFERROR(__xludf.DUMMYFUNCTION("""COMPUTED_VALUE"""),"GRAZIELLY VITÓRIA SOARES SANTOS")</f>
        <v/>
      </c>
      <c r="B31" s="34">
        <f>IFERROR(__xludf.DUMMYFUNCTION("""COMPUTED_VALUE"""),"Turma E")</f>
        <v/>
      </c>
      <c r="C31" s="34">
        <f>IFERROR(__xludf.DUMMYFUNCTION("""COMPUTED_VALUE"""),"Vespertino")</f>
        <v/>
      </c>
      <c r="D31" s="34" t="inlineStr">
        <is>
          <t>Veio</t>
        </is>
      </c>
      <c r="J31" s="74" t="n"/>
    </row>
    <row r="32">
      <c r="A32" s="34">
        <f>IFERROR(__xludf.DUMMYFUNCTION("""COMPUTED_VALUE"""),"GUILHERME DE ANDRADE ZENZI")</f>
        <v/>
      </c>
      <c r="B32" s="34">
        <f>IFERROR(__xludf.DUMMYFUNCTION("""COMPUTED_VALUE"""),"Turma E")</f>
        <v/>
      </c>
      <c r="C32" s="34">
        <f>IFERROR(__xludf.DUMMYFUNCTION("""COMPUTED_VALUE"""),"Vespertino")</f>
        <v/>
      </c>
      <c r="D32" s="34" t="inlineStr">
        <is>
          <t>Veio</t>
        </is>
      </c>
      <c r="J32" s="74" t="n"/>
    </row>
    <row r="33">
      <c r="A33" s="34">
        <f>IFERROR(__xludf.DUMMYFUNCTION("""COMPUTED_VALUE"""),"GUSTAVO GALVÃO DE JESUS")</f>
        <v/>
      </c>
      <c r="B33" s="34">
        <f>IFERROR(__xludf.DUMMYFUNCTION("""COMPUTED_VALUE"""),"Turma D")</f>
        <v/>
      </c>
      <c r="C33" s="34">
        <f>IFERROR(__xludf.DUMMYFUNCTION("""COMPUTED_VALUE"""),"Matutino")</f>
        <v/>
      </c>
      <c r="D33" s="34" t="inlineStr">
        <is>
          <t>Veio</t>
        </is>
      </c>
      <c r="J33" s="74" t="n"/>
    </row>
    <row r="34">
      <c r="A34" s="34">
        <f>IFERROR(__xludf.DUMMYFUNCTION("""COMPUTED_VALUE"""),"Heitor Miguel Barbosa De Melo Ferreira")</f>
        <v/>
      </c>
      <c r="B34" s="34">
        <f>IFERROR(__xludf.DUMMYFUNCTION("""COMPUTED_VALUE"""),"Turma C")</f>
        <v/>
      </c>
      <c r="C34" s="34">
        <f>IFERROR(__xludf.DUMMYFUNCTION("""COMPUTED_VALUE"""),"Matutino")</f>
        <v/>
      </c>
      <c r="D34" s="34" t="inlineStr">
        <is>
          <t>Veio</t>
        </is>
      </c>
      <c r="J34" s="74" t="n"/>
    </row>
    <row r="35">
      <c r="A35" s="34">
        <f>IFERROR(__xludf.DUMMYFUNCTION("""COMPUTED_VALUE"""),"Henrique Rocha Almeida")</f>
        <v/>
      </c>
      <c r="B35" s="34">
        <f>IFERROR(__xludf.DUMMYFUNCTION("""COMPUTED_VALUE"""),"Turma D")</f>
        <v/>
      </c>
      <c r="C35" s="34">
        <f>IFERROR(__xludf.DUMMYFUNCTION("""COMPUTED_VALUE"""),"Vespertino")</f>
        <v/>
      </c>
      <c r="D35" s="34" t="inlineStr">
        <is>
          <t>Veio</t>
        </is>
      </c>
      <c r="J35" s="74" t="n"/>
    </row>
    <row r="36">
      <c r="A36" s="34">
        <f>IFERROR(__xludf.DUMMYFUNCTION("""COMPUTED_VALUE"""),"Higor Santiago Castro Farfan")</f>
        <v/>
      </c>
      <c r="B36" s="34">
        <f>IFERROR(__xludf.DUMMYFUNCTION("""COMPUTED_VALUE"""),"Turma GR")</f>
        <v/>
      </c>
      <c r="C36" s="34">
        <f>IFERROR(__xludf.DUMMYFUNCTION("""COMPUTED_VALUE"""),"Vespertino")</f>
        <v/>
      </c>
      <c r="D36" s="34" t="inlineStr">
        <is>
          <t>Veio</t>
        </is>
      </c>
      <c r="J36" s="74" t="n"/>
    </row>
    <row r="37">
      <c r="A37" s="34">
        <f>IFERROR(__xludf.DUMMYFUNCTION("""COMPUTED_VALUE"""),"HIURY QUENUPE DE OLIVEIRA")</f>
        <v/>
      </c>
      <c r="B37" s="34">
        <f>IFERROR(__xludf.DUMMYFUNCTION("""COMPUTED_VALUE"""),"Turma E")</f>
        <v/>
      </c>
      <c r="C37" s="34">
        <f>IFERROR(__xludf.DUMMYFUNCTION("""COMPUTED_VALUE"""),"Matutino")</f>
        <v/>
      </c>
      <c r="D37" s="34" t="inlineStr">
        <is>
          <t>Veio</t>
        </is>
      </c>
      <c r="J37" s="74" t="n"/>
    </row>
    <row r="38">
      <c r="A38" s="34">
        <f>IFERROR(__xludf.DUMMYFUNCTION("""COMPUTED_VALUE"""),"JHONNY VICTOR DE LIMA TRINDADE")</f>
        <v/>
      </c>
      <c r="B38" s="34">
        <f>IFERROR(__xludf.DUMMYFUNCTION("""COMPUTED_VALUE"""),"Turma E")</f>
        <v/>
      </c>
      <c r="C38" s="34">
        <f>IFERROR(__xludf.DUMMYFUNCTION("""COMPUTED_VALUE"""),"Vespertino")</f>
        <v/>
      </c>
      <c r="D38" s="34" t="inlineStr">
        <is>
          <t>Veio</t>
        </is>
      </c>
      <c r="J38" s="74" t="n"/>
    </row>
    <row r="39">
      <c r="A39" s="34">
        <f>IFERROR(__xludf.DUMMYFUNCTION("""COMPUTED_VALUE"""),"JOÃO GUILHERME FERREIRA DOS SANTOS")</f>
        <v/>
      </c>
      <c r="B39" s="34">
        <f>IFERROR(__xludf.DUMMYFUNCTION("""COMPUTED_VALUE"""),"Turma E")</f>
        <v/>
      </c>
      <c r="C39" s="34">
        <f>IFERROR(__xludf.DUMMYFUNCTION("""COMPUTED_VALUE"""),"Vespertino")</f>
        <v/>
      </c>
      <c r="D39" s="34" t="inlineStr">
        <is>
          <t>Veio</t>
        </is>
      </c>
      <c r="J39" s="74" t="n"/>
    </row>
    <row r="40">
      <c r="A40" s="34">
        <f>IFERROR(__xludf.DUMMYFUNCTION("""COMPUTED_VALUE"""),"JOÃO PEDRO JESUS SOUZA")</f>
        <v/>
      </c>
      <c r="B40" s="34">
        <f>IFERROR(__xludf.DUMMYFUNCTION("""COMPUTED_VALUE"""),"Turma E")</f>
        <v/>
      </c>
      <c r="C40" s="34">
        <f>IFERROR(__xludf.DUMMYFUNCTION("""COMPUTED_VALUE"""),"Vespertino")</f>
        <v/>
      </c>
      <c r="D40" s="34" t="inlineStr">
        <is>
          <t>Veio</t>
        </is>
      </c>
      <c r="J40" s="74" t="n"/>
    </row>
    <row r="41">
      <c r="A41" s="34">
        <f>IFERROR(__xludf.DUMMYFUNCTION("""COMPUTED_VALUE"""),"JOÃO VICTOR CAETANO COELHO")</f>
        <v/>
      </c>
      <c r="B41" s="34">
        <f>IFERROR(__xludf.DUMMYFUNCTION("""COMPUTED_VALUE"""),"Turma E")</f>
        <v/>
      </c>
      <c r="C41" s="34">
        <f>IFERROR(__xludf.DUMMYFUNCTION("""COMPUTED_VALUE"""),"Matutino")</f>
        <v/>
      </c>
      <c r="D41" s="34" t="inlineStr">
        <is>
          <t>Veio</t>
        </is>
      </c>
      <c r="J41" s="74" t="n"/>
    </row>
    <row r="42">
      <c r="A42" s="34">
        <f>IFERROR(__xludf.DUMMYFUNCTION("""COMPUTED_VALUE"""),"Joaquim Miguel Silva Melo")</f>
        <v/>
      </c>
      <c r="B42" s="34">
        <f>IFERROR(__xludf.DUMMYFUNCTION("""COMPUTED_VALUE"""),"Turma C")</f>
        <v/>
      </c>
      <c r="C42" s="34">
        <f>IFERROR(__xludf.DUMMYFUNCTION("""COMPUTED_VALUE"""),"Matutino")</f>
        <v/>
      </c>
      <c r="D42" s="34" t="inlineStr">
        <is>
          <t>Veio</t>
        </is>
      </c>
      <c r="J42" s="74" t="n"/>
    </row>
    <row r="43">
      <c r="A43" s="34">
        <f>IFERROR(__xludf.DUMMYFUNCTION("""COMPUTED_VALUE"""),"JOSÉ GABRIEL NEVES OLIVEIRA")</f>
        <v/>
      </c>
      <c r="B43" s="34">
        <f>IFERROR(__xludf.DUMMYFUNCTION("""COMPUTED_VALUE"""),"Turma B2")</f>
        <v/>
      </c>
      <c r="C43" s="34">
        <f>IFERROR(__xludf.DUMMYFUNCTION("""COMPUTED_VALUE"""),"Vespertino")</f>
        <v/>
      </c>
      <c r="D43" s="34" t="inlineStr">
        <is>
          <t>Veio</t>
        </is>
      </c>
      <c r="J43" s="74" t="n"/>
    </row>
    <row r="44">
      <c r="A44" s="34">
        <f>IFERROR(__xludf.DUMMYFUNCTION("""COMPUTED_VALUE"""),"JULIA FABIOLA ALEXANDRE FERNANDES")</f>
        <v/>
      </c>
      <c r="B44" s="34">
        <f>IFERROR(__xludf.DUMMYFUNCTION("""COMPUTED_VALUE"""),"Turma E")</f>
        <v/>
      </c>
      <c r="C44" s="34">
        <f>IFERROR(__xludf.DUMMYFUNCTION("""COMPUTED_VALUE"""),"Vespertino")</f>
        <v/>
      </c>
      <c r="D44" s="34" t="inlineStr">
        <is>
          <t>Veio</t>
        </is>
      </c>
      <c r="J44" s="74" t="n"/>
    </row>
    <row r="45">
      <c r="A45" s="34">
        <f>IFERROR(__xludf.DUMMYFUNCTION("""COMPUTED_VALUE"""),"Kamily Barbosa Lemes")</f>
        <v/>
      </c>
      <c r="B45" s="34">
        <f>IFERROR(__xludf.DUMMYFUNCTION("""COMPUTED_VALUE"""),"Turma C")</f>
        <v/>
      </c>
      <c r="C45" s="34">
        <f>IFERROR(__xludf.DUMMYFUNCTION("""COMPUTED_VALUE"""),"Matutino")</f>
        <v/>
      </c>
      <c r="D45" s="34" t="inlineStr">
        <is>
          <t>Veio</t>
        </is>
      </c>
      <c r="J45" s="74" t="n"/>
    </row>
    <row r="46">
      <c r="A46" s="34">
        <f>IFERROR(__xludf.DUMMYFUNCTION("""COMPUTED_VALUE"""),"KAUANE BARBOSA LEMES")</f>
        <v/>
      </c>
      <c r="B46" s="34">
        <f>IFERROR(__xludf.DUMMYFUNCTION("""COMPUTED_VALUE"""),"Turma E")</f>
        <v/>
      </c>
      <c r="C46" s="34">
        <f>IFERROR(__xludf.DUMMYFUNCTION("""COMPUTED_VALUE"""),"Vespertino")</f>
        <v/>
      </c>
      <c r="D46" s="34" t="inlineStr">
        <is>
          <t>Veio</t>
        </is>
      </c>
      <c r="J46" s="74" t="n"/>
    </row>
    <row r="47">
      <c r="A47" s="34">
        <f>IFERROR(__xludf.DUMMYFUNCTION("""COMPUTED_VALUE"""),"LAURA SOPHIE DA SILVA NASCIMENTO")</f>
        <v/>
      </c>
      <c r="B47" s="34">
        <f>IFERROR(__xludf.DUMMYFUNCTION("""COMPUTED_VALUE"""),"Turma B2")</f>
        <v/>
      </c>
      <c r="C47" s="34">
        <f>IFERROR(__xludf.DUMMYFUNCTION("""COMPUTED_VALUE"""),"Vespertino")</f>
        <v/>
      </c>
      <c r="D47" s="34" t="inlineStr">
        <is>
          <t>Veio</t>
        </is>
      </c>
      <c r="J47" s="74" t="n"/>
    </row>
    <row r="48">
      <c r="A48" s="34">
        <f>IFERROR(__xludf.DUMMYFUNCTION("""COMPUTED_VALUE"""),"Leticia Carolinny Alvarenga Dos Santos")</f>
        <v/>
      </c>
      <c r="B48" s="34">
        <f>IFERROR(__xludf.DUMMYFUNCTION("""COMPUTED_VALUE"""),"Turma D")</f>
        <v/>
      </c>
      <c r="C48" s="34">
        <f>IFERROR(__xludf.DUMMYFUNCTION("""COMPUTED_VALUE"""),"Vespertino")</f>
        <v/>
      </c>
      <c r="D48" s="34" t="inlineStr">
        <is>
          <t>Veio</t>
        </is>
      </c>
      <c r="J48" s="74" t="n"/>
    </row>
    <row r="49">
      <c r="A49" s="34">
        <f>IFERROR(__xludf.DUMMYFUNCTION("""COMPUTED_VALUE"""),"LOGAN ARAUJO ALCANTARA")</f>
        <v/>
      </c>
      <c r="B49" s="34">
        <f>IFERROR(__xludf.DUMMYFUNCTION("""COMPUTED_VALUE"""),"Turma D")</f>
        <v/>
      </c>
      <c r="C49" s="34">
        <f>IFERROR(__xludf.DUMMYFUNCTION("""COMPUTED_VALUE"""),"Matutino")</f>
        <v/>
      </c>
      <c r="D49" s="34" t="inlineStr">
        <is>
          <t>Veio</t>
        </is>
      </c>
      <c r="J49" s="74" t="n"/>
    </row>
    <row r="50">
      <c r="A50" s="34">
        <f>IFERROR(__xludf.DUMMYFUNCTION("""COMPUTED_VALUE"""),"Luis Felipe Camargo Moreira")</f>
        <v/>
      </c>
      <c r="B50" s="34">
        <f>IFERROR(__xludf.DUMMYFUNCTION("""COMPUTED_VALUE"""),"Turma D")</f>
        <v/>
      </c>
      <c r="C50" s="34">
        <f>IFERROR(__xludf.DUMMYFUNCTION("""COMPUTED_VALUE"""),"Vespertino")</f>
        <v/>
      </c>
      <c r="D50" s="34" t="inlineStr">
        <is>
          <t>Veio</t>
        </is>
      </c>
      <c r="J50" s="74" t="n"/>
    </row>
    <row r="51">
      <c r="A51" s="34">
        <f>IFERROR(__xludf.DUMMYFUNCTION("""COMPUTED_VALUE"""),"Luiz Fernando Garcia De Souza")</f>
        <v/>
      </c>
      <c r="B51" s="34">
        <f>IFERROR(__xludf.DUMMYFUNCTION("""COMPUTED_VALUE"""),"Turma C")</f>
        <v/>
      </c>
      <c r="C51" s="34">
        <f>IFERROR(__xludf.DUMMYFUNCTION("""COMPUTED_VALUE"""),"Matutino")</f>
        <v/>
      </c>
      <c r="D51" s="34" t="inlineStr">
        <is>
          <t>Veio</t>
        </is>
      </c>
      <c r="J51" s="74" t="n"/>
    </row>
    <row r="52">
      <c r="A52" s="34">
        <f>IFERROR(__xludf.DUMMYFUNCTION("""COMPUTED_VALUE"""),"MARIA CLARA OLIVEIRA MENEZES MARTINS")</f>
        <v/>
      </c>
      <c r="B52" s="34">
        <f>IFERROR(__xludf.DUMMYFUNCTION("""COMPUTED_VALUE"""),"Turma GR")</f>
        <v/>
      </c>
      <c r="C52" s="34">
        <f>IFERROR(__xludf.DUMMYFUNCTION("""COMPUTED_VALUE"""),"Vespertino")</f>
        <v/>
      </c>
      <c r="D52" s="34" t="inlineStr">
        <is>
          <t>Veio</t>
        </is>
      </c>
      <c r="J52" s="74" t="n"/>
    </row>
    <row r="53">
      <c r="A53" s="34">
        <f>IFERROR(__xludf.DUMMYFUNCTION("""COMPUTED_VALUE"""),"MARIA EMANUELLY CAMARGO GONÇALVES")</f>
        <v/>
      </c>
      <c r="B53" s="34">
        <f>IFERROR(__xludf.DUMMYFUNCTION("""COMPUTED_VALUE"""),"Turma GR")</f>
        <v/>
      </c>
      <c r="C53" s="34">
        <f>IFERROR(__xludf.DUMMYFUNCTION("""COMPUTED_VALUE"""),"Vespertino")</f>
        <v/>
      </c>
      <c r="D53" s="34" t="inlineStr">
        <is>
          <t>Veio</t>
        </is>
      </c>
      <c r="J53" s="74" t="n"/>
    </row>
    <row r="54">
      <c r="A54" s="34">
        <f>IFERROR(__xludf.DUMMYFUNCTION("""COMPUTED_VALUE"""),"MARIA VITÓRIA OLIVEIRA MENEZES MARTINS")</f>
        <v/>
      </c>
      <c r="B54" s="34">
        <f>IFERROR(__xludf.DUMMYFUNCTION("""COMPUTED_VALUE"""),"Turma GR")</f>
        <v/>
      </c>
      <c r="C54" s="34">
        <f>IFERROR(__xludf.DUMMYFUNCTION("""COMPUTED_VALUE"""),"Vespertino")</f>
        <v/>
      </c>
      <c r="D54" s="34" t="inlineStr">
        <is>
          <t>Veio</t>
        </is>
      </c>
      <c r="J54" s="74" t="n"/>
    </row>
    <row r="55">
      <c r="A55" s="34">
        <f>IFERROR(__xludf.DUMMYFUNCTION("""COMPUTED_VALUE"""),"Mariah Sophia Sales Aniceto")</f>
        <v/>
      </c>
      <c r="B55" s="34">
        <f>IFERROR(__xludf.DUMMYFUNCTION("""COMPUTED_VALUE"""),"Turma D")</f>
        <v/>
      </c>
      <c r="C55" s="34">
        <f>IFERROR(__xludf.DUMMYFUNCTION("""COMPUTED_VALUE"""),"Vespertino")</f>
        <v/>
      </c>
      <c r="D55" s="34" t="inlineStr">
        <is>
          <t>Veio</t>
        </is>
      </c>
      <c r="J55" s="74" t="n"/>
    </row>
    <row r="56">
      <c r="A56" s="34">
        <f>IFERROR(__xludf.DUMMYFUNCTION("""COMPUTED_VALUE"""),"MATHEUS MENDES DA SILVA")</f>
        <v/>
      </c>
      <c r="B56" s="34">
        <f>IFERROR(__xludf.DUMMYFUNCTION("""COMPUTED_VALUE"""),"Turma E")</f>
        <v/>
      </c>
      <c r="C56" s="34">
        <f>IFERROR(__xludf.DUMMYFUNCTION("""COMPUTED_VALUE"""),"Vespertino")</f>
        <v/>
      </c>
      <c r="D56" s="34" t="inlineStr">
        <is>
          <t>Veio</t>
        </is>
      </c>
      <c r="J56" s="74" t="n"/>
    </row>
    <row r="57">
      <c r="A57" s="34">
        <f>IFERROR(__xludf.DUMMYFUNCTION("""COMPUTED_VALUE"""),"Maycon Antonio Santana Garcia")</f>
        <v/>
      </c>
      <c r="B57" s="34">
        <f>IFERROR(__xludf.DUMMYFUNCTION("""COMPUTED_VALUE"""),"Turma D")</f>
        <v/>
      </c>
      <c r="C57" s="34">
        <f>IFERROR(__xludf.DUMMYFUNCTION("""COMPUTED_VALUE"""),"Vespertino")</f>
        <v/>
      </c>
      <c r="D57" s="34" t="inlineStr">
        <is>
          <t>Não Veio</t>
        </is>
      </c>
      <c r="J57" s="74" t="n"/>
    </row>
    <row r="58">
      <c r="A58" s="34">
        <f>IFERROR(__xludf.DUMMYFUNCTION("""COMPUTED_VALUE"""),"NICOLAS GABRIEL OLIVEIRA BASTIDA")</f>
        <v/>
      </c>
      <c r="B58" s="34">
        <f>IFERROR(__xludf.DUMMYFUNCTION("""COMPUTED_VALUE"""),"Turma E")</f>
        <v/>
      </c>
      <c r="C58" s="34">
        <f>IFERROR(__xludf.DUMMYFUNCTION("""COMPUTED_VALUE"""),"Vespertino")</f>
        <v/>
      </c>
      <c r="D58" s="34" t="inlineStr">
        <is>
          <t>Veio</t>
        </is>
      </c>
      <c r="J58" s="74" t="n"/>
    </row>
    <row r="59">
      <c r="A59" s="34">
        <f>IFERROR(__xludf.DUMMYFUNCTION("""COMPUTED_VALUE"""),"Nicolas Gonçalves De Carvalho")</f>
        <v/>
      </c>
      <c r="B59" s="34">
        <f>IFERROR(__xludf.DUMMYFUNCTION("""COMPUTED_VALUE"""),"Turma D")</f>
        <v/>
      </c>
      <c r="C59" s="34">
        <f>IFERROR(__xludf.DUMMYFUNCTION("""COMPUTED_VALUE"""),"Vespertino")</f>
        <v/>
      </c>
      <c r="D59" s="34" t="inlineStr">
        <is>
          <t>Veio</t>
        </is>
      </c>
      <c r="J59" s="74" t="n"/>
    </row>
    <row r="60">
      <c r="A60" s="34">
        <f>IFERROR(__xludf.DUMMYFUNCTION("""COMPUTED_VALUE"""),"Paulo Victor Rosa Da Silva")</f>
        <v/>
      </c>
      <c r="B60" s="34">
        <f>IFERROR(__xludf.DUMMYFUNCTION("""COMPUTED_VALUE"""),"Turma C")</f>
        <v/>
      </c>
      <c r="C60" s="34">
        <f>IFERROR(__xludf.DUMMYFUNCTION("""COMPUTED_VALUE"""),"Matutino")</f>
        <v/>
      </c>
      <c r="D60" s="34" t="inlineStr">
        <is>
          <t>Não Veio</t>
        </is>
      </c>
      <c r="J60" s="74" t="n"/>
    </row>
    <row r="61">
      <c r="A61" s="34">
        <f>IFERROR(__xludf.DUMMYFUNCTION("""COMPUTED_VALUE"""),"Pétricky Miguel Rodrigues Dos Reis")</f>
        <v/>
      </c>
      <c r="B61" s="34">
        <f>IFERROR(__xludf.DUMMYFUNCTION("""COMPUTED_VALUE"""),"Turma C")</f>
        <v/>
      </c>
      <c r="C61" s="34">
        <f>IFERROR(__xludf.DUMMYFUNCTION("""COMPUTED_VALUE"""),"Matutino")</f>
        <v/>
      </c>
      <c r="D61" s="34" t="inlineStr">
        <is>
          <t>Veio</t>
        </is>
      </c>
      <c r="J61" s="74" t="n"/>
    </row>
    <row r="62">
      <c r="A62" s="34">
        <f>IFERROR(__xludf.DUMMYFUNCTION("""COMPUTED_VALUE"""),"PIETRO FRANCISCO GALVÃO DE JESUS")</f>
        <v/>
      </c>
      <c r="B62" s="34">
        <f>IFERROR(__xludf.DUMMYFUNCTION("""COMPUTED_VALUE"""),"Turma D")</f>
        <v/>
      </c>
      <c r="C62" s="34">
        <f>IFERROR(__xludf.DUMMYFUNCTION("""COMPUTED_VALUE"""),"Matutino")</f>
        <v/>
      </c>
      <c r="D62" s="34" t="inlineStr">
        <is>
          <t>Veio</t>
        </is>
      </c>
      <c r="J62" s="74" t="n"/>
    </row>
    <row r="63">
      <c r="A63" s="34">
        <f>IFERROR(__xludf.DUMMYFUNCTION("""COMPUTED_VALUE"""),"Rafael Rodrigues Ireno")</f>
        <v/>
      </c>
      <c r="B63" s="34">
        <f>IFERROR(__xludf.DUMMYFUNCTION("""COMPUTED_VALUE"""),"Turma C")</f>
        <v/>
      </c>
      <c r="C63" s="34">
        <f>IFERROR(__xludf.DUMMYFUNCTION("""COMPUTED_VALUE"""),"Matutino")</f>
        <v/>
      </c>
      <c r="D63" s="34" t="inlineStr">
        <is>
          <t>Veio</t>
        </is>
      </c>
      <c r="J63" s="74" t="n"/>
    </row>
    <row r="64">
      <c r="A64" s="34">
        <f>IFERROR(__xludf.DUMMYFUNCTION("""COMPUTED_VALUE"""),"Reynaldo Mariano De Souza")</f>
        <v/>
      </c>
      <c r="B64" s="34">
        <f>IFERROR(__xludf.DUMMYFUNCTION("""COMPUTED_VALUE"""),"Turma C")</f>
        <v/>
      </c>
      <c r="C64" s="34">
        <f>IFERROR(__xludf.DUMMYFUNCTION("""COMPUTED_VALUE"""),"Matutino")</f>
        <v/>
      </c>
      <c r="D64" s="34" t="inlineStr">
        <is>
          <t>Veio</t>
        </is>
      </c>
      <c r="J64" s="74" t="n"/>
    </row>
    <row r="65">
      <c r="A65" s="34">
        <f>IFERROR(__xludf.DUMMYFUNCTION("""COMPUTED_VALUE"""),"Ruan Brayan Alcantara Monteiro")</f>
        <v/>
      </c>
      <c r="B65" s="34">
        <f>IFERROR(__xludf.DUMMYFUNCTION("""COMPUTED_VALUE"""),"Turma D")</f>
        <v/>
      </c>
      <c r="C65" s="34">
        <f>IFERROR(__xludf.DUMMYFUNCTION("""COMPUTED_VALUE"""),"Vespertino")</f>
        <v/>
      </c>
      <c r="D65" s="34" t="inlineStr">
        <is>
          <t>Veio</t>
        </is>
      </c>
      <c r="J65" s="74" t="n"/>
    </row>
    <row r="66">
      <c r="A66" s="34">
        <f>IFERROR(__xludf.DUMMYFUNCTION("""COMPUTED_VALUE"""),"RUAN RODRIGUES CAETANO LIMA")</f>
        <v/>
      </c>
      <c r="B66" s="34">
        <f>IFERROR(__xludf.DUMMYFUNCTION("""COMPUTED_VALUE"""),"Turma GR")</f>
        <v/>
      </c>
      <c r="C66" s="34">
        <f>IFERROR(__xludf.DUMMYFUNCTION("""COMPUTED_VALUE"""),"Vespertino")</f>
        <v/>
      </c>
      <c r="D66" s="34" t="inlineStr">
        <is>
          <t>Veio</t>
        </is>
      </c>
      <c r="J66" s="74" t="n"/>
    </row>
    <row r="67">
      <c r="A67" s="34">
        <f>IFERROR(__xludf.DUMMYFUNCTION("""COMPUTED_VALUE"""),"SAMUEL JUNIOR VERDAN FRANCISCO")</f>
        <v/>
      </c>
      <c r="B67" s="34">
        <f>IFERROR(__xludf.DUMMYFUNCTION("""COMPUTED_VALUE"""),"Turma D")</f>
        <v/>
      </c>
      <c r="C67" s="34">
        <f>IFERROR(__xludf.DUMMYFUNCTION("""COMPUTED_VALUE"""),"Matutino")</f>
        <v/>
      </c>
      <c r="D67" s="34" t="inlineStr">
        <is>
          <t>Veio</t>
        </is>
      </c>
      <c r="J67" s="74" t="n"/>
    </row>
    <row r="68">
      <c r="A68" s="34">
        <f>IFERROR(__xludf.DUMMYFUNCTION("""COMPUTED_VALUE"""),"Tatiana Alves Francisco")</f>
        <v/>
      </c>
      <c r="B68" s="34">
        <f>IFERROR(__xludf.DUMMYFUNCTION("""COMPUTED_VALUE"""),"Turma GR")</f>
        <v/>
      </c>
      <c r="C68" s="34">
        <f>IFERROR(__xludf.DUMMYFUNCTION("""COMPUTED_VALUE"""),"Vespertino")</f>
        <v/>
      </c>
      <c r="D68" s="34" t="inlineStr">
        <is>
          <t>Veio</t>
        </is>
      </c>
      <c r="J68" s="74" t="n"/>
    </row>
    <row r="69">
      <c r="A69" s="34">
        <f>IFERROR(__xludf.DUMMYFUNCTION("""COMPUTED_VALUE"""),"THAILA DA SILVA VITORIO")</f>
        <v/>
      </c>
      <c r="B69" s="34">
        <f>IFERROR(__xludf.DUMMYFUNCTION("""COMPUTED_VALUE"""),"Turma GR")</f>
        <v/>
      </c>
      <c r="C69" s="34">
        <f>IFERROR(__xludf.DUMMYFUNCTION("""COMPUTED_VALUE"""),"Vespertino")</f>
        <v/>
      </c>
      <c r="D69" s="34" t="inlineStr">
        <is>
          <t>Veio</t>
        </is>
      </c>
      <c r="J69" s="74" t="n"/>
    </row>
    <row r="70">
      <c r="A70" s="34">
        <f>IFERROR(__xludf.DUMMYFUNCTION("""COMPUTED_VALUE"""),"Thalles Ramon Da Pascoa Silva")</f>
        <v/>
      </c>
      <c r="B70" s="34">
        <f>IFERROR(__xludf.DUMMYFUNCTION("""COMPUTED_VALUE"""),"Turma D")</f>
        <v/>
      </c>
      <c r="C70" s="34">
        <f>IFERROR(__xludf.DUMMYFUNCTION("""COMPUTED_VALUE"""),"Vespertino")</f>
        <v/>
      </c>
      <c r="D70" s="34" t="inlineStr">
        <is>
          <t>Veio</t>
        </is>
      </c>
      <c r="J70" s="74" t="n"/>
    </row>
    <row r="71">
      <c r="A71" s="34">
        <f>IFERROR(__xludf.DUMMYFUNCTION("""COMPUTED_VALUE"""),"Victor Kauan Almeida D. Santos Jatobá")</f>
        <v/>
      </c>
      <c r="B71" s="34">
        <f>IFERROR(__xludf.DUMMYFUNCTION("""COMPUTED_VALUE"""),"Turma C")</f>
        <v/>
      </c>
      <c r="C71" s="34">
        <f>IFERROR(__xludf.DUMMYFUNCTION("""COMPUTED_VALUE"""),"Matutino")</f>
        <v/>
      </c>
      <c r="D71" s="34" t="inlineStr">
        <is>
          <t>Veio</t>
        </is>
      </c>
      <c r="J71" s="74" t="n"/>
    </row>
    <row r="72">
      <c r="A72" s="34">
        <f>IFERROR(__xludf.DUMMYFUNCTION("""COMPUTED_VALUE"""),"VITORIA BEZERRA MARTINS")</f>
        <v/>
      </c>
      <c r="B72" s="34">
        <f>IFERROR(__xludf.DUMMYFUNCTION("""COMPUTED_VALUE"""),"Turma E")</f>
        <v/>
      </c>
      <c r="C72" s="34">
        <f>IFERROR(__xludf.DUMMYFUNCTION("""COMPUTED_VALUE"""),"Vespertino")</f>
        <v/>
      </c>
      <c r="D72" s="34" t="inlineStr">
        <is>
          <t>Veio</t>
        </is>
      </c>
      <c r="J72" s="74" t="n"/>
    </row>
    <row r="73">
      <c r="A73" s="34">
        <f>IFERROR(__xludf.DUMMYFUNCTION("""COMPUTED_VALUE"""),"YASMYN THAUANY ALCANTARA MONTEIRO")</f>
        <v/>
      </c>
      <c r="B73" s="34">
        <f>IFERROR(__xludf.DUMMYFUNCTION("""COMPUTED_VALUE"""),"Turma D")</f>
        <v/>
      </c>
      <c r="C73" s="34">
        <f>IFERROR(__xludf.DUMMYFUNCTION("""COMPUTED_VALUE"""),"Matutino")</f>
        <v/>
      </c>
      <c r="D73" s="34" t="inlineStr">
        <is>
          <t>Veio</t>
        </is>
      </c>
      <c r="J73" s="74" t="n"/>
    </row>
    <row r="74">
      <c r="A74" s="34">
        <f>IFERROR(__xludf.DUMMYFUNCTION("""COMPUTED_VALUE"""),"GABRIEL SOUZA FERREIRA")</f>
        <v/>
      </c>
      <c r="B74" s="34">
        <f>IFERROR(__xludf.DUMMYFUNCTION("""COMPUTED_VALUE"""),"Turma GR")</f>
        <v/>
      </c>
      <c r="C74" s="34">
        <f>IFERROR(__xludf.DUMMYFUNCTION("""COMPUTED_VALUE"""),"Vespertino")</f>
        <v/>
      </c>
      <c r="D74" s="34" t="inlineStr">
        <is>
          <t>Veio</t>
        </is>
      </c>
      <c r="J74" s="74" t="n"/>
    </row>
    <row r="75">
      <c r="J75" s="74" t="n"/>
    </row>
    <row r="76">
      <c r="J76" s="74" t="n"/>
    </row>
    <row r="77">
      <c r="J77" s="74" t="n"/>
    </row>
    <row r="78">
      <c r="J78" s="74" t="n"/>
    </row>
    <row r="79">
      <c r="J79" s="74" t="n"/>
    </row>
    <row r="80">
      <c r="J80" s="74" t="n"/>
    </row>
    <row r="81">
      <c r="J81" s="74" t="n"/>
    </row>
    <row r="82">
      <c r="J82" s="74" t="n"/>
    </row>
    <row r="83">
      <c r="J83" s="74" t="n"/>
    </row>
    <row r="84">
      <c r="J84" s="74" t="n"/>
    </row>
    <row r="85">
      <c r="J85" s="74" t="n"/>
    </row>
    <row r="86">
      <c r="J86" s="74" t="n"/>
    </row>
    <row r="87">
      <c r="J87" s="74" t="n"/>
    </row>
    <row r="88">
      <c r="J88" s="74" t="n"/>
    </row>
    <row r="89">
      <c r="J89" s="74" t="n"/>
    </row>
    <row r="90">
      <c r="J90" s="74" t="n"/>
    </row>
    <row r="91">
      <c r="J91" s="74" t="n"/>
    </row>
    <row r="92">
      <c r="J92" s="74" t="n"/>
    </row>
    <row r="93">
      <c r="J93" s="74" t="n"/>
    </row>
    <row r="94">
      <c r="J94" s="74" t="n"/>
    </row>
    <row r="95">
      <c r="J95" s="74" t="n"/>
    </row>
    <row r="96">
      <c r="J96" s="74" t="n"/>
    </row>
    <row r="97">
      <c r="J97" s="74" t="n"/>
    </row>
    <row r="98">
      <c r="J98" s="74" t="n"/>
    </row>
    <row r="99">
      <c r="J99" s="74" t="n"/>
    </row>
    <row r="100">
      <c r="J100" s="74" t="n"/>
    </row>
    <row r="101">
      <c r="J101" s="74" t="n"/>
    </row>
    <row r="102">
      <c r="J102" s="74" t="n"/>
    </row>
    <row r="103">
      <c r="J103" s="74" t="n"/>
    </row>
    <row r="104">
      <c r="J104" s="74" t="n"/>
    </row>
    <row r="105">
      <c r="J105" s="74" t="n"/>
    </row>
    <row r="106">
      <c r="J106" s="74" t="n"/>
    </row>
    <row r="107">
      <c r="J107" s="74" t="n"/>
    </row>
    <row r="108">
      <c r="J108" s="74" t="n"/>
    </row>
    <row r="109">
      <c r="J109" s="74" t="n"/>
    </row>
    <row r="110">
      <c r="J110" s="74" t="n"/>
    </row>
    <row r="111">
      <c r="J111" s="74" t="n"/>
    </row>
    <row r="112">
      <c r="J112" s="74" t="n"/>
    </row>
    <row r="113">
      <c r="J113" s="74" t="n"/>
    </row>
    <row r="114">
      <c r="J114" s="74" t="n"/>
    </row>
    <row r="115">
      <c r="J115" s="74" t="n"/>
    </row>
    <row r="116">
      <c r="J116" s="74" t="n"/>
    </row>
    <row r="117">
      <c r="J117" s="74" t="n"/>
    </row>
    <row r="118">
      <c r="J118" s="74" t="n"/>
    </row>
    <row r="119">
      <c r="J119" s="74" t="n"/>
    </row>
    <row r="120">
      <c r="J120" s="74" t="n"/>
    </row>
    <row r="121">
      <c r="J121" s="74" t="n"/>
    </row>
    <row r="122">
      <c r="J122" s="74" t="n"/>
    </row>
    <row r="123">
      <c r="J123" s="74" t="n"/>
    </row>
    <row r="124">
      <c r="J124" s="74" t="n"/>
    </row>
    <row r="125">
      <c r="J125" s="74" t="n"/>
    </row>
    <row r="126">
      <c r="J126" s="74" t="n"/>
    </row>
    <row r="127">
      <c r="J127" s="74" t="n"/>
    </row>
    <row r="128">
      <c r="J128" s="74" t="n"/>
    </row>
    <row r="129">
      <c r="J129" s="74" t="n"/>
    </row>
    <row r="130">
      <c r="J130" s="74" t="n"/>
    </row>
    <row r="131">
      <c r="J131" s="74" t="n"/>
    </row>
    <row r="132">
      <c r="J132" s="74" t="n"/>
    </row>
    <row r="133">
      <c r="J133" s="74" t="n"/>
    </row>
    <row r="134">
      <c r="J134" s="74" t="n"/>
    </row>
    <row r="135">
      <c r="J135" s="74" t="n"/>
    </row>
    <row r="136">
      <c r="J136" s="74" t="n"/>
    </row>
    <row r="137">
      <c r="J137" s="74" t="n"/>
    </row>
    <row r="138">
      <c r="J138" s="74" t="n"/>
    </row>
    <row r="139">
      <c r="J139" s="74" t="n"/>
    </row>
    <row r="140">
      <c r="J140" s="74" t="n"/>
    </row>
    <row r="141">
      <c r="J141" s="74" t="n"/>
    </row>
    <row r="142">
      <c r="J142" s="74" t="n"/>
    </row>
    <row r="143">
      <c r="J143" s="74" t="n"/>
    </row>
    <row r="144">
      <c r="J144" s="74" t="n"/>
    </row>
    <row r="145">
      <c r="J145" s="74" t="n"/>
    </row>
    <row r="146">
      <c r="J146" s="74" t="n"/>
    </row>
    <row r="147">
      <c r="J147" s="74" t="n"/>
    </row>
    <row r="148">
      <c r="J148" s="74" t="n"/>
    </row>
    <row r="149">
      <c r="J149" s="74" t="n"/>
    </row>
    <row r="150">
      <c r="J150" s="74" t="n"/>
    </row>
    <row r="151">
      <c r="J151" s="74" t="n"/>
    </row>
    <row r="152">
      <c r="J152" s="74" t="n"/>
    </row>
    <row r="153">
      <c r="J153" s="74" t="n"/>
    </row>
    <row r="154">
      <c r="J154" s="74" t="n"/>
    </row>
    <row r="155">
      <c r="J155" s="74" t="n"/>
    </row>
    <row r="156">
      <c r="J156" s="74" t="n"/>
    </row>
    <row r="157">
      <c r="J157" s="74" t="n"/>
    </row>
    <row r="158">
      <c r="J158" s="74" t="n"/>
    </row>
    <row r="159">
      <c r="J159" s="74" t="n"/>
    </row>
    <row r="160">
      <c r="J160" s="74" t="n"/>
    </row>
    <row r="161">
      <c r="J161" s="74" t="n"/>
    </row>
    <row r="162">
      <c r="J162" s="74" t="n"/>
    </row>
    <row r="163">
      <c r="J163" s="74" t="n"/>
    </row>
    <row r="164">
      <c r="J164" s="74" t="n"/>
    </row>
    <row r="165">
      <c r="J165" s="74" t="n"/>
    </row>
    <row r="166">
      <c r="J166" s="74" t="n"/>
    </row>
    <row r="167">
      <c r="J167" s="74" t="n"/>
    </row>
    <row r="168">
      <c r="J168" s="74" t="n"/>
    </row>
    <row r="169">
      <c r="J169" s="74" t="n"/>
    </row>
    <row r="170">
      <c r="J170" s="74" t="n"/>
    </row>
    <row r="171">
      <c r="J171" s="74" t="n"/>
    </row>
    <row r="172">
      <c r="J172" s="74" t="n"/>
    </row>
    <row r="173">
      <c r="J173" s="74" t="n"/>
    </row>
    <row r="174">
      <c r="J174" s="74" t="n"/>
    </row>
    <row r="175">
      <c r="J175" s="74" t="n"/>
    </row>
    <row r="176">
      <c r="J176" s="74" t="n"/>
    </row>
    <row r="177">
      <c r="J177" s="74" t="n"/>
    </row>
    <row r="178">
      <c r="J178" s="74" t="n"/>
    </row>
    <row r="179">
      <c r="J179" s="74" t="n"/>
    </row>
    <row r="180">
      <c r="J180" s="74" t="n"/>
    </row>
    <row r="181">
      <c r="J181" s="74" t="n"/>
    </row>
    <row r="182">
      <c r="J182" s="74" t="n"/>
    </row>
    <row r="183">
      <c r="J183" s="74" t="n"/>
    </row>
    <row r="184">
      <c r="J184" s="74" t="n"/>
    </row>
    <row r="185">
      <c r="J185" s="74" t="n"/>
    </row>
    <row r="186">
      <c r="J186" s="74" t="n"/>
    </row>
    <row r="187">
      <c r="J187" s="74" t="n"/>
    </row>
    <row r="188">
      <c r="J188" s="74" t="n"/>
    </row>
    <row r="189">
      <c r="J189" s="74" t="n"/>
    </row>
    <row r="190">
      <c r="J190" s="74" t="n"/>
    </row>
    <row r="191">
      <c r="J191" s="74" t="n"/>
    </row>
    <row r="192">
      <c r="J192" s="74" t="n"/>
    </row>
    <row r="193">
      <c r="J193" s="74" t="n"/>
    </row>
    <row r="194">
      <c r="J194" s="74" t="n"/>
    </row>
    <row r="195">
      <c r="J195" s="74" t="n"/>
    </row>
    <row r="196">
      <c r="J196" s="74" t="n"/>
    </row>
    <row r="197">
      <c r="J197" s="74" t="n"/>
    </row>
    <row r="198">
      <c r="J198" s="74" t="n"/>
    </row>
    <row r="199">
      <c r="J199" s="74" t="n"/>
    </row>
    <row r="200">
      <c r="J200" s="74" t="n"/>
    </row>
    <row r="201">
      <c r="J201" s="74" t="n"/>
    </row>
    <row r="202">
      <c r="J202" s="74" t="n"/>
    </row>
    <row r="203">
      <c r="J203" s="74" t="n"/>
    </row>
    <row r="204">
      <c r="J204" s="74" t="n"/>
    </row>
    <row r="205">
      <c r="J205" s="74" t="n"/>
    </row>
    <row r="206">
      <c r="J206" s="74" t="n"/>
    </row>
    <row r="207">
      <c r="J207" s="74" t="n"/>
    </row>
    <row r="208">
      <c r="J208" s="74" t="n"/>
    </row>
    <row r="209">
      <c r="J209" s="74" t="n"/>
    </row>
    <row r="210">
      <c r="J210" s="74" t="n"/>
    </row>
    <row r="211">
      <c r="J211" s="74" t="n"/>
    </row>
    <row r="212">
      <c r="J212" s="74" t="n"/>
    </row>
    <row r="213">
      <c r="J213" s="74" t="n"/>
    </row>
    <row r="214">
      <c r="J214" s="74" t="n"/>
    </row>
    <row r="215">
      <c r="J215" s="74" t="n"/>
    </row>
    <row r="216">
      <c r="J216" s="74" t="n"/>
    </row>
    <row r="217">
      <c r="J217" s="74" t="n"/>
    </row>
    <row r="218">
      <c r="J218" s="74" t="n"/>
    </row>
    <row r="219">
      <c r="J219" s="74" t="n"/>
    </row>
    <row r="220">
      <c r="J220" s="74" t="n"/>
    </row>
    <row r="221">
      <c r="J221" s="74" t="n"/>
    </row>
    <row r="222">
      <c r="J222" s="74" t="n"/>
    </row>
    <row r="223">
      <c r="J223" s="74" t="n"/>
    </row>
    <row r="224">
      <c r="J224" s="74" t="n"/>
    </row>
    <row r="225">
      <c r="J225" s="74" t="n"/>
    </row>
    <row r="226">
      <c r="J226" s="74" t="n"/>
    </row>
    <row r="227">
      <c r="J227" s="74" t="n"/>
    </row>
    <row r="228">
      <c r="J228" s="74" t="n"/>
    </row>
    <row r="229">
      <c r="J229" s="74" t="n"/>
    </row>
    <row r="230">
      <c r="J230" s="74" t="n"/>
    </row>
    <row r="231">
      <c r="J231" s="74" t="n"/>
    </row>
    <row r="232">
      <c r="J232" s="74" t="n"/>
    </row>
    <row r="233">
      <c r="J233" s="74" t="n"/>
    </row>
    <row r="234">
      <c r="J234" s="74" t="n"/>
    </row>
    <row r="235">
      <c r="J235" s="74" t="n"/>
    </row>
    <row r="236">
      <c r="J236" s="74" t="n"/>
    </row>
    <row r="237">
      <c r="J237" s="74" t="n"/>
    </row>
    <row r="238">
      <c r="J238" s="74" t="n"/>
    </row>
    <row r="239">
      <c r="J239" s="74" t="n"/>
    </row>
    <row r="240">
      <c r="J240" s="74" t="n"/>
    </row>
    <row r="241">
      <c r="J241" s="74" t="n"/>
    </row>
    <row r="242">
      <c r="J242" s="74" t="n"/>
    </row>
    <row r="243">
      <c r="J243" s="74" t="n"/>
    </row>
    <row r="244">
      <c r="J244" s="74" t="n"/>
    </row>
    <row r="245">
      <c r="J245" s="74" t="n"/>
    </row>
    <row r="246">
      <c r="J246" s="74" t="n"/>
    </row>
    <row r="247">
      <c r="J247" s="74" t="n"/>
    </row>
    <row r="248">
      <c r="J248" s="74" t="n"/>
    </row>
    <row r="249">
      <c r="J249" s="74" t="n"/>
    </row>
    <row r="250">
      <c r="J250" s="74" t="n"/>
    </row>
    <row r="251">
      <c r="J251" s="74" t="n"/>
    </row>
    <row r="252">
      <c r="J252" s="74" t="n"/>
    </row>
    <row r="253">
      <c r="J253" s="74" t="n"/>
    </row>
    <row r="254">
      <c r="J254" s="74" t="n"/>
    </row>
    <row r="255">
      <c r="J255" s="74" t="n"/>
    </row>
    <row r="256">
      <c r="J256" s="74" t="n"/>
    </row>
    <row r="257">
      <c r="J257" s="74" t="n"/>
    </row>
    <row r="258">
      <c r="J258" s="74" t="n"/>
    </row>
    <row r="259">
      <c r="J259" s="74" t="n"/>
    </row>
    <row r="260">
      <c r="J260" s="74" t="n"/>
    </row>
    <row r="261">
      <c r="J261" s="74" t="n"/>
    </row>
    <row r="262">
      <c r="J262" s="74" t="n"/>
    </row>
    <row r="263">
      <c r="J263" s="74" t="n"/>
    </row>
    <row r="264">
      <c r="J264" s="74" t="n"/>
    </row>
    <row r="265">
      <c r="J265" s="74" t="n"/>
    </row>
    <row r="266">
      <c r="J266" s="74" t="n"/>
    </row>
    <row r="267">
      <c r="J267" s="74" t="n"/>
    </row>
    <row r="268">
      <c r="J268" s="74" t="n"/>
    </row>
    <row r="269">
      <c r="J269" s="74" t="n"/>
    </row>
    <row r="270">
      <c r="J270" s="74" t="n"/>
    </row>
    <row r="271">
      <c r="J271" s="74" t="n"/>
    </row>
    <row r="272">
      <c r="J272" s="74" t="n"/>
    </row>
    <row r="273">
      <c r="J273" s="74" t="n"/>
    </row>
    <row r="274">
      <c r="J274" s="74" t="n"/>
    </row>
    <row r="275">
      <c r="J275" s="74" t="n"/>
    </row>
    <row r="276">
      <c r="J276" s="74" t="n"/>
    </row>
    <row r="277">
      <c r="J277" s="74" t="n"/>
    </row>
    <row r="278">
      <c r="J278" s="74" t="n"/>
    </row>
    <row r="279">
      <c r="J279" s="74" t="n"/>
    </row>
    <row r="280">
      <c r="J280" s="74" t="n"/>
    </row>
    <row r="281">
      <c r="J281" s="74" t="n"/>
    </row>
    <row r="282">
      <c r="J282" s="74" t="n"/>
    </row>
    <row r="283">
      <c r="J283" s="74" t="n"/>
    </row>
    <row r="284">
      <c r="J284" s="74" t="n"/>
    </row>
    <row r="285">
      <c r="J285" s="74" t="n"/>
    </row>
    <row r="286">
      <c r="J286" s="74" t="n"/>
    </row>
    <row r="287">
      <c r="J287" s="74" t="n"/>
    </row>
    <row r="288">
      <c r="J288" s="74" t="n"/>
    </row>
    <row r="289">
      <c r="J289" s="74" t="n"/>
    </row>
    <row r="290">
      <c r="J290" s="74" t="n"/>
    </row>
    <row r="291">
      <c r="J291" s="74" t="n"/>
    </row>
    <row r="292">
      <c r="J292" s="74" t="n"/>
    </row>
    <row r="293">
      <c r="J293" s="74" t="n"/>
    </row>
    <row r="294">
      <c r="J294" s="74" t="n"/>
    </row>
    <row r="295">
      <c r="J295" s="74" t="n"/>
    </row>
    <row r="296">
      <c r="J296" s="74" t="n"/>
    </row>
    <row r="297">
      <c r="J297" s="74" t="n"/>
    </row>
    <row r="298">
      <c r="J298" s="74" t="n"/>
    </row>
    <row r="299">
      <c r="J299" s="74" t="n"/>
    </row>
    <row r="300">
      <c r="J300" s="74" t="n"/>
    </row>
    <row r="301">
      <c r="J301" s="74" t="n"/>
    </row>
    <row r="302">
      <c r="J302" s="74" t="n"/>
    </row>
    <row r="303">
      <c r="J303" s="74" t="n"/>
    </row>
    <row r="304">
      <c r="J304" s="74" t="n"/>
    </row>
    <row r="305">
      <c r="J305" s="74" t="n"/>
    </row>
    <row r="306">
      <c r="J306" s="74" t="n"/>
    </row>
    <row r="307">
      <c r="J307" s="74" t="n"/>
    </row>
    <row r="308">
      <c r="J308" s="74" t="n"/>
    </row>
    <row r="309">
      <c r="J309" s="74" t="n"/>
    </row>
    <row r="310">
      <c r="J310" s="74" t="n"/>
    </row>
    <row r="311">
      <c r="J311" s="74" t="n"/>
    </row>
    <row r="312">
      <c r="J312" s="74" t="n"/>
    </row>
    <row r="313">
      <c r="J313" s="74" t="n"/>
    </row>
    <row r="314">
      <c r="J314" s="74" t="n"/>
    </row>
    <row r="315">
      <c r="J315" s="74" t="n"/>
    </row>
    <row r="316">
      <c r="J316" s="74" t="n"/>
    </row>
    <row r="317">
      <c r="J317" s="74" t="n"/>
    </row>
    <row r="318">
      <c r="J318" s="74" t="n"/>
    </row>
    <row r="319">
      <c r="J319" s="74" t="n"/>
    </row>
    <row r="320">
      <c r="J320" s="74" t="n"/>
    </row>
    <row r="321">
      <c r="J321" s="74" t="n"/>
    </row>
    <row r="322">
      <c r="J322" s="74" t="n"/>
    </row>
    <row r="323">
      <c r="J323" s="74" t="n"/>
    </row>
    <row r="324">
      <c r="J324" s="74" t="n"/>
    </row>
    <row r="325">
      <c r="J325" s="74" t="n"/>
    </row>
    <row r="326">
      <c r="J326" s="74" t="n"/>
    </row>
    <row r="327">
      <c r="J327" s="74" t="n"/>
    </row>
    <row r="328">
      <c r="J328" s="74" t="n"/>
    </row>
    <row r="329">
      <c r="J329" s="74" t="n"/>
    </row>
    <row r="330">
      <c r="J330" s="74" t="n"/>
    </row>
    <row r="331">
      <c r="J331" s="74" t="n"/>
    </row>
    <row r="332">
      <c r="J332" s="74" t="n"/>
    </row>
    <row r="333">
      <c r="J333" s="74" t="n"/>
    </row>
    <row r="334">
      <c r="J334" s="74" t="n"/>
    </row>
    <row r="335">
      <c r="J335" s="74" t="n"/>
    </row>
    <row r="336">
      <c r="J336" s="74" t="n"/>
    </row>
    <row r="337">
      <c r="J337" s="74" t="n"/>
    </row>
    <row r="338">
      <c r="J338" s="74" t="n"/>
    </row>
    <row r="339">
      <c r="J339" s="74" t="n"/>
    </row>
    <row r="340">
      <c r="J340" s="74" t="n"/>
    </row>
    <row r="341">
      <c r="J341" s="74" t="n"/>
    </row>
    <row r="342">
      <c r="J342" s="74" t="n"/>
    </row>
    <row r="343">
      <c r="J343" s="74" t="n"/>
    </row>
    <row r="344">
      <c r="J344" s="74" t="n"/>
    </row>
    <row r="345">
      <c r="J345" s="74" t="n"/>
    </row>
    <row r="346">
      <c r="J346" s="74" t="n"/>
    </row>
    <row r="347">
      <c r="J347" s="74" t="n"/>
    </row>
    <row r="348">
      <c r="J348" s="74" t="n"/>
    </row>
    <row r="349">
      <c r="J349" s="74" t="n"/>
    </row>
    <row r="350">
      <c r="J350" s="74" t="n"/>
    </row>
    <row r="351">
      <c r="J351" s="74" t="n"/>
    </row>
    <row r="352">
      <c r="J352" s="74" t="n"/>
    </row>
    <row r="353">
      <c r="J353" s="74" t="n"/>
    </row>
    <row r="354">
      <c r="J354" s="74" t="n"/>
    </row>
    <row r="355">
      <c r="J355" s="74" t="n"/>
    </row>
    <row r="356">
      <c r="J356" s="74" t="n"/>
    </row>
    <row r="357">
      <c r="J357" s="74" t="n"/>
    </row>
    <row r="358">
      <c r="J358" s="74" t="n"/>
    </row>
    <row r="359">
      <c r="J359" s="74" t="n"/>
    </row>
    <row r="360">
      <c r="J360" s="74" t="n"/>
    </row>
    <row r="361">
      <c r="J361" s="74" t="n"/>
    </row>
    <row r="362">
      <c r="J362" s="74" t="n"/>
    </row>
    <row r="363">
      <c r="J363" s="74" t="n"/>
    </row>
    <row r="364">
      <c r="J364" s="74" t="n"/>
    </row>
    <row r="365">
      <c r="J365" s="74" t="n"/>
    </row>
    <row r="366">
      <c r="J366" s="74" t="n"/>
    </row>
    <row r="367">
      <c r="J367" s="74" t="n"/>
    </row>
    <row r="368">
      <c r="J368" s="74" t="n"/>
    </row>
    <row r="369">
      <c r="J369" s="74" t="n"/>
    </row>
    <row r="370">
      <c r="J370" s="74" t="n"/>
    </row>
    <row r="371">
      <c r="J371" s="74" t="n"/>
    </row>
    <row r="372">
      <c r="J372" s="74" t="n"/>
    </row>
    <row r="373">
      <c r="J373" s="74" t="n"/>
    </row>
    <row r="374">
      <c r="J374" s="74" t="n"/>
    </row>
    <row r="375">
      <c r="J375" s="74" t="n"/>
    </row>
    <row r="376">
      <c r="J376" s="74" t="n"/>
    </row>
    <row r="377">
      <c r="J377" s="74" t="n"/>
    </row>
    <row r="378">
      <c r="J378" s="74" t="n"/>
    </row>
    <row r="379">
      <c r="J379" s="74" t="n"/>
    </row>
    <row r="380">
      <c r="J380" s="74" t="n"/>
    </row>
    <row r="381">
      <c r="J381" s="74" t="n"/>
    </row>
    <row r="382">
      <c r="J382" s="74" t="n"/>
    </row>
    <row r="383">
      <c r="J383" s="74" t="n"/>
    </row>
    <row r="384">
      <c r="J384" s="74" t="n"/>
    </row>
    <row r="385">
      <c r="J385" s="74" t="n"/>
    </row>
    <row r="386">
      <c r="J386" s="74" t="n"/>
    </row>
    <row r="387">
      <c r="J387" s="74" t="n"/>
    </row>
    <row r="388">
      <c r="J388" s="74" t="n"/>
    </row>
    <row r="389">
      <c r="J389" s="74" t="n"/>
    </row>
    <row r="390">
      <c r="J390" s="74" t="n"/>
    </row>
    <row r="391">
      <c r="J391" s="74" t="n"/>
    </row>
    <row r="392">
      <c r="J392" s="74" t="n"/>
    </row>
    <row r="393">
      <c r="J393" s="74" t="n"/>
    </row>
    <row r="394">
      <c r="J394" s="74" t="n"/>
    </row>
    <row r="395">
      <c r="J395" s="74" t="n"/>
    </row>
    <row r="396">
      <c r="J396" s="74" t="n"/>
    </row>
    <row r="397">
      <c r="J397" s="74" t="n"/>
    </row>
    <row r="398">
      <c r="J398" s="74" t="n"/>
    </row>
    <row r="399">
      <c r="J399" s="74" t="n"/>
    </row>
    <row r="400">
      <c r="J400" s="74" t="n"/>
    </row>
    <row r="401">
      <c r="J401" s="74" t="n"/>
    </row>
    <row r="402">
      <c r="J402" s="74" t="n"/>
    </row>
    <row r="403">
      <c r="J403" s="74" t="n"/>
    </row>
    <row r="404">
      <c r="J404" s="74" t="n"/>
    </row>
    <row r="405">
      <c r="J405" s="74" t="n"/>
    </row>
    <row r="406">
      <c r="J406" s="74" t="n"/>
    </row>
    <row r="407">
      <c r="J407" s="74" t="n"/>
    </row>
    <row r="408">
      <c r="J408" s="74" t="n"/>
    </row>
    <row r="409">
      <c r="J409" s="74" t="n"/>
    </row>
    <row r="410">
      <c r="J410" s="74" t="n"/>
    </row>
    <row r="411">
      <c r="J411" s="74" t="n"/>
    </row>
    <row r="412">
      <c r="J412" s="74" t="n"/>
    </row>
    <row r="413">
      <c r="J413" s="74" t="n"/>
    </row>
    <row r="414">
      <c r="J414" s="74" t="n"/>
    </row>
    <row r="415">
      <c r="J415" s="74" t="n"/>
    </row>
    <row r="416">
      <c r="J416" s="74" t="n"/>
    </row>
    <row r="417">
      <c r="J417" s="74" t="n"/>
    </row>
    <row r="418">
      <c r="J418" s="74" t="n"/>
    </row>
    <row r="419">
      <c r="J419" s="74" t="n"/>
    </row>
    <row r="420">
      <c r="J420" s="74" t="n"/>
    </row>
    <row r="421">
      <c r="J421" s="74" t="n"/>
    </row>
    <row r="422">
      <c r="J422" s="74" t="n"/>
    </row>
    <row r="423">
      <c r="J423" s="74" t="n"/>
    </row>
    <row r="424">
      <c r="J424" s="74" t="n"/>
    </row>
    <row r="425">
      <c r="J425" s="74" t="n"/>
    </row>
    <row r="426">
      <c r="J426" s="74" t="n"/>
    </row>
    <row r="427">
      <c r="J427" s="74" t="n"/>
    </row>
    <row r="428">
      <c r="J428" s="74" t="n"/>
    </row>
    <row r="429">
      <c r="J429" s="74" t="n"/>
    </row>
    <row r="430">
      <c r="J430" s="74" t="n"/>
    </row>
    <row r="431">
      <c r="J431" s="74" t="n"/>
    </row>
    <row r="432">
      <c r="J432" s="74" t="n"/>
    </row>
    <row r="433">
      <c r="J433" s="74" t="n"/>
    </row>
    <row r="434">
      <c r="J434" s="74" t="n"/>
    </row>
    <row r="435">
      <c r="J435" s="74" t="n"/>
    </row>
    <row r="436">
      <c r="J436" s="74" t="n"/>
    </row>
    <row r="437">
      <c r="J437" s="74" t="n"/>
    </row>
    <row r="438">
      <c r="J438" s="74" t="n"/>
    </row>
    <row r="439">
      <c r="J439" s="74" t="n"/>
    </row>
    <row r="440">
      <c r="J440" s="74" t="n"/>
    </row>
    <row r="441">
      <c r="J441" s="74" t="n"/>
    </row>
    <row r="442">
      <c r="J442" s="74" t="n"/>
    </row>
    <row r="443">
      <c r="J443" s="74" t="n"/>
    </row>
    <row r="444">
      <c r="J444" s="74" t="n"/>
    </row>
    <row r="445">
      <c r="J445" s="74" t="n"/>
    </row>
    <row r="446">
      <c r="J446" s="74" t="n"/>
    </row>
    <row r="447">
      <c r="J447" s="74" t="n"/>
    </row>
    <row r="448">
      <c r="J448" s="74" t="n"/>
    </row>
    <row r="449">
      <c r="J449" s="74" t="n"/>
    </row>
    <row r="450">
      <c r="J450" s="74" t="n"/>
    </row>
    <row r="451">
      <c r="J451" s="74" t="n"/>
    </row>
    <row r="452">
      <c r="J452" s="74" t="n"/>
    </row>
    <row r="453">
      <c r="J453" s="74" t="n"/>
    </row>
    <row r="454">
      <c r="J454" s="74" t="n"/>
    </row>
    <row r="455">
      <c r="J455" s="74" t="n"/>
    </row>
    <row r="456">
      <c r="J456" s="74" t="n"/>
    </row>
    <row r="457">
      <c r="J457" s="74" t="n"/>
    </row>
    <row r="458">
      <c r="J458" s="74" t="n"/>
    </row>
    <row r="459">
      <c r="J459" s="74" t="n"/>
    </row>
    <row r="460">
      <c r="J460" s="74" t="n"/>
    </row>
    <row r="461">
      <c r="J461" s="74" t="n"/>
    </row>
    <row r="462">
      <c r="J462" s="74" t="n"/>
    </row>
    <row r="463">
      <c r="J463" s="74" t="n"/>
    </row>
    <row r="464">
      <c r="J464" s="74" t="n"/>
    </row>
    <row r="465">
      <c r="J465" s="74" t="n"/>
    </row>
    <row r="466">
      <c r="J466" s="74" t="n"/>
    </row>
    <row r="467">
      <c r="J467" s="74" t="n"/>
    </row>
    <row r="468">
      <c r="J468" s="74" t="n"/>
    </row>
    <row r="469">
      <c r="J469" s="74" t="n"/>
    </row>
    <row r="470">
      <c r="J470" s="74" t="n"/>
    </row>
    <row r="471">
      <c r="J471" s="74" t="n"/>
    </row>
    <row r="472">
      <c r="J472" s="74" t="n"/>
    </row>
    <row r="473">
      <c r="J473" s="74" t="n"/>
    </row>
    <row r="474">
      <c r="J474" s="74" t="n"/>
    </row>
    <row r="475">
      <c r="J475" s="74" t="n"/>
    </row>
    <row r="476">
      <c r="J476" s="74" t="n"/>
    </row>
    <row r="477">
      <c r="J477" s="74" t="n"/>
    </row>
    <row r="478">
      <c r="J478" s="74" t="n"/>
    </row>
    <row r="479">
      <c r="J479" s="74" t="n"/>
    </row>
    <row r="480">
      <c r="J480" s="74" t="n"/>
    </row>
    <row r="481">
      <c r="J481" s="74" t="n"/>
    </row>
    <row r="482">
      <c r="J482" s="74" t="n"/>
    </row>
    <row r="483">
      <c r="J483" s="74" t="n"/>
    </row>
    <row r="484">
      <c r="J484" s="74" t="n"/>
    </row>
    <row r="485">
      <c r="J485" s="74" t="n"/>
    </row>
    <row r="486">
      <c r="J486" s="74" t="n"/>
    </row>
    <row r="487">
      <c r="J487" s="74" t="n"/>
    </row>
    <row r="488">
      <c r="J488" s="74" t="n"/>
    </row>
    <row r="489">
      <c r="J489" s="74" t="n"/>
    </row>
    <row r="490">
      <c r="J490" s="74" t="n"/>
    </row>
    <row r="491">
      <c r="J491" s="74" t="n"/>
    </row>
    <row r="492">
      <c r="J492" s="74" t="n"/>
    </row>
    <row r="493">
      <c r="J493" s="74" t="n"/>
    </row>
    <row r="494">
      <c r="J494" s="74" t="n"/>
    </row>
    <row r="495">
      <c r="J495" s="74" t="n"/>
    </row>
    <row r="496">
      <c r="J496" s="74" t="n"/>
    </row>
    <row r="497">
      <c r="J497" s="74" t="n"/>
    </row>
    <row r="498">
      <c r="J498" s="74" t="n"/>
    </row>
    <row r="499">
      <c r="J499" s="74" t="n"/>
    </row>
    <row r="500">
      <c r="J500" s="74" t="n"/>
    </row>
    <row r="501">
      <c r="J501" s="74" t="n"/>
    </row>
    <row r="502">
      <c r="J502" s="74" t="n"/>
    </row>
    <row r="503">
      <c r="J503" s="74" t="n"/>
    </row>
    <row r="504">
      <c r="J504" s="74" t="n"/>
    </row>
    <row r="505">
      <c r="J505" s="74" t="n"/>
    </row>
    <row r="506">
      <c r="J506" s="74" t="n"/>
    </row>
    <row r="507">
      <c r="J507" s="74" t="n"/>
    </row>
    <row r="508">
      <c r="J508" s="74" t="n"/>
    </row>
    <row r="509">
      <c r="J509" s="74" t="n"/>
    </row>
    <row r="510">
      <c r="J510" s="74" t="n"/>
    </row>
    <row r="511">
      <c r="J511" s="74" t="n"/>
    </row>
    <row r="512">
      <c r="J512" s="74" t="n"/>
    </row>
    <row r="513">
      <c r="J513" s="74" t="n"/>
    </row>
    <row r="514">
      <c r="J514" s="74" t="n"/>
    </row>
    <row r="515">
      <c r="J515" s="74" t="n"/>
    </row>
    <row r="516">
      <c r="J516" s="74" t="n"/>
    </row>
    <row r="517">
      <c r="J517" s="74" t="n"/>
    </row>
    <row r="518">
      <c r="J518" s="74" t="n"/>
    </row>
    <row r="519">
      <c r="J519" s="74" t="n"/>
    </row>
    <row r="520">
      <c r="J520" s="74" t="n"/>
    </row>
    <row r="521">
      <c r="J521" s="74" t="n"/>
    </row>
    <row r="522">
      <c r="J522" s="74" t="n"/>
    </row>
    <row r="523">
      <c r="J523" s="74" t="n"/>
    </row>
    <row r="524">
      <c r="J524" s="74" t="n"/>
    </row>
    <row r="525">
      <c r="J525" s="74" t="n"/>
    </row>
    <row r="526">
      <c r="J526" s="74" t="n"/>
    </row>
    <row r="527">
      <c r="J527" s="74" t="n"/>
    </row>
    <row r="528">
      <c r="J528" s="74" t="n"/>
    </row>
    <row r="529">
      <c r="J529" s="74" t="n"/>
    </row>
    <row r="530">
      <c r="J530" s="74" t="n"/>
    </row>
    <row r="531">
      <c r="J531" s="74" t="n"/>
    </row>
    <row r="532">
      <c r="J532" s="74" t="n"/>
    </row>
    <row r="533">
      <c r="J533" s="74" t="n"/>
    </row>
    <row r="534">
      <c r="J534" s="74" t="n"/>
    </row>
    <row r="535">
      <c r="J535" s="74" t="n"/>
    </row>
    <row r="536">
      <c r="J536" s="74" t="n"/>
    </row>
    <row r="537">
      <c r="J537" s="74" t="n"/>
    </row>
    <row r="538">
      <c r="J538" s="74" t="n"/>
    </row>
    <row r="539">
      <c r="J539" s="74" t="n"/>
    </row>
    <row r="540">
      <c r="J540" s="74" t="n"/>
    </row>
    <row r="541">
      <c r="J541" s="74" t="n"/>
    </row>
    <row r="542">
      <c r="J542" s="74" t="n"/>
    </row>
    <row r="543">
      <c r="J543" s="74" t="n"/>
    </row>
    <row r="544">
      <c r="J544" s="74" t="n"/>
    </row>
    <row r="545">
      <c r="J545" s="74" t="n"/>
    </row>
    <row r="546">
      <c r="J546" s="74" t="n"/>
    </row>
    <row r="547">
      <c r="J547" s="74" t="n"/>
    </row>
    <row r="548">
      <c r="J548" s="74" t="n"/>
    </row>
    <row r="549">
      <c r="J549" s="74" t="n"/>
    </row>
    <row r="550">
      <c r="J550" s="74" t="n"/>
    </row>
    <row r="551">
      <c r="J551" s="74" t="n"/>
    </row>
    <row r="552">
      <c r="J552" s="74" t="n"/>
    </row>
    <row r="553">
      <c r="J553" s="74" t="n"/>
    </row>
    <row r="554">
      <c r="J554" s="74" t="n"/>
    </row>
    <row r="555">
      <c r="J555" s="74" t="n"/>
    </row>
    <row r="556">
      <c r="J556" s="74" t="n"/>
    </row>
    <row r="557">
      <c r="J557" s="74" t="n"/>
    </row>
    <row r="558">
      <c r="J558" s="74" t="n"/>
    </row>
    <row r="559">
      <c r="J559" s="74" t="n"/>
    </row>
    <row r="560">
      <c r="J560" s="74" t="n"/>
    </row>
    <row r="561">
      <c r="J561" s="74" t="n"/>
    </row>
    <row r="562">
      <c r="J562" s="74" t="n"/>
    </row>
    <row r="563">
      <c r="J563" s="74" t="n"/>
    </row>
    <row r="564">
      <c r="J564" s="74" t="n"/>
    </row>
    <row r="565">
      <c r="J565" s="74" t="n"/>
    </row>
    <row r="566">
      <c r="J566" s="74" t="n"/>
    </row>
    <row r="567">
      <c r="J567" s="74" t="n"/>
    </row>
    <row r="568">
      <c r="J568" s="74" t="n"/>
    </row>
    <row r="569">
      <c r="J569" s="74" t="n"/>
    </row>
    <row r="570">
      <c r="J570" s="74" t="n"/>
    </row>
    <row r="571">
      <c r="J571" s="74" t="n"/>
    </row>
    <row r="572">
      <c r="J572" s="74" t="n"/>
    </row>
    <row r="573">
      <c r="J573" s="74" t="n"/>
    </row>
    <row r="574">
      <c r="J574" s="74" t="n"/>
    </row>
    <row r="575">
      <c r="J575" s="74" t="n"/>
    </row>
    <row r="576">
      <c r="J576" s="74" t="n"/>
    </row>
    <row r="577">
      <c r="J577" s="74" t="n"/>
    </row>
    <row r="578">
      <c r="J578" s="74" t="n"/>
    </row>
    <row r="579">
      <c r="J579" s="74" t="n"/>
    </row>
    <row r="580">
      <c r="J580" s="74" t="n"/>
    </row>
    <row r="581">
      <c r="J581" s="74" t="n"/>
    </row>
    <row r="582">
      <c r="J582" s="74" t="n"/>
    </row>
    <row r="583">
      <c r="J583" s="74" t="n"/>
    </row>
    <row r="584">
      <c r="J584" s="74" t="n"/>
    </row>
    <row r="585">
      <c r="J585" s="74" t="n"/>
    </row>
    <row r="586">
      <c r="J586" s="74" t="n"/>
    </row>
    <row r="587">
      <c r="J587" s="74" t="n"/>
    </row>
    <row r="588">
      <c r="J588" s="74" t="n"/>
    </row>
    <row r="589">
      <c r="J589" s="74" t="n"/>
    </row>
    <row r="590">
      <c r="J590" s="74" t="n"/>
    </row>
    <row r="591">
      <c r="J591" s="74" t="n"/>
    </row>
    <row r="592">
      <c r="J592" s="74" t="n"/>
    </row>
    <row r="593">
      <c r="J593" s="74" t="n"/>
    </row>
    <row r="594">
      <c r="J594" s="74" t="n"/>
    </row>
    <row r="595">
      <c r="J595" s="74" t="n"/>
    </row>
    <row r="596">
      <c r="J596" s="74" t="n"/>
    </row>
    <row r="597">
      <c r="J597" s="74" t="n"/>
    </row>
    <row r="598">
      <c r="J598" s="74" t="n"/>
    </row>
    <row r="599">
      <c r="J599" s="74" t="n"/>
    </row>
    <row r="600">
      <c r="J600" s="74" t="n"/>
    </row>
    <row r="601">
      <c r="J601" s="74" t="n"/>
    </row>
    <row r="602">
      <c r="J602" s="74" t="n"/>
    </row>
    <row r="603">
      <c r="J603" s="74" t="n"/>
    </row>
    <row r="604">
      <c r="J604" s="74" t="n"/>
    </row>
    <row r="605">
      <c r="J605" s="74" t="n"/>
    </row>
    <row r="606">
      <c r="J606" s="74" t="n"/>
    </row>
    <row r="607">
      <c r="J607" s="74" t="n"/>
    </row>
    <row r="608">
      <c r="J608" s="74" t="n"/>
    </row>
    <row r="609">
      <c r="J609" s="74" t="n"/>
    </row>
    <row r="610">
      <c r="J610" s="74" t="n"/>
    </row>
    <row r="611">
      <c r="J611" s="74" t="n"/>
    </row>
    <row r="612">
      <c r="J612" s="74" t="n"/>
    </row>
    <row r="613">
      <c r="J613" s="74" t="n"/>
    </row>
    <row r="614">
      <c r="J614" s="74" t="n"/>
    </row>
    <row r="615">
      <c r="J615" s="74" t="n"/>
    </row>
    <row r="616">
      <c r="J616" s="74" t="n"/>
    </row>
    <row r="617">
      <c r="J617" s="74" t="n"/>
    </row>
    <row r="618">
      <c r="J618" s="74" t="n"/>
    </row>
    <row r="619">
      <c r="J619" s="74" t="n"/>
    </row>
    <row r="620">
      <c r="J620" s="74" t="n"/>
    </row>
    <row r="621">
      <c r="J621" s="74" t="n"/>
    </row>
    <row r="622">
      <c r="J622" s="74" t="n"/>
    </row>
    <row r="623">
      <c r="J623" s="74" t="n"/>
    </row>
    <row r="624">
      <c r="J624" s="74" t="n"/>
    </row>
    <row r="625">
      <c r="J625" s="74" t="n"/>
    </row>
    <row r="626">
      <c r="J626" s="74" t="n"/>
    </row>
    <row r="627">
      <c r="J627" s="74" t="n"/>
    </row>
    <row r="628">
      <c r="J628" s="74" t="n"/>
    </row>
    <row r="629">
      <c r="J629" s="74" t="n"/>
    </row>
    <row r="630">
      <c r="J630" s="74" t="n"/>
    </row>
    <row r="631">
      <c r="J631" s="74" t="n"/>
    </row>
    <row r="632">
      <c r="J632" s="74" t="n"/>
    </row>
    <row r="633">
      <c r="J633" s="74" t="n"/>
    </row>
    <row r="634">
      <c r="J634" s="74" t="n"/>
    </row>
    <row r="635">
      <c r="J635" s="74" t="n"/>
    </row>
    <row r="636">
      <c r="J636" s="74" t="n"/>
    </row>
    <row r="637">
      <c r="J637" s="74" t="n"/>
    </row>
    <row r="638">
      <c r="J638" s="74" t="n"/>
    </row>
    <row r="639">
      <c r="J639" s="74" t="n"/>
    </row>
    <row r="640">
      <c r="J640" s="74" t="n"/>
    </row>
    <row r="641">
      <c r="J641" s="74" t="n"/>
    </row>
    <row r="642">
      <c r="J642" s="74" t="n"/>
    </row>
    <row r="643">
      <c r="J643" s="74" t="n"/>
    </row>
    <row r="644">
      <c r="J644" s="74" t="n"/>
    </row>
    <row r="645">
      <c r="J645" s="74" t="n"/>
    </row>
    <row r="646">
      <c r="J646" s="74" t="n"/>
    </row>
    <row r="647">
      <c r="J647" s="74" t="n"/>
    </row>
    <row r="648">
      <c r="J648" s="74" t="n"/>
    </row>
    <row r="649">
      <c r="J649" s="74" t="n"/>
    </row>
    <row r="650">
      <c r="J650" s="74" t="n"/>
    </row>
    <row r="651">
      <c r="J651" s="74" t="n"/>
    </row>
    <row r="652">
      <c r="J652" s="74" t="n"/>
    </row>
    <row r="653">
      <c r="J653" s="74" t="n"/>
    </row>
    <row r="654">
      <c r="J654" s="74" t="n"/>
    </row>
    <row r="655">
      <c r="J655" s="74" t="n"/>
    </row>
    <row r="656">
      <c r="J656" s="74" t="n"/>
    </row>
    <row r="657">
      <c r="J657" s="74" t="n"/>
    </row>
    <row r="658">
      <c r="J658" s="74" t="n"/>
    </row>
    <row r="659">
      <c r="J659" s="74" t="n"/>
    </row>
    <row r="660">
      <c r="J660" s="74" t="n"/>
    </row>
    <row r="661">
      <c r="J661" s="74" t="n"/>
    </row>
    <row r="662">
      <c r="J662" s="74" t="n"/>
    </row>
    <row r="663">
      <c r="J663" s="74" t="n"/>
    </row>
    <row r="664">
      <c r="J664" s="74" t="n"/>
    </row>
    <row r="665">
      <c r="J665" s="74" t="n"/>
    </row>
    <row r="666">
      <c r="J666" s="74" t="n"/>
    </row>
    <row r="667">
      <c r="J667" s="74" t="n"/>
    </row>
    <row r="668">
      <c r="J668" s="74" t="n"/>
    </row>
    <row r="669">
      <c r="J669" s="74" t="n"/>
    </row>
    <row r="670">
      <c r="J670" s="74" t="n"/>
    </row>
    <row r="671">
      <c r="J671" s="74" t="n"/>
    </row>
    <row r="672">
      <c r="J672" s="74" t="n"/>
    </row>
    <row r="673">
      <c r="J673" s="74" t="n"/>
    </row>
    <row r="674">
      <c r="J674" s="74" t="n"/>
    </row>
    <row r="675">
      <c r="J675" s="74" t="n"/>
    </row>
    <row r="676">
      <c r="J676" s="74" t="n"/>
    </row>
    <row r="677">
      <c r="J677" s="74" t="n"/>
    </row>
    <row r="678">
      <c r="J678" s="74" t="n"/>
    </row>
    <row r="679">
      <c r="J679" s="74" t="n"/>
    </row>
    <row r="680">
      <c r="J680" s="74" t="n"/>
    </row>
    <row r="681">
      <c r="J681" s="74" t="n"/>
    </row>
    <row r="682">
      <c r="J682" s="74" t="n"/>
    </row>
    <row r="683">
      <c r="J683" s="74" t="n"/>
    </row>
    <row r="684">
      <c r="J684" s="74" t="n"/>
    </row>
    <row r="685">
      <c r="J685" s="74" t="n"/>
    </row>
    <row r="686">
      <c r="J686" s="74" t="n"/>
    </row>
    <row r="687">
      <c r="J687" s="74" t="n"/>
    </row>
    <row r="688">
      <c r="J688" s="74" t="n"/>
    </row>
    <row r="689">
      <c r="J689" s="74" t="n"/>
    </row>
    <row r="690">
      <c r="J690" s="74" t="n"/>
    </row>
    <row r="691">
      <c r="J691" s="74" t="n"/>
    </row>
    <row r="692">
      <c r="J692" s="74" t="n"/>
    </row>
    <row r="693">
      <c r="J693" s="74" t="n"/>
    </row>
    <row r="694">
      <c r="J694" s="74" t="n"/>
    </row>
    <row r="695">
      <c r="J695" s="74" t="n"/>
    </row>
    <row r="696">
      <c r="J696" s="74" t="n"/>
    </row>
    <row r="697">
      <c r="J697" s="74" t="n"/>
    </row>
    <row r="698">
      <c r="J698" s="74" t="n"/>
    </row>
    <row r="699">
      <c r="J699" s="74" t="n"/>
    </row>
    <row r="700">
      <c r="J700" s="74" t="n"/>
    </row>
    <row r="701">
      <c r="J701" s="74" t="n"/>
    </row>
    <row r="702">
      <c r="J702" s="74" t="n"/>
    </row>
    <row r="703">
      <c r="J703" s="74" t="n"/>
    </row>
    <row r="704">
      <c r="J704" s="74" t="n"/>
    </row>
    <row r="705">
      <c r="J705" s="74" t="n"/>
    </row>
    <row r="706">
      <c r="J706" s="74" t="n"/>
    </row>
    <row r="707">
      <c r="J707" s="74" t="n"/>
    </row>
    <row r="708">
      <c r="J708" s="74" t="n"/>
    </row>
    <row r="709">
      <c r="J709" s="74" t="n"/>
    </row>
    <row r="710">
      <c r="J710" s="74" t="n"/>
    </row>
    <row r="711">
      <c r="J711" s="74" t="n"/>
    </row>
    <row r="712">
      <c r="J712" s="74" t="n"/>
    </row>
    <row r="713">
      <c r="J713" s="74" t="n"/>
    </row>
    <row r="714">
      <c r="J714" s="74" t="n"/>
    </row>
    <row r="715">
      <c r="J715" s="74" t="n"/>
    </row>
    <row r="716">
      <c r="J716" s="74" t="n"/>
    </row>
    <row r="717">
      <c r="J717" s="74" t="n"/>
    </row>
    <row r="718">
      <c r="J718" s="74" t="n"/>
    </row>
    <row r="719">
      <c r="J719" s="74" t="n"/>
    </row>
    <row r="720">
      <c r="J720" s="74" t="n"/>
    </row>
    <row r="721">
      <c r="J721" s="74" t="n"/>
    </row>
    <row r="722">
      <c r="J722" s="74" t="n"/>
    </row>
    <row r="723">
      <c r="J723" s="74" t="n"/>
    </row>
    <row r="724">
      <c r="J724" s="74" t="n"/>
    </row>
    <row r="725">
      <c r="J725" s="74" t="n"/>
    </row>
    <row r="726">
      <c r="J726" s="74" t="n"/>
    </row>
    <row r="727">
      <c r="J727" s="74" t="n"/>
    </row>
    <row r="728">
      <c r="J728" s="74" t="n"/>
    </row>
    <row r="729">
      <c r="J729" s="74" t="n"/>
    </row>
    <row r="730">
      <c r="J730" s="74" t="n"/>
    </row>
    <row r="731">
      <c r="J731" s="74" t="n"/>
    </row>
    <row r="732">
      <c r="J732" s="74" t="n"/>
    </row>
    <row r="733">
      <c r="J733" s="74" t="n"/>
    </row>
    <row r="734">
      <c r="J734" s="74" t="n"/>
    </row>
    <row r="735">
      <c r="J735" s="74" t="n"/>
    </row>
    <row r="736">
      <c r="J736" s="74" t="n"/>
    </row>
    <row r="737">
      <c r="J737" s="74" t="n"/>
    </row>
    <row r="738">
      <c r="J738" s="74" t="n"/>
    </row>
    <row r="739">
      <c r="J739" s="74" t="n"/>
    </row>
    <row r="740">
      <c r="J740" s="74" t="n"/>
    </row>
    <row r="741">
      <c r="J741" s="74" t="n"/>
    </row>
    <row r="742">
      <c r="J742" s="74" t="n"/>
    </row>
    <row r="743">
      <c r="J743" s="74" t="n"/>
    </row>
    <row r="744">
      <c r="J744" s="74" t="n"/>
    </row>
    <row r="745">
      <c r="J745" s="74" t="n"/>
    </row>
    <row r="746">
      <c r="J746" s="74" t="n"/>
    </row>
    <row r="747">
      <c r="J747" s="74" t="n"/>
    </row>
    <row r="748">
      <c r="J748" s="74" t="n"/>
    </row>
    <row r="749">
      <c r="J749" s="74" t="n"/>
    </row>
    <row r="750">
      <c r="J750" s="74" t="n"/>
    </row>
    <row r="751">
      <c r="J751" s="74" t="n"/>
    </row>
    <row r="752">
      <c r="J752" s="74" t="n"/>
    </row>
    <row r="753">
      <c r="J753" s="74" t="n"/>
    </row>
    <row r="754">
      <c r="J754" s="74" t="n"/>
    </row>
    <row r="755">
      <c r="J755" s="74" t="n"/>
    </row>
    <row r="756">
      <c r="J756" s="74" t="n"/>
    </row>
    <row r="757">
      <c r="J757" s="74" t="n"/>
    </row>
    <row r="758">
      <c r="J758" s="74" t="n"/>
    </row>
    <row r="759">
      <c r="J759" s="74" t="n"/>
    </row>
    <row r="760">
      <c r="J760" s="74" t="n"/>
    </row>
    <row r="761">
      <c r="J761" s="74" t="n"/>
    </row>
    <row r="762">
      <c r="J762" s="74" t="n"/>
    </row>
    <row r="763">
      <c r="J763" s="74" t="n"/>
    </row>
    <row r="764">
      <c r="J764" s="74" t="n"/>
    </row>
    <row r="765">
      <c r="J765" s="74" t="n"/>
    </row>
    <row r="766">
      <c r="J766" s="74" t="n"/>
    </row>
    <row r="767">
      <c r="J767" s="74" t="n"/>
    </row>
    <row r="768">
      <c r="J768" s="74" t="n"/>
    </row>
    <row r="769">
      <c r="J769" s="74" t="n"/>
    </row>
    <row r="770">
      <c r="J770" s="74" t="n"/>
    </row>
    <row r="771">
      <c r="J771" s="74" t="n"/>
    </row>
    <row r="772">
      <c r="J772" s="74" t="n"/>
    </row>
    <row r="773">
      <c r="J773" s="74" t="n"/>
    </row>
    <row r="774">
      <c r="J774" s="74" t="n"/>
    </row>
    <row r="775">
      <c r="J775" s="74" t="n"/>
    </row>
    <row r="776">
      <c r="J776" s="74" t="n"/>
    </row>
    <row r="777">
      <c r="J777" s="74" t="n"/>
    </row>
    <row r="778">
      <c r="J778" s="74" t="n"/>
    </row>
    <row r="779">
      <c r="J779" s="74" t="n"/>
    </row>
    <row r="780">
      <c r="J780" s="74" t="n"/>
    </row>
    <row r="781">
      <c r="J781" s="74" t="n"/>
    </row>
    <row r="782">
      <c r="J782" s="74" t="n"/>
    </row>
    <row r="783">
      <c r="J783" s="74" t="n"/>
    </row>
    <row r="784">
      <c r="J784" s="74" t="n"/>
    </row>
    <row r="785">
      <c r="J785" s="74" t="n"/>
    </row>
    <row r="786">
      <c r="J786" s="74" t="n"/>
    </row>
    <row r="787">
      <c r="J787" s="74" t="n"/>
    </row>
    <row r="788">
      <c r="J788" s="74" t="n"/>
    </row>
    <row r="789">
      <c r="J789" s="74" t="n"/>
    </row>
    <row r="790">
      <c r="J790" s="74" t="n"/>
    </row>
    <row r="791">
      <c r="J791" s="74" t="n"/>
    </row>
    <row r="792">
      <c r="J792" s="74" t="n"/>
    </row>
    <row r="793">
      <c r="J793" s="74" t="n"/>
    </row>
    <row r="794">
      <c r="J794" s="74" t="n"/>
    </row>
    <row r="795">
      <c r="J795" s="74" t="n"/>
    </row>
    <row r="796">
      <c r="J796" s="74" t="n"/>
    </row>
    <row r="797">
      <c r="J797" s="74" t="n"/>
    </row>
    <row r="798">
      <c r="J798" s="74" t="n"/>
    </row>
    <row r="799">
      <c r="J799" s="74" t="n"/>
    </row>
    <row r="800">
      <c r="J800" s="74" t="n"/>
    </row>
    <row r="801">
      <c r="J801" s="74" t="n"/>
    </row>
    <row r="802">
      <c r="J802" s="74" t="n"/>
    </row>
    <row r="803">
      <c r="J803" s="74" t="n"/>
    </row>
    <row r="804">
      <c r="J804" s="74" t="n"/>
    </row>
    <row r="805">
      <c r="J805" s="74" t="n"/>
    </row>
    <row r="806">
      <c r="J806" s="74" t="n"/>
    </row>
    <row r="807">
      <c r="J807" s="74" t="n"/>
    </row>
    <row r="808">
      <c r="J808" s="74" t="n"/>
    </row>
    <row r="809">
      <c r="J809" s="74" t="n"/>
    </row>
    <row r="810">
      <c r="J810" s="74" t="n"/>
    </row>
    <row r="811">
      <c r="J811" s="74" t="n"/>
    </row>
    <row r="812">
      <c r="J812" s="74" t="n"/>
    </row>
    <row r="813">
      <c r="J813" s="74" t="n"/>
    </row>
    <row r="814">
      <c r="J814" s="74" t="n"/>
    </row>
    <row r="815">
      <c r="J815" s="74" t="n"/>
    </row>
    <row r="816">
      <c r="J816" s="74" t="n"/>
    </row>
    <row r="817">
      <c r="J817" s="74" t="n"/>
    </row>
    <row r="818">
      <c r="J818" s="74" t="n"/>
    </row>
    <row r="819">
      <c r="J819" s="74" t="n"/>
    </row>
    <row r="820">
      <c r="J820" s="74" t="n"/>
    </row>
    <row r="821">
      <c r="J821" s="74" t="n"/>
    </row>
    <row r="822">
      <c r="J822" s="74" t="n"/>
    </row>
    <row r="823">
      <c r="J823" s="74" t="n"/>
    </row>
    <row r="824">
      <c r="J824" s="74" t="n"/>
    </row>
    <row r="825">
      <c r="J825" s="74" t="n"/>
    </row>
    <row r="826">
      <c r="J826" s="74" t="n"/>
    </row>
    <row r="827">
      <c r="J827" s="74" t="n"/>
    </row>
    <row r="828">
      <c r="J828" s="74" t="n"/>
    </row>
    <row r="829">
      <c r="J829" s="74" t="n"/>
    </row>
    <row r="830">
      <c r="J830" s="74" t="n"/>
    </row>
    <row r="831">
      <c r="J831" s="74" t="n"/>
    </row>
    <row r="832">
      <c r="J832" s="74" t="n"/>
    </row>
    <row r="833">
      <c r="J833" s="74" t="n"/>
    </row>
    <row r="834">
      <c r="J834" s="74" t="n"/>
    </row>
    <row r="835">
      <c r="J835" s="74" t="n"/>
    </row>
    <row r="836">
      <c r="J836" s="74" t="n"/>
    </row>
    <row r="837">
      <c r="J837" s="74" t="n"/>
    </row>
    <row r="838">
      <c r="J838" s="74" t="n"/>
    </row>
    <row r="839">
      <c r="J839" s="74" t="n"/>
    </row>
    <row r="840">
      <c r="J840" s="74" t="n"/>
    </row>
    <row r="841">
      <c r="J841" s="74" t="n"/>
    </row>
    <row r="842">
      <c r="J842" s="74" t="n"/>
    </row>
    <row r="843">
      <c r="J843" s="74" t="n"/>
    </row>
    <row r="844">
      <c r="J844" s="74" t="n"/>
    </row>
    <row r="845">
      <c r="J845" s="74" t="n"/>
    </row>
    <row r="846">
      <c r="J846" s="74" t="n"/>
    </row>
    <row r="847">
      <c r="J847" s="74" t="n"/>
    </row>
    <row r="848">
      <c r="J848" s="74" t="n"/>
    </row>
    <row r="849">
      <c r="J849" s="74" t="n"/>
    </row>
    <row r="850">
      <c r="J850" s="74" t="n"/>
    </row>
    <row r="851">
      <c r="J851" s="74" t="n"/>
    </row>
    <row r="852">
      <c r="J852" s="74" t="n"/>
    </row>
    <row r="853">
      <c r="J853" s="74" t="n"/>
    </row>
    <row r="854">
      <c r="J854" s="74" t="n"/>
    </row>
    <row r="855">
      <c r="J855" s="74" t="n"/>
    </row>
    <row r="856">
      <c r="J856" s="74" t="n"/>
    </row>
    <row r="857">
      <c r="J857" s="74" t="n"/>
    </row>
    <row r="858">
      <c r="J858" s="74" t="n"/>
    </row>
    <row r="859">
      <c r="J859" s="74" t="n"/>
    </row>
    <row r="860">
      <c r="J860" s="74" t="n"/>
    </row>
    <row r="861">
      <c r="J861" s="74" t="n"/>
    </row>
    <row r="862">
      <c r="J862" s="74" t="n"/>
    </row>
    <row r="863">
      <c r="J863" s="74" t="n"/>
    </row>
    <row r="864">
      <c r="J864" s="74" t="n"/>
    </row>
    <row r="865">
      <c r="J865" s="74" t="n"/>
    </row>
    <row r="866">
      <c r="J866" s="74" t="n"/>
    </row>
    <row r="867">
      <c r="J867" s="74" t="n"/>
    </row>
    <row r="868">
      <c r="J868" s="74" t="n"/>
    </row>
    <row r="869">
      <c r="J869" s="74" t="n"/>
    </row>
    <row r="870">
      <c r="J870" s="74" t="n"/>
    </row>
    <row r="871">
      <c r="J871" s="74" t="n"/>
    </row>
    <row r="872">
      <c r="J872" s="74" t="n"/>
    </row>
    <row r="873">
      <c r="J873" s="74" t="n"/>
    </row>
    <row r="874">
      <c r="J874" s="74" t="n"/>
    </row>
    <row r="875">
      <c r="J875" s="74" t="n"/>
    </row>
    <row r="876">
      <c r="J876" s="74" t="n"/>
    </row>
    <row r="877">
      <c r="J877" s="74" t="n"/>
    </row>
    <row r="878">
      <c r="J878" s="74" t="n"/>
    </row>
    <row r="879">
      <c r="J879" s="74" t="n"/>
    </row>
    <row r="880">
      <c r="J880" s="74" t="n"/>
    </row>
    <row r="881">
      <c r="J881" s="74" t="n"/>
    </row>
    <row r="882">
      <c r="J882" s="74" t="n"/>
    </row>
    <row r="883">
      <c r="J883" s="74" t="n"/>
    </row>
    <row r="884">
      <c r="J884" s="74" t="n"/>
    </row>
    <row r="885">
      <c r="J885" s="74" t="n"/>
    </row>
    <row r="886">
      <c r="J886" s="74" t="n"/>
    </row>
    <row r="887">
      <c r="J887" s="74" t="n"/>
    </row>
    <row r="888">
      <c r="J888" s="74" t="n"/>
    </row>
    <row r="889">
      <c r="J889" s="74" t="n"/>
    </row>
    <row r="890">
      <c r="J890" s="74" t="n"/>
    </row>
    <row r="891">
      <c r="J891" s="74" t="n"/>
    </row>
    <row r="892">
      <c r="J892" s="74" t="n"/>
    </row>
    <row r="893">
      <c r="J893" s="74" t="n"/>
    </row>
    <row r="894">
      <c r="J894" s="74" t="n"/>
    </row>
    <row r="895">
      <c r="J895" s="74" t="n"/>
    </row>
    <row r="896">
      <c r="J896" s="74" t="n"/>
    </row>
    <row r="897">
      <c r="J897" s="74" t="n"/>
    </row>
    <row r="898">
      <c r="J898" s="74" t="n"/>
    </row>
    <row r="899">
      <c r="J899" s="74" t="n"/>
    </row>
    <row r="900">
      <c r="J900" s="74" t="n"/>
    </row>
    <row r="901">
      <c r="J901" s="74" t="n"/>
    </row>
    <row r="902">
      <c r="J902" s="74" t="n"/>
    </row>
    <row r="903">
      <c r="J903" s="74" t="n"/>
    </row>
    <row r="904">
      <c r="J904" s="74" t="n"/>
    </row>
    <row r="905">
      <c r="J905" s="74" t="n"/>
    </row>
    <row r="906">
      <c r="J906" s="74" t="n"/>
    </row>
    <row r="907">
      <c r="J907" s="74" t="n"/>
    </row>
    <row r="908">
      <c r="J908" s="74" t="n"/>
    </row>
    <row r="909">
      <c r="J909" s="74" t="n"/>
    </row>
    <row r="910">
      <c r="J910" s="74" t="n"/>
    </row>
    <row r="911">
      <c r="J911" s="74" t="n"/>
    </row>
    <row r="912">
      <c r="J912" s="74" t="n"/>
    </row>
    <row r="913">
      <c r="J913" s="74" t="n"/>
    </row>
    <row r="914">
      <c r="J914" s="74" t="n"/>
    </row>
    <row r="915">
      <c r="J915" s="74" t="n"/>
    </row>
    <row r="916">
      <c r="J916" s="74" t="n"/>
    </row>
    <row r="917">
      <c r="J917" s="74" t="n"/>
    </row>
    <row r="918">
      <c r="J918" s="74" t="n"/>
    </row>
    <row r="919">
      <c r="J919" s="74" t="n"/>
    </row>
    <row r="920">
      <c r="J920" s="74" t="n"/>
    </row>
    <row r="921">
      <c r="J921" s="74" t="n"/>
    </row>
    <row r="922">
      <c r="J922" s="74" t="n"/>
    </row>
    <row r="923">
      <c r="J923" s="74" t="n"/>
    </row>
    <row r="924">
      <c r="J924" s="74" t="n"/>
    </row>
    <row r="925">
      <c r="J925" s="74" t="n"/>
    </row>
    <row r="926">
      <c r="J926" s="74" t="n"/>
    </row>
    <row r="927">
      <c r="J927" s="74" t="n"/>
    </row>
    <row r="928">
      <c r="J928" s="74" t="n"/>
    </row>
    <row r="929">
      <c r="J929" s="74" t="n"/>
    </row>
    <row r="930">
      <c r="J930" s="74" t="n"/>
    </row>
    <row r="931">
      <c r="J931" s="74" t="n"/>
    </row>
    <row r="932">
      <c r="J932" s="74" t="n"/>
    </row>
    <row r="933">
      <c r="J933" s="74" t="n"/>
    </row>
    <row r="934">
      <c r="J934" s="74" t="n"/>
    </row>
    <row r="935">
      <c r="J935" s="74" t="n"/>
    </row>
    <row r="936">
      <c r="J936" s="74" t="n"/>
    </row>
    <row r="937">
      <c r="J937" s="74" t="n"/>
    </row>
    <row r="938">
      <c r="J938" s="74" t="n"/>
    </row>
    <row r="939">
      <c r="J939" s="74" t="n"/>
    </row>
    <row r="940">
      <c r="J940" s="74" t="n"/>
    </row>
    <row r="941">
      <c r="J941" s="74" t="n"/>
    </row>
    <row r="942">
      <c r="J942" s="74" t="n"/>
    </row>
    <row r="943">
      <c r="J943" s="74" t="n"/>
    </row>
    <row r="944">
      <c r="J944" s="74" t="n"/>
    </row>
    <row r="945">
      <c r="J945" s="74" t="n"/>
    </row>
    <row r="946">
      <c r="J946" s="74" t="n"/>
    </row>
    <row r="947">
      <c r="J947" s="74" t="n"/>
    </row>
    <row r="948">
      <c r="J948" s="74" t="n"/>
    </row>
    <row r="949">
      <c r="J949" s="74" t="n"/>
    </row>
    <row r="950">
      <c r="J950" s="74" t="n"/>
    </row>
    <row r="951">
      <c r="J951" s="74" t="n"/>
    </row>
    <row r="952">
      <c r="J952" s="74" t="n"/>
    </row>
    <row r="953">
      <c r="J953" s="74" t="n"/>
    </row>
    <row r="954">
      <c r="J954" s="74" t="n"/>
    </row>
    <row r="955">
      <c r="J955" s="74" t="n"/>
    </row>
    <row r="956">
      <c r="J956" s="74" t="n"/>
    </row>
    <row r="957">
      <c r="J957" s="74" t="n"/>
    </row>
    <row r="958">
      <c r="J958" s="74" t="n"/>
    </row>
    <row r="959">
      <c r="J959" s="74" t="n"/>
    </row>
    <row r="960">
      <c r="J960" s="74" t="n"/>
    </row>
    <row r="961">
      <c r="J961" s="74" t="n"/>
    </row>
    <row r="962">
      <c r="J962" s="74" t="n"/>
    </row>
    <row r="963">
      <c r="J963" s="74" t="n"/>
    </row>
    <row r="964">
      <c r="J964" s="74" t="n"/>
    </row>
    <row r="965">
      <c r="J965" s="74" t="n"/>
    </row>
    <row r="966">
      <c r="J966" s="74" t="n"/>
    </row>
    <row r="967">
      <c r="J967" s="74" t="n"/>
    </row>
    <row r="968">
      <c r="J968" s="74" t="n"/>
    </row>
    <row r="969">
      <c r="J969" s="74" t="n"/>
    </row>
    <row r="970">
      <c r="J970" s="74" t="n"/>
    </row>
    <row r="971">
      <c r="J971" s="74" t="n"/>
    </row>
    <row r="972">
      <c r="J972" s="74" t="n"/>
    </row>
    <row r="973">
      <c r="J973" s="74" t="n"/>
    </row>
    <row r="974">
      <c r="J974" s="74" t="n"/>
    </row>
    <row r="975">
      <c r="J975" s="74" t="n"/>
    </row>
    <row r="976">
      <c r="J976" s="74" t="n"/>
    </row>
    <row r="977">
      <c r="J977" s="74" t="n"/>
    </row>
    <row r="978">
      <c r="J978" s="74" t="n"/>
    </row>
    <row r="979">
      <c r="J979" s="74" t="n"/>
    </row>
    <row r="980">
      <c r="J980" s="74" t="n"/>
    </row>
    <row r="981">
      <c r="J981" s="74" t="n"/>
    </row>
    <row r="982">
      <c r="J982" s="74" t="n"/>
    </row>
    <row r="983">
      <c r="J983" s="74" t="n"/>
    </row>
    <row r="984">
      <c r="J984" s="74" t="n"/>
    </row>
    <row r="985">
      <c r="J985" s="74" t="n"/>
    </row>
  </sheetData>
  <autoFilter ref="$A$1:$D$74"/>
  <mergeCells count="4">
    <mergeCell ref="F3:F12"/>
    <mergeCell ref="G2:H2"/>
    <mergeCell ref="F13:F15"/>
    <mergeCell ref="F1:I1"/>
  </mergeCells>
  <conditionalFormatting sqref="G13:H15">
    <cfRule type="cellIs" priority="1" operator="equal" dxfId="14">
      <formula>"GR"</formula>
    </cfRule>
  </conditionalFormatting>
  <conditionalFormatting sqref="G2:G65 G71:H985 H2:H21 H23:H65 J9">
    <cfRule type="containsText" priority="2" operator="containsText" dxfId="2" text="A m">
      <formula>NOT(ISERROR(SEARCH(("A m"),(G2))))</formula>
    </cfRule>
    <cfRule type="containsText" priority="3" operator="containsText" dxfId="3" text="A v">
      <formula>NOT(ISERROR(SEARCH(("A v"),(G2))))</formula>
    </cfRule>
    <cfRule type="containsText" priority="4" operator="containsText" dxfId="4" text="B1 m">
      <formula>NOT(ISERROR(SEARCH(("B1 m"),(G2))))</formula>
    </cfRule>
    <cfRule type="containsText" priority="5" operator="containsText" dxfId="5" text="B1 v">
      <formula>NOT(ISERROR(SEARCH(("B1 v"),(G2))))</formula>
    </cfRule>
    <cfRule type="containsText" priority="6" operator="containsText" dxfId="6" text="B2 m">
      <formula>NOT(ISERROR(SEARCH(("B2 m"),(G2))))</formula>
    </cfRule>
    <cfRule type="containsText" priority="7" operator="containsText" dxfId="7" text="B2 v">
      <formula>NOT(ISERROR(SEARCH(("B2 v"),(G2))))</formula>
    </cfRule>
    <cfRule type="containsText" priority="8" operator="containsText" dxfId="8" text="C m">
      <formula>NOT(ISERROR(SEARCH(("C m"),(G2))))</formula>
    </cfRule>
    <cfRule type="containsText" priority="9" operator="containsText" dxfId="9" text="C v">
      <formula>NOT(ISERROR(SEARCH(("C v"),(G2))))</formula>
    </cfRule>
    <cfRule type="containsText" priority="10" operator="containsText" dxfId="10" text="D v">
      <formula>NOT(ISERROR(SEARCH(("D v"),(G2))))</formula>
    </cfRule>
    <cfRule type="containsText" priority="11" operator="containsText" dxfId="11" text="D m">
      <formula>NOT(ISERROR(SEARCH(("D m"),(G2))))</formula>
    </cfRule>
    <cfRule type="containsText" priority="12" operator="containsText" dxfId="12" text="E m">
      <formula>NOT(ISERROR(SEARCH(("E m"),(G2))))</formula>
    </cfRule>
    <cfRule type="containsText" priority="13" operator="containsText" dxfId="13" text="E v">
      <formula>NOT(ISERROR(SEARCH(("E v"),(G2))))</formula>
    </cfRule>
  </conditionalFormatting>
  <conditionalFormatting sqref="A1">
    <cfRule type="notContainsBlanks" priority="14" dxfId="0">
      <formula>LEN(TRIM(A1))&gt;0</formula>
    </cfRule>
  </conditionalFormatting>
  <dataValidations count="1">
    <dataValidation sqref="D2:D74" showDropDown="0" showInputMessage="0" showErrorMessage="1" allowBlank="1" type="list">
      <formula1>"Veio,Não Veio"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38"/>
  <sheetViews>
    <sheetView workbookViewId="0">
      <selection activeCell="A1" sqref="A1"/>
    </sheetView>
  </sheetViews>
  <sheetFormatPr baseColWidth="8" defaultColWidth="12.63" defaultRowHeight="15.75" customHeight="1"/>
  <cols>
    <col width="40.38" customWidth="1" style="128" min="1" max="1"/>
    <col width="15.75" customWidth="1" style="128" min="11" max="11"/>
  </cols>
  <sheetData>
    <row r="1">
      <c r="A1" s="7" t="inlineStr">
        <is>
          <t>Competidores</t>
        </is>
      </c>
      <c r="B1" s="7" t="inlineStr">
        <is>
          <t>Turma</t>
        </is>
      </c>
      <c r="C1" s="7" t="inlineStr">
        <is>
          <t>Período</t>
        </is>
      </c>
      <c r="D1" s="26" t="inlineStr">
        <is>
          <t>Presente</t>
        </is>
      </c>
      <c r="F1" s="69" t="inlineStr">
        <is>
          <t>CONFRONTOS</t>
        </is>
      </c>
      <c r="G1" s="130" t="n"/>
      <c r="H1" s="130" t="n"/>
      <c r="I1" s="131" t="n"/>
      <c r="K1" s="34" t="inlineStr">
        <is>
          <t>Tempo</t>
        </is>
      </c>
    </row>
    <row r="2">
      <c r="A2" s="34">
        <f>IFERROR(__xludf.DUMMYFUNCTION("FILTER(Alunos!A:A, Alunos!$I:$I = ""Participa"")"),"ADILSON EVÊNCIO DA SILVA JUNIOR")</f>
        <v/>
      </c>
      <c r="B2" s="34">
        <f>IFERROR(__xludf.DUMMYFUNCTION("FILTER(Alunos!B:B, Alunos!$I:$I = ""Participa"")"),"Turma E")</f>
        <v/>
      </c>
      <c r="C2" s="34">
        <f>IFERROR(__xludf.DUMMYFUNCTION("FILTER(Alunos!C:C, Alunos!$I:$I = ""Participa"")"),"Matutino")</f>
        <v/>
      </c>
      <c r="D2" s="34" t="inlineStr">
        <is>
          <t>Veio</t>
        </is>
      </c>
      <c r="F2" s="61" t="inlineStr">
        <is>
          <t>Categoria</t>
        </is>
      </c>
      <c r="G2" s="61" t="inlineStr">
        <is>
          <t>Turmas</t>
        </is>
      </c>
      <c r="H2" s="131" t="n"/>
      <c r="I2" s="73" t="inlineStr">
        <is>
          <t>Resultados</t>
        </is>
      </c>
      <c r="K2" s="34" t="inlineStr">
        <is>
          <t>30 minutos por jogo</t>
        </is>
      </c>
    </row>
    <row r="3">
      <c r="A3" s="34">
        <f>IFERROR(__xludf.DUMMYFUNCTION("""COMPUTED_VALUE"""),"ALLAN ALVES RIBEIRO")</f>
        <v/>
      </c>
      <c r="B3" s="34">
        <f>IFERROR(__xludf.DUMMYFUNCTION("""COMPUTED_VALUE"""),"Turma E")</f>
        <v/>
      </c>
      <c r="C3" s="34">
        <f>IFERROR(__xludf.DUMMYFUNCTION("""COMPUTED_VALUE"""),"Vespertino")</f>
        <v/>
      </c>
      <c r="D3" s="34" t="inlineStr">
        <is>
          <t>Veio</t>
        </is>
      </c>
      <c r="F3" s="137" t="inlineStr">
        <is>
          <t>Júnior</t>
        </is>
      </c>
      <c r="G3" s="114" t="inlineStr">
        <is>
          <t>E m</t>
        </is>
      </c>
      <c r="H3" s="114" t="inlineStr">
        <is>
          <t>E v</t>
        </is>
      </c>
      <c r="I3" s="65" t="inlineStr">
        <is>
          <t>E m</t>
        </is>
      </c>
      <c r="J3" s="24" t="n"/>
    </row>
    <row r="4">
      <c r="A4" s="34">
        <f>IFERROR(__xludf.DUMMYFUNCTION("""COMPUTED_VALUE"""),"ANA CLARA DE FREITAS TEIXEIRA")</f>
        <v/>
      </c>
      <c r="B4" s="34">
        <f>IFERROR(__xludf.DUMMYFUNCTION("""COMPUTED_VALUE"""),"Turma GR")</f>
        <v/>
      </c>
      <c r="C4" s="34">
        <f>IFERROR(__xludf.DUMMYFUNCTION("""COMPUTED_VALUE"""),"Vespertino")</f>
        <v/>
      </c>
      <c r="D4" s="34" t="inlineStr">
        <is>
          <t>Veio</t>
        </is>
      </c>
      <c r="F4" s="134" t="n"/>
      <c r="G4" s="114" t="inlineStr">
        <is>
          <t>GR</t>
        </is>
      </c>
      <c r="H4" s="114" t="inlineStr">
        <is>
          <t>E m</t>
        </is>
      </c>
      <c r="I4" s="65" t="inlineStr">
        <is>
          <t>E m</t>
        </is>
      </c>
      <c r="J4" s="24" t="n"/>
    </row>
    <row r="5">
      <c r="A5" s="34">
        <f>IFERROR(__xludf.DUMMYFUNCTION("""COMPUTED_VALUE"""),"ANA CRISTINA SOUZA LOBAK")</f>
        <v/>
      </c>
      <c r="B5" s="34">
        <f>IFERROR(__xludf.DUMMYFUNCTION("""COMPUTED_VALUE"""),"Turma E")</f>
        <v/>
      </c>
      <c r="C5" s="34">
        <f>IFERROR(__xludf.DUMMYFUNCTION("""COMPUTED_VALUE"""),"Vespertino")</f>
        <v/>
      </c>
      <c r="D5" s="34" t="inlineStr">
        <is>
          <t>Veio</t>
        </is>
      </c>
      <c r="F5" s="135" t="n"/>
      <c r="G5" s="114" t="inlineStr">
        <is>
          <t>E v</t>
        </is>
      </c>
      <c r="H5" s="114" t="inlineStr">
        <is>
          <t>GR</t>
        </is>
      </c>
      <c r="I5" s="65" t="inlineStr">
        <is>
          <t>E v</t>
        </is>
      </c>
    </row>
    <row r="6">
      <c r="A6" s="34">
        <f>IFERROR(__xludf.DUMMYFUNCTION("""COMPUTED_VALUE"""),"ANA LUIZA DA SILVA BORGES")</f>
        <v/>
      </c>
      <c r="B6" s="34">
        <f>IFERROR(__xludf.DUMMYFUNCTION("""COMPUTED_VALUE"""),"Turma E")</f>
        <v/>
      </c>
      <c r="C6" s="34">
        <f>IFERROR(__xludf.DUMMYFUNCTION("""COMPUTED_VALUE"""),"Matutino")</f>
        <v/>
      </c>
      <c r="D6" s="34" t="inlineStr">
        <is>
          <t>Veio</t>
        </is>
      </c>
      <c r="F6" s="59" t="n"/>
    </row>
    <row r="7">
      <c r="A7" s="34">
        <f>IFERROR(__xludf.DUMMYFUNCTION("""COMPUTED_VALUE"""),"ANA VITÓRIA ALCANTARA DIAS FERREIRA")</f>
        <v/>
      </c>
      <c r="B7" s="34">
        <f>IFERROR(__xludf.DUMMYFUNCTION("""COMPUTED_VALUE"""),"Turma E")</f>
        <v/>
      </c>
      <c r="C7" s="34">
        <f>IFERROR(__xludf.DUMMYFUNCTION("""COMPUTED_VALUE"""),"Vespertino")</f>
        <v/>
      </c>
      <c r="D7" s="34" t="inlineStr">
        <is>
          <t>Veio</t>
        </is>
      </c>
      <c r="F7" s="59" t="n"/>
    </row>
    <row r="8">
      <c r="A8" s="34">
        <f>IFERROR(__xludf.DUMMYFUNCTION("""COMPUTED_VALUE"""),"CAIO RUAN GERÔNIMO OLIVEIRA")</f>
        <v/>
      </c>
      <c r="B8" s="34">
        <f>IFERROR(__xludf.DUMMYFUNCTION("""COMPUTED_VALUE"""),"Turma E")</f>
        <v/>
      </c>
      <c r="C8" s="34">
        <f>IFERROR(__xludf.DUMMYFUNCTION("""COMPUTED_VALUE"""),"Matutino")</f>
        <v/>
      </c>
      <c r="D8" s="34" t="inlineStr">
        <is>
          <t>Veio</t>
        </is>
      </c>
      <c r="F8" s="59" t="n"/>
    </row>
    <row r="9">
      <c r="A9" s="34">
        <f>IFERROR(__xludf.DUMMYFUNCTION("""COMPUTED_VALUE"""),"CAIO SOUZA PRÓCÓPIO DA SILVA")</f>
        <v/>
      </c>
      <c r="B9" s="34">
        <f>IFERROR(__xludf.DUMMYFUNCTION("""COMPUTED_VALUE"""),"Turma E")</f>
        <v/>
      </c>
      <c r="C9" s="34">
        <f>IFERROR(__xludf.DUMMYFUNCTION("""COMPUTED_VALUE"""),"Matutino")</f>
        <v/>
      </c>
      <c r="D9" s="34" t="inlineStr">
        <is>
          <t>Veio</t>
        </is>
      </c>
      <c r="F9" s="59" t="n"/>
    </row>
    <row r="10">
      <c r="A10" s="34">
        <f>IFERROR(__xludf.DUMMYFUNCTION("""COMPUTED_VALUE"""),"CAUÃ VITORINO HOTTS DA SILVA")</f>
        <v/>
      </c>
      <c r="B10" s="34">
        <f>IFERROR(__xludf.DUMMYFUNCTION("""COMPUTED_VALUE"""),"Turma E")</f>
        <v/>
      </c>
      <c r="C10" s="34">
        <f>IFERROR(__xludf.DUMMYFUNCTION("""COMPUTED_VALUE"""),"Vespertino")</f>
        <v/>
      </c>
      <c r="D10" s="34" t="inlineStr">
        <is>
          <t>Veio</t>
        </is>
      </c>
      <c r="F10" s="59" t="n"/>
    </row>
    <row r="11">
      <c r="A11" s="34">
        <f>IFERROR(__xludf.DUMMYFUNCTION("""COMPUTED_VALUE"""),"DIEGO RENAN OLIVEIRA DA SILVA")</f>
        <v/>
      </c>
      <c r="B11" s="34">
        <f>IFERROR(__xludf.DUMMYFUNCTION("""COMPUTED_VALUE"""),"Turma E")</f>
        <v/>
      </c>
      <c r="C11" s="34">
        <f>IFERROR(__xludf.DUMMYFUNCTION("""COMPUTED_VALUE"""),"Vespertino")</f>
        <v/>
      </c>
      <c r="D11" s="34" t="inlineStr">
        <is>
          <t>Veio</t>
        </is>
      </c>
      <c r="F11" s="59" t="n"/>
    </row>
    <row r="12">
      <c r="A12" s="34">
        <f>IFERROR(__xludf.DUMMYFUNCTION("""COMPUTED_VALUE"""),"EMILY VITÓRIA DA SILVA SANTOS")</f>
        <v/>
      </c>
      <c r="B12" s="34">
        <f>IFERROR(__xludf.DUMMYFUNCTION("""COMPUTED_VALUE"""),"Turma GR")</f>
        <v/>
      </c>
      <c r="C12" s="34">
        <f>IFERROR(__xludf.DUMMYFUNCTION("""COMPUTED_VALUE"""),"Vespertino")</f>
        <v/>
      </c>
      <c r="D12" s="34" t="inlineStr">
        <is>
          <t>Veio</t>
        </is>
      </c>
    </row>
    <row r="13">
      <c r="A13" s="34">
        <f>IFERROR(__xludf.DUMMYFUNCTION("""COMPUTED_VALUE"""),"EROS PINHEIRO")</f>
        <v/>
      </c>
      <c r="B13" s="34">
        <f>IFERROR(__xludf.DUMMYFUNCTION("""COMPUTED_VALUE"""),"Turma GR")</f>
        <v/>
      </c>
      <c r="C13" s="34">
        <f>IFERROR(__xludf.DUMMYFUNCTION("""COMPUTED_VALUE"""),"Vespertino")</f>
        <v/>
      </c>
      <c r="D13" s="34" t="inlineStr">
        <is>
          <t>Não Veio</t>
        </is>
      </c>
    </row>
    <row r="14">
      <c r="A14" s="34">
        <f>IFERROR(__xludf.DUMMYFUNCTION("""COMPUTED_VALUE"""),"ESTEPHANIE ISADORA SALES ROQUE")</f>
        <v/>
      </c>
      <c r="B14" s="34">
        <f>IFERROR(__xludf.DUMMYFUNCTION("""COMPUTED_VALUE"""),"Turma GR")</f>
        <v/>
      </c>
      <c r="C14" s="34">
        <f>IFERROR(__xludf.DUMMYFUNCTION("""COMPUTED_VALUE"""),"Vespertino")</f>
        <v/>
      </c>
      <c r="D14" s="34" t="inlineStr">
        <is>
          <t>Veio</t>
        </is>
      </c>
    </row>
    <row r="15">
      <c r="A15" s="34">
        <f>IFERROR(__xludf.DUMMYFUNCTION("""COMPUTED_VALUE"""),"ESTHER PROCOPIO DA SILVA")</f>
        <v/>
      </c>
      <c r="B15" s="34">
        <f>IFERROR(__xludf.DUMMYFUNCTION("""COMPUTED_VALUE"""),"Turma GR")</f>
        <v/>
      </c>
      <c r="C15" s="34">
        <f>IFERROR(__xludf.DUMMYFUNCTION("""COMPUTED_VALUE"""),"Vespertino")</f>
        <v/>
      </c>
      <c r="D15" s="34" t="inlineStr">
        <is>
          <t>Veio</t>
        </is>
      </c>
    </row>
    <row r="16">
      <c r="A16" s="34">
        <f>IFERROR(__xludf.DUMMYFUNCTION("""COMPUTED_VALUE"""),"GLENDA TAWANY RODRIGUES ALVES")</f>
        <v/>
      </c>
      <c r="B16" s="34">
        <f>IFERROR(__xludf.DUMMYFUNCTION("""COMPUTED_VALUE"""),"Turma E")</f>
        <v/>
      </c>
      <c r="C16" s="34">
        <f>IFERROR(__xludf.DUMMYFUNCTION("""COMPUTED_VALUE"""),"Matutino")</f>
        <v/>
      </c>
      <c r="D16" s="34" t="inlineStr">
        <is>
          <t>Veio</t>
        </is>
      </c>
    </row>
    <row r="17">
      <c r="A17" s="34">
        <f>IFERROR(__xludf.DUMMYFUNCTION("""COMPUTED_VALUE"""),"GRAZIELLY VITÓRIA SOARES SANTOS")</f>
        <v/>
      </c>
      <c r="B17" s="34">
        <f>IFERROR(__xludf.DUMMYFUNCTION("""COMPUTED_VALUE"""),"Turma E")</f>
        <v/>
      </c>
      <c r="C17" s="34">
        <f>IFERROR(__xludf.DUMMYFUNCTION("""COMPUTED_VALUE"""),"Vespertino")</f>
        <v/>
      </c>
      <c r="D17" s="34" t="inlineStr">
        <is>
          <t>Veio</t>
        </is>
      </c>
    </row>
    <row r="18">
      <c r="A18" s="34">
        <f>IFERROR(__xludf.DUMMYFUNCTION("""COMPUTED_VALUE"""),"GUILHERME DE ANDRADE ZENZI")</f>
        <v/>
      </c>
      <c r="B18" s="34">
        <f>IFERROR(__xludf.DUMMYFUNCTION("""COMPUTED_VALUE"""),"Turma E")</f>
        <v/>
      </c>
      <c r="C18" s="34">
        <f>IFERROR(__xludf.DUMMYFUNCTION("""COMPUTED_VALUE"""),"Vespertino")</f>
        <v/>
      </c>
      <c r="D18" s="34" t="inlineStr">
        <is>
          <t>Veio</t>
        </is>
      </c>
    </row>
    <row r="19">
      <c r="A19" s="34">
        <f>IFERROR(__xludf.DUMMYFUNCTION("""COMPUTED_VALUE"""),"HELOISE VITÓRIA ALVES DE SOUZA")</f>
        <v/>
      </c>
      <c r="B19" s="34">
        <f>IFERROR(__xludf.DUMMYFUNCTION("""COMPUTED_VALUE"""),"Turma E")</f>
        <v/>
      </c>
      <c r="C19" s="34">
        <f>IFERROR(__xludf.DUMMYFUNCTION("""COMPUTED_VALUE"""),"Matutino")</f>
        <v/>
      </c>
      <c r="D19" s="34" t="inlineStr">
        <is>
          <t>Veio</t>
        </is>
      </c>
    </row>
    <row r="20">
      <c r="A20" s="34">
        <f>IFERROR(__xludf.DUMMYFUNCTION("""COMPUTED_VALUE"""),"Higor Santiago Castro Farfan")</f>
        <v/>
      </c>
      <c r="B20" s="34">
        <f>IFERROR(__xludf.DUMMYFUNCTION("""COMPUTED_VALUE"""),"Turma GR")</f>
        <v/>
      </c>
      <c r="C20" s="34">
        <f>IFERROR(__xludf.DUMMYFUNCTION("""COMPUTED_VALUE"""),"Vespertino")</f>
        <v/>
      </c>
      <c r="D20" s="34" t="inlineStr">
        <is>
          <t>Não Veio</t>
        </is>
      </c>
    </row>
    <row r="21">
      <c r="A21" s="34">
        <f>IFERROR(__xludf.DUMMYFUNCTION("""COMPUTED_VALUE"""),"HIURY QUENUPE DE OLIVEIRA")</f>
        <v/>
      </c>
      <c r="B21" s="34">
        <f>IFERROR(__xludf.DUMMYFUNCTION("""COMPUTED_VALUE"""),"Turma E")</f>
        <v/>
      </c>
      <c r="C21" s="34">
        <f>IFERROR(__xludf.DUMMYFUNCTION("""COMPUTED_VALUE"""),"Matutino")</f>
        <v/>
      </c>
      <c r="D21" s="34" t="inlineStr">
        <is>
          <t>Veio</t>
        </is>
      </c>
    </row>
    <row r="22">
      <c r="A22" s="34">
        <f>IFERROR(__xludf.DUMMYFUNCTION("""COMPUTED_VALUE"""),"JHONNY VICTOR DE LIMA TRINDADE")</f>
        <v/>
      </c>
      <c r="B22" s="34">
        <f>IFERROR(__xludf.DUMMYFUNCTION("""COMPUTED_VALUE"""),"Turma E")</f>
        <v/>
      </c>
      <c r="C22" s="34">
        <f>IFERROR(__xludf.DUMMYFUNCTION("""COMPUTED_VALUE"""),"Vespertino")</f>
        <v/>
      </c>
      <c r="D22" s="34" t="inlineStr">
        <is>
          <t>Veio</t>
        </is>
      </c>
    </row>
    <row r="23">
      <c r="A23" s="34">
        <f>IFERROR(__xludf.DUMMYFUNCTION("""COMPUTED_VALUE"""),"JOÃO PEDRO JESUS SOUZA")</f>
        <v/>
      </c>
      <c r="B23" s="34">
        <f>IFERROR(__xludf.DUMMYFUNCTION("""COMPUTED_VALUE"""),"Turma E")</f>
        <v/>
      </c>
      <c r="C23" s="34">
        <f>IFERROR(__xludf.DUMMYFUNCTION("""COMPUTED_VALUE"""),"Vespertino")</f>
        <v/>
      </c>
      <c r="D23" s="34" t="inlineStr">
        <is>
          <t>Veio</t>
        </is>
      </c>
    </row>
    <row r="24">
      <c r="A24" s="34">
        <f>IFERROR(__xludf.DUMMYFUNCTION("""COMPUTED_VALUE"""),"JOÃO VICTOR CAETANO COELHO")</f>
        <v/>
      </c>
      <c r="B24" s="34">
        <f>IFERROR(__xludf.DUMMYFUNCTION("""COMPUTED_VALUE"""),"Turma E")</f>
        <v/>
      </c>
      <c r="C24" s="34">
        <f>IFERROR(__xludf.DUMMYFUNCTION("""COMPUTED_VALUE"""),"Matutino")</f>
        <v/>
      </c>
      <c r="D24" s="34" t="inlineStr">
        <is>
          <t>Veio</t>
        </is>
      </c>
    </row>
    <row r="25">
      <c r="A25" s="34">
        <f>IFERROR(__xludf.DUMMYFUNCTION("""COMPUTED_VALUE"""),"JULIA FABIOLA ALEXANDRE FERNANDES")</f>
        <v/>
      </c>
      <c r="B25" s="34">
        <f>IFERROR(__xludf.DUMMYFUNCTION("""COMPUTED_VALUE"""),"Turma E")</f>
        <v/>
      </c>
      <c r="C25" s="34">
        <f>IFERROR(__xludf.DUMMYFUNCTION("""COMPUTED_VALUE"""),"Vespertino")</f>
        <v/>
      </c>
      <c r="D25" s="34" t="inlineStr">
        <is>
          <t>Veio</t>
        </is>
      </c>
    </row>
    <row r="26">
      <c r="A26" s="34">
        <f>IFERROR(__xludf.DUMMYFUNCTION("""COMPUTED_VALUE"""),"KAUANE BARBOSA LEMES")</f>
        <v/>
      </c>
      <c r="B26" s="34">
        <f>IFERROR(__xludf.DUMMYFUNCTION("""COMPUTED_VALUE"""),"Turma E")</f>
        <v/>
      </c>
      <c r="C26" s="34">
        <f>IFERROR(__xludf.DUMMYFUNCTION("""COMPUTED_VALUE"""),"Vespertino")</f>
        <v/>
      </c>
      <c r="D26" s="34" t="inlineStr">
        <is>
          <t>Veio</t>
        </is>
      </c>
    </row>
    <row r="27">
      <c r="A27" s="34">
        <f>IFERROR(__xludf.DUMMYFUNCTION("""COMPUTED_VALUE"""),"KETLEN LORRANE DO NASCIMENTO DA SILVA")</f>
        <v/>
      </c>
      <c r="B27" s="34">
        <f>IFERROR(__xludf.DUMMYFUNCTION("""COMPUTED_VALUE"""),"Turma E")</f>
        <v/>
      </c>
      <c r="C27" s="34">
        <f>IFERROR(__xludf.DUMMYFUNCTION("""COMPUTED_VALUE"""),"Matutino")</f>
        <v/>
      </c>
      <c r="D27" s="34" t="inlineStr">
        <is>
          <t>Veio</t>
        </is>
      </c>
    </row>
    <row r="28">
      <c r="A28" s="34">
        <f>IFERROR(__xludf.DUMMYFUNCTION("""COMPUTED_VALUE"""),"KETTLY VITÓRIA ALVES DA SILVA")</f>
        <v/>
      </c>
      <c r="B28" s="34">
        <f>IFERROR(__xludf.DUMMYFUNCTION("""COMPUTED_VALUE"""),"Turma E")</f>
        <v/>
      </c>
      <c r="C28" s="34">
        <f>IFERROR(__xludf.DUMMYFUNCTION("""COMPUTED_VALUE"""),"Matutino")</f>
        <v/>
      </c>
      <c r="D28" s="34" t="inlineStr">
        <is>
          <t>Veio</t>
        </is>
      </c>
    </row>
    <row r="29">
      <c r="A29" s="34">
        <f>IFERROR(__xludf.DUMMYFUNCTION("""COMPUTED_VALUE"""),"MARIA CLARA OLIVEIRA MENEZES MARTINS")</f>
        <v/>
      </c>
      <c r="B29" s="34">
        <f>IFERROR(__xludf.DUMMYFUNCTION("""COMPUTED_VALUE"""),"Turma GR")</f>
        <v/>
      </c>
      <c r="C29" s="34">
        <f>IFERROR(__xludf.DUMMYFUNCTION("""COMPUTED_VALUE"""),"Vespertino")</f>
        <v/>
      </c>
      <c r="D29" s="34" t="inlineStr">
        <is>
          <t>Veio</t>
        </is>
      </c>
    </row>
    <row r="30">
      <c r="A30" s="34">
        <f>IFERROR(__xludf.DUMMYFUNCTION("""COMPUTED_VALUE"""),"MARIA EMANUELLY CAMARGO GONÇALVES")</f>
        <v/>
      </c>
      <c r="B30" s="34">
        <f>IFERROR(__xludf.DUMMYFUNCTION("""COMPUTED_VALUE"""),"Turma GR")</f>
        <v/>
      </c>
      <c r="C30" s="34">
        <f>IFERROR(__xludf.DUMMYFUNCTION("""COMPUTED_VALUE"""),"Vespertino")</f>
        <v/>
      </c>
      <c r="D30" s="34" t="inlineStr">
        <is>
          <t>Veio</t>
        </is>
      </c>
    </row>
    <row r="31">
      <c r="A31" s="34">
        <f>IFERROR(__xludf.DUMMYFUNCTION("""COMPUTED_VALUE"""),"MARIA VITÓRIA OLIVEIRA MENEZES MARTINS")</f>
        <v/>
      </c>
      <c r="B31" s="34">
        <f>IFERROR(__xludf.DUMMYFUNCTION("""COMPUTED_VALUE"""),"Turma GR")</f>
        <v/>
      </c>
      <c r="C31" s="34">
        <f>IFERROR(__xludf.DUMMYFUNCTION("""COMPUTED_VALUE"""),"Vespertino")</f>
        <v/>
      </c>
      <c r="D31" s="34" t="inlineStr">
        <is>
          <t>Veio</t>
        </is>
      </c>
    </row>
    <row r="32">
      <c r="A32" s="34">
        <f>IFERROR(__xludf.DUMMYFUNCTION("""COMPUTED_VALUE"""),"NICOLAS GABRIEL OLIVEIRA BASTIDA")</f>
        <v/>
      </c>
      <c r="B32" s="34">
        <f>IFERROR(__xludf.DUMMYFUNCTION("""COMPUTED_VALUE"""),"Turma E")</f>
        <v/>
      </c>
      <c r="C32" s="34">
        <f>IFERROR(__xludf.DUMMYFUNCTION("""COMPUTED_VALUE"""),"Vespertino")</f>
        <v/>
      </c>
      <c r="D32" s="34" t="inlineStr">
        <is>
          <t>Veio</t>
        </is>
      </c>
    </row>
    <row r="33">
      <c r="A33" s="34">
        <f>IFERROR(__xludf.DUMMYFUNCTION("""COMPUTED_VALUE"""),"RUAN RODRIGUES CAETANO LIMA")</f>
        <v/>
      </c>
      <c r="B33" s="34">
        <f>IFERROR(__xludf.DUMMYFUNCTION("""COMPUTED_VALUE"""),"Turma GR")</f>
        <v/>
      </c>
      <c r="C33" s="34">
        <f>IFERROR(__xludf.DUMMYFUNCTION("""COMPUTED_VALUE"""),"Vespertino")</f>
        <v/>
      </c>
      <c r="D33" s="34" t="inlineStr">
        <is>
          <t>Não Veio</t>
        </is>
      </c>
    </row>
    <row r="34">
      <c r="A34" s="34">
        <f>IFERROR(__xludf.DUMMYFUNCTION("""COMPUTED_VALUE"""),"SÂMILY PROCOPIO DA SILVA")</f>
        <v/>
      </c>
      <c r="B34" s="34">
        <f>IFERROR(__xludf.DUMMYFUNCTION("""COMPUTED_VALUE"""),"Turma GR")</f>
        <v/>
      </c>
      <c r="C34" s="34">
        <f>IFERROR(__xludf.DUMMYFUNCTION("""COMPUTED_VALUE"""),"Vespertino")</f>
        <v/>
      </c>
      <c r="D34" s="34" t="inlineStr">
        <is>
          <t>Veio</t>
        </is>
      </c>
    </row>
    <row r="35">
      <c r="A35" s="34">
        <f>IFERROR(__xludf.DUMMYFUNCTION("""COMPUTED_VALUE"""),"Tatiana Alves Francisco")</f>
        <v/>
      </c>
      <c r="B35" s="34">
        <f>IFERROR(__xludf.DUMMYFUNCTION("""COMPUTED_VALUE"""),"Turma GR")</f>
        <v/>
      </c>
      <c r="C35" s="34">
        <f>IFERROR(__xludf.DUMMYFUNCTION("""COMPUTED_VALUE"""),"Vespertino")</f>
        <v/>
      </c>
      <c r="D35" s="34" t="inlineStr">
        <is>
          <t>Veio</t>
        </is>
      </c>
    </row>
    <row r="36">
      <c r="A36" s="34">
        <f>IFERROR(__xludf.DUMMYFUNCTION("""COMPUTED_VALUE"""),"THAILA DA SILVA VITORIO")</f>
        <v/>
      </c>
      <c r="B36" s="34">
        <f>IFERROR(__xludf.DUMMYFUNCTION("""COMPUTED_VALUE"""),"Turma GR")</f>
        <v/>
      </c>
      <c r="C36" s="34">
        <f>IFERROR(__xludf.DUMMYFUNCTION("""COMPUTED_VALUE"""),"Vespertino")</f>
        <v/>
      </c>
      <c r="D36" s="34" t="inlineStr">
        <is>
          <t>Veio</t>
        </is>
      </c>
    </row>
    <row r="37">
      <c r="A37" s="34">
        <f>IFERROR(__xludf.DUMMYFUNCTION("""COMPUTED_VALUE"""),"VITORIA BEZERRA MARTINS")</f>
        <v/>
      </c>
      <c r="B37" s="34">
        <f>IFERROR(__xludf.DUMMYFUNCTION("""COMPUTED_VALUE"""),"Turma E")</f>
        <v/>
      </c>
      <c r="C37" s="34">
        <f>IFERROR(__xludf.DUMMYFUNCTION("""COMPUTED_VALUE"""),"Vespertino")</f>
        <v/>
      </c>
      <c r="D37" s="34" t="inlineStr">
        <is>
          <t>Veio</t>
        </is>
      </c>
    </row>
    <row r="38">
      <c r="A38" s="34">
        <f>IFERROR(__xludf.DUMMYFUNCTION("""COMPUTED_VALUE"""),"GABRIEL SOUZA FERREIRA")</f>
        <v/>
      </c>
      <c r="B38" s="34">
        <f>IFERROR(__xludf.DUMMYFUNCTION("""COMPUTED_VALUE"""),"Turma GR")</f>
        <v/>
      </c>
      <c r="C38" s="34">
        <f>IFERROR(__xludf.DUMMYFUNCTION("""COMPUTED_VALUE"""),"Vespertino")</f>
        <v/>
      </c>
      <c r="D38" s="34" t="inlineStr">
        <is>
          <t>Não Veio</t>
        </is>
      </c>
    </row>
  </sheetData>
  <autoFilter ref="$A$1:$D$137"/>
  <mergeCells count="3">
    <mergeCell ref="G2:H2"/>
    <mergeCell ref="F3:F5"/>
    <mergeCell ref="F1:I1"/>
  </mergeCells>
  <conditionalFormatting sqref="G3:H5">
    <cfRule type="cellIs" priority="1" operator="equal" dxfId="14">
      <formula>"GR"</formula>
    </cfRule>
  </conditionalFormatting>
  <conditionalFormatting sqref="G2:H979">
    <cfRule type="containsText" priority="2" operator="containsText" dxfId="2" text="A m">
      <formula>NOT(ISERROR(SEARCH(("A m"),(G2))))</formula>
    </cfRule>
    <cfRule type="containsText" priority="3" operator="containsText" dxfId="3" text="A v">
      <formula>NOT(ISERROR(SEARCH(("A v"),(G2))))</formula>
    </cfRule>
    <cfRule type="containsText" priority="4" operator="containsText" dxfId="4" text="B1 m">
      <formula>NOT(ISERROR(SEARCH(("B1 m"),(G2))))</formula>
    </cfRule>
    <cfRule type="containsText" priority="5" operator="containsText" dxfId="5" text="B1 v">
      <formula>NOT(ISERROR(SEARCH(("B1 v"),(G2))))</formula>
    </cfRule>
    <cfRule type="containsText" priority="6" operator="containsText" dxfId="6" text="B2 m">
      <formula>NOT(ISERROR(SEARCH(("B2 m"),(G2))))</formula>
    </cfRule>
    <cfRule type="containsText" priority="7" operator="containsText" dxfId="7" text="B2 v">
      <formula>NOT(ISERROR(SEARCH(("B2 v"),(G2))))</formula>
    </cfRule>
    <cfRule type="containsText" priority="8" operator="containsText" dxfId="8" text="C m">
      <formula>NOT(ISERROR(SEARCH(("C m"),(G2))))</formula>
    </cfRule>
    <cfRule type="containsText" priority="9" operator="containsText" dxfId="9" text="C v">
      <formula>NOT(ISERROR(SEARCH(("C v"),(G2))))</formula>
    </cfRule>
    <cfRule type="containsText" priority="10" operator="containsText" dxfId="10" text="D v">
      <formula>NOT(ISERROR(SEARCH(("D v"),(G2))))</formula>
    </cfRule>
    <cfRule type="containsText" priority="11" operator="containsText" dxfId="11" text="D m">
      <formula>NOT(ISERROR(SEARCH(("D m"),(G2))))</formula>
    </cfRule>
    <cfRule type="containsText" priority="12" operator="containsText" dxfId="12" text="E m">
      <formula>NOT(ISERROR(SEARCH(("E m"),(G2))))</formula>
    </cfRule>
    <cfRule type="containsText" priority="13" operator="containsText" dxfId="13" text="E v">
      <formula>NOT(ISERROR(SEARCH(("E v"),(G2))))</formula>
    </cfRule>
  </conditionalFormatting>
  <dataValidations count="1">
    <dataValidation sqref="D2:D38" showDropDown="0" showInputMessage="0" showErrorMessage="1" allowBlank="1" type="list">
      <formula1>"Veio,Não Veio"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S1007"/>
  <sheetViews>
    <sheetView workbookViewId="0">
      <selection activeCell="A1" sqref="A1"/>
    </sheetView>
  </sheetViews>
  <sheetFormatPr baseColWidth="8" defaultColWidth="12.63" defaultRowHeight="15.75" customHeight="1"/>
  <cols>
    <col width="16.5" customWidth="1" style="128" min="1" max="1"/>
    <col width="19.38" customWidth="1" style="128" min="6" max="6"/>
    <col width="27" customWidth="1" style="128" min="7" max="7"/>
    <col width="15.38" customWidth="1" style="128" min="9" max="9"/>
    <col width="13.88" customWidth="1" style="128" min="10" max="10"/>
    <col width="19.38" customWidth="1" style="128" min="14" max="14"/>
    <col width="27" customWidth="1" style="128" min="15" max="15"/>
    <col width="21.63" customWidth="1" style="128" min="23" max="23"/>
  </cols>
  <sheetData>
    <row r="1">
      <c r="A1" s="138" t="inlineStr">
        <is>
          <t>Segunda Dia 21</t>
        </is>
      </c>
      <c r="B1" s="130" t="n"/>
      <c r="C1" s="130" t="n"/>
      <c r="D1" s="130" t="n"/>
      <c r="E1" s="130" t="n"/>
      <c r="F1" s="130" t="n"/>
      <c r="G1" s="131" t="n"/>
      <c r="I1" s="76" t="inlineStr">
        <is>
          <t>Terça Dia 22</t>
        </is>
      </c>
      <c r="Q1" s="76" t="inlineStr">
        <is>
          <t>Quarta Dia 23</t>
        </is>
      </c>
      <c r="AE1" s="76" t="inlineStr">
        <is>
          <t>Quinta Dia 24</t>
        </is>
      </c>
      <c r="AL1" s="77" t="n"/>
      <c r="AM1" s="76" t="inlineStr">
        <is>
          <t>Sexta Dia 25</t>
        </is>
      </c>
    </row>
    <row r="2">
      <c r="A2" s="82" t="inlineStr">
        <is>
          <t>Categoria</t>
        </is>
      </c>
      <c r="B2" s="82" t="inlineStr">
        <is>
          <t>Esporte</t>
        </is>
      </c>
      <c r="C2" s="82" t="inlineStr">
        <is>
          <t>Time1</t>
        </is>
      </c>
      <c r="D2" s="82" t="inlineStr">
        <is>
          <t>Time2</t>
        </is>
      </c>
      <c r="E2" s="82" t="inlineStr">
        <is>
          <t>Local</t>
        </is>
      </c>
      <c r="F2" s="82" t="inlineStr">
        <is>
          <t>Horario</t>
        </is>
      </c>
      <c r="G2" s="79" t="inlineStr">
        <is>
          <t>Obs</t>
        </is>
      </c>
      <c r="I2" s="80" t="inlineStr">
        <is>
          <t>Categoria</t>
        </is>
      </c>
      <c r="J2" s="80" t="inlineStr">
        <is>
          <t>Esporte</t>
        </is>
      </c>
      <c r="K2" s="80" t="inlineStr">
        <is>
          <t>Time1</t>
        </is>
      </c>
      <c r="L2" s="80" t="inlineStr">
        <is>
          <t>Time2</t>
        </is>
      </c>
      <c r="M2" s="80" t="inlineStr">
        <is>
          <t>Local</t>
        </is>
      </c>
      <c r="N2" s="80" t="inlineStr">
        <is>
          <t>Horario</t>
        </is>
      </c>
      <c r="O2" s="81" t="inlineStr">
        <is>
          <t>Obs</t>
        </is>
      </c>
      <c r="Q2" s="82" t="inlineStr">
        <is>
          <t>Categoria</t>
        </is>
      </c>
      <c r="R2" s="82" t="inlineStr">
        <is>
          <t>Esporte</t>
        </is>
      </c>
      <c r="S2" s="82" t="inlineStr">
        <is>
          <t>Time1</t>
        </is>
      </c>
      <c r="T2" s="82" t="inlineStr">
        <is>
          <t>Time2</t>
        </is>
      </c>
      <c r="U2" s="82" t="inlineStr">
        <is>
          <t>Local</t>
        </is>
      </c>
      <c r="V2" s="82" t="inlineStr">
        <is>
          <t>Horario</t>
        </is>
      </c>
      <c r="W2" s="82" t="inlineStr">
        <is>
          <t>Categoria</t>
        </is>
      </c>
      <c r="X2" s="82" t="inlineStr">
        <is>
          <t>Esporte</t>
        </is>
      </c>
      <c r="Y2" s="82" t="inlineStr">
        <is>
          <t>Time1</t>
        </is>
      </c>
      <c r="Z2" s="82" t="inlineStr">
        <is>
          <t>Time2</t>
        </is>
      </c>
      <c r="AA2" s="82" t="inlineStr">
        <is>
          <t>Local</t>
        </is>
      </c>
      <c r="AB2" s="82" t="inlineStr">
        <is>
          <t>Horario</t>
        </is>
      </c>
      <c r="AC2" s="79" t="inlineStr">
        <is>
          <t>OBS</t>
        </is>
      </c>
      <c r="AE2" s="82" t="inlineStr">
        <is>
          <t>Categoria</t>
        </is>
      </c>
      <c r="AF2" s="82" t="inlineStr">
        <is>
          <t>Esporte</t>
        </is>
      </c>
      <c r="AG2" s="82" t="inlineStr">
        <is>
          <t>Time1</t>
        </is>
      </c>
      <c r="AH2" s="82" t="inlineStr">
        <is>
          <t>Time2</t>
        </is>
      </c>
      <c r="AI2" s="82" t="inlineStr">
        <is>
          <t>Local</t>
        </is>
      </c>
      <c r="AJ2" s="82" t="inlineStr">
        <is>
          <t>Horario</t>
        </is>
      </c>
      <c r="AK2" s="82" t="inlineStr">
        <is>
          <t>Obs</t>
        </is>
      </c>
      <c r="AL2" s="77" t="n"/>
      <c r="AM2" s="80" t="inlineStr">
        <is>
          <t>Categoria</t>
        </is>
      </c>
      <c r="AN2" s="80" t="inlineStr">
        <is>
          <t>Esporte</t>
        </is>
      </c>
      <c r="AO2" s="80" t="inlineStr">
        <is>
          <t>Time1</t>
        </is>
      </c>
      <c r="AP2" s="80" t="inlineStr">
        <is>
          <t>Time2</t>
        </is>
      </c>
      <c r="AQ2" s="80" t="inlineStr">
        <is>
          <t>Local</t>
        </is>
      </c>
      <c r="AR2" s="80" t="inlineStr">
        <is>
          <t>Horario</t>
        </is>
      </c>
      <c r="AS2" s="81" t="inlineStr">
        <is>
          <t>Obs</t>
        </is>
      </c>
    </row>
    <row r="3">
      <c r="A3" s="109" t="inlineStr">
        <is>
          <t>Junior</t>
        </is>
      </c>
      <c r="B3" s="109" t="inlineStr">
        <is>
          <t>Volêi</t>
        </is>
      </c>
      <c r="C3" s="109" t="inlineStr">
        <is>
          <t>E m</t>
        </is>
      </c>
      <c r="D3" s="109" t="inlineStr">
        <is>
          <t>E v</t>
        </is>
      </c>
      <c r="E3" s="109" t="inlineStr">
        <is>
          <t>Quadra</t>
        </is>
      </c>
      <c r="F3" s="109" t="inlineStr">
        <is>
          <t>08:00 - 09:15</t>
        </is>
      </c>
      <c r="I3" s="84" t="inlineStr">
        <is>
          <t>Mirim Masculino</t>
        </is>
      </c>
      <c r="J3" s="84" t="inlineStr">
        <is>
          <t>Taekwondo</t>
        </is>
      </c>
      <c r="K3" s="87" t="inlineStr">
        <is>
          <t>Todos da Categoira</t>
        </is>
      </c>
      <c r="M3" s="87" t="inlineStr">
        <is>
          <t>Quadra</t>
        </is>
      </c>
      <c r="N3" s="84" t="inlineStr">
        <is>
          <t>08:00 - 08:35</t>
        </is>
      </c>
      <c r="O3" s="90" t="n"/>
      <c r="Q3" s="87" t="inlineStr">
        <is>
          <t>Infantil</t>
        </is>
      </c>
      <c r="R3" s="87" t="inlineStr">
        <is>
          <t>Futebol</t>
        </is>
      </c>
      <c r="S3" s="109" t="inlineStr">
        <is>
          <t>A v</t>
        </is>
      </c>
      <c r="T3" s="109" t="inlineStr">
        <is>
          <t>B2 m</t>
        </is>
      </c>
      <c r="U3" s="87" t="inlineStr">
        <is>
          <t>Campo</t>
        </is>
      </c>
      <c r="V3" s="87" t="inlineStr">
        <is>
          <t>8:00 - 8:20</t>
        </is>
      </c>
      <c r="W3" s="87" t="inlineStr">
        <is>
          <t>Juvenil</t>
        </is>
      </c>
      <c r="X3" s="24" t="inlineStr">
        <is>
          <t>Queimada</t>
        </is>
      </c>
      <c r="Y3" s="109" t="inlineStr">
        <is>
          <t>C m</t>
        </is>
      </c>
      <c r="Z3" s="109" t="inlineStr">
        <is>
          <t>D v</t>
        </is>
      </c>
      <c r="AA3" s="87" t="inlineStr">
        <is>
          <t>Quadra</t>
        </is>
      </c>
      <c r="AB3" s="87" t="inlineStr">
        <is>
          <t>8:00 - 8:15</t>
        </is>
      </c>
      <c r="AC3" s="87" t="n"/>
      <c r="AE3" s="87" t="inlineStr">
        <is>
          <t>Infantil</t>
        </is>
      </c>
      <c r="AF3" s="87" t="inlineStr">
        <is>
          <t>Futsal</t>
        </is>
      </c>
      <c r="AG3" s="109" t="inlineStr">
        <is>
          <t>A v</t>
        </is>
      </c>
      <c r="AH3" s="109" t="inlineStr">
        <is>
          <t>B2 m</t>
        </is>
      </c>
      <c r="AI3" s="87" t="inlineStr">
        <is>
          <t>Quadra</t>
        </is>
      </c>
      <c r="AJ3" s="87" t="inlineStr">
        <is>
          <t>8:00 - 8:20</t>
        </is>
      </c>
      <c r="AK3" s="87" t="n"/>
      <c r="AL3" s="110" t="n"/>
      <c r="AM3" s="90" t="n"/>
      <c r="AN3" s="90" t="n"/>
      <c r="AO3" s="90" t="n"/>
      <c r="AP3" s="90" t="n"/>
      <c r="AQ3" s="90" t="n"/>
      <c r="AR3" s="90" t="n"/>
    </row>
    <row r="4">
      <c r="A4" s="108" t="inlineStr">
        <is>
          <t>Junior</t>
        </is>
      </c>
      <c r="B4" s="108" t="inlineStr">
        <is>
          <t>Volêi</t>
        </is>
      </c>
      <c r="C4" s="108" t="inlineStr">
        <is>
          <t>GR</t>
        </is>
      </c>
      <c r="D4" s="108" t="inlineStr">
        <is>
          <t>E m</t>
        </is>
      </c>
      <c r="E4" s="108" t="inlineStr">
        <is>
          <t>Quadra</t>
        </is>
      </c>
      <c r="F4" s="108" t="inlineStr">
        <is>
          <t>09:19 - 10:34</t>
        </is>
      </c>
      <c r="I4" s="111" t="inlineStr">
        <is>
          <t>Mirim Feminino</t>
        </is>
      </c>
      <c r="J4" s="111" t="inlineStr">
        <is>
          <t>Taekwondo</t>
        </is>
      </c>
      <c r="K4" s="96" t="inlineStr">
        <is>
          <t>Todos da Categoira</t>
        </is>
      </c>
      <c r="M4" s="96" t="inlineStr">
        <is>
          <t>Quadra</t>
        </is>
      </c>
      <c r="N4" s="111" t="inlineStr">
        <is>
          <t>08:39 - 09:14</t>
        </is>
      </c>
      <c r="O4" s="98" t="n"/>
      <c r="Q4" s="96" t="inlineStr">
        <is>
          <t>Infantil</t>
        </is>
      </c>
      <c r="R4" s="96" t="inlineStr">
        <is>
          <t>Futebol</t>
        </is>
      </c>
      <c r="S4" s="108" t="inlineStr">
        <is>
          <t>B1 m</t>
        </is>
      </c>
      <c r="T4" s="108" t="inlineStr">
        <is>
          <t>B1 v</t>
        </is>
      </c>
      <c r="U4" s="96" t="inlineStr">
        <is>
          <t>Campo</t>
        </is>
      </c>
      <c r="V4" s="96" t="inlineStr">
        <is>
          <t>8:21 - 8:41</t>
        </is>
      </c>
      <c r="W4" s="96" t="inlineStr">
        <is>
          <t>Juvenil</t>
        </is>
      </c>
      <c r="X4" s="24" t="inlineStr">
        <is>
          <t>Queimada</t>
        </is>
      </c>
      <c r="Y4" s="108" t="inlineStr">
        <is>
          <t>C v</t>
        </is>
      </c>
      <c r="Z4" s="108" t="inlineStr">
        <is>
          <t>D m</t>
        </is>
      </c>
      <c r="AA4" s="96" t="inlineStr">
        <is>
          <t>Quadra</t>
        </is>
      </c>
      <c r="AB4" s="96" t="inlineStr">
        <is>
          <t>8:18 - 8:33</t>
        </is>
      </c>
      <c r="AC4" s="96" t="n"/>
      <c r="AE4" s="96" t="inlineStr">
        <is>
          <t>Infantil</t>
        </is>
      </c>
      <c r="AF4" s="96" t="inlineStr">
        <is>
          <t>Futsal</t>
        </is>
      </c>
      <c r="AG4" s="108" t="inlineStr">
        <is>
          <t>B1 m</t>
        </is>
      </c>
      <c r="AH4" s="108" t="inlineStr">
        <is>
          <t>B1 v</t>
        </is>
      </c>
      <c r="AI4" s="96" t="inlineStr">
        <is>
          <t>Quadra</t>
        </is>
      </c>
      <c r="AJ4" s="96" t="inlineStr">
        <is>
          <t xml:space="preserve"> 8:23 - 8:43</t>
        </is>
      </c>
      <c r="AK4" s="96" t="n"/>
      <c r="AL4" s="110" t="n"/>
      <c r="AM4" s="98" t="n"/>
      <c r="AN4" s="98" t="n"/>
      <c r="AO4" s="98" t="n"/>
      <c r="AP4" s="98" t="n"/>
      <c r="AQ4" s="98" t="n"/>
      <c r="AR4" s="98" t="n"/>
    </row>
    <row r="5">
      <c r="A5" s="109" t="inlineStr">
        <is>
          <t>Junior</t>
        </is>
      </c>
      <c r="B5" s="109" t="inlineStr">
        <is>
          <t>Volêi</t>
        </is>
      </c>
      <c r="C5" s="109" t="inlineStr">
        <is>
          <t>E v</t>
        </is>
      </c>
      <c r="D5" s="109" t="inlineStr">
        <is>
          <t>GR</t>
        </is>
      </c>
      <c r="E5" s="109" t="inlineStr">
        <is>
          <t>Quadra</t>
        </is>
      </c>
      <c r="F5" s="109" t="inlineStr">
        <is>
          <t>10:38 - 11:53</t>
        </is>
      </c>
      <c r="I5" s="84" t="inlineStr">
        <is>
          <t>Infantil Masculino</t>
        </is>
      </c>
      <c r="J5" s="84" t="inlineStr">
        <is>
          <t>Taekwondo</t>
        </is>
      </c>
      <c r="K5" s="87" t="inlineStr">
        <is>
          <t>Todos da Categoira</t>
        </is>
      </c>
      <c r="M5" s="87" t="inlineStr">
        <is>
          <t>Quadra</t>
        </is>
      </c>
      <c r="N5" s="84" t="inlineStr">
        <is>
          <t>09:18 - 09:53</t>
        </is>
      </c>
      <c r="O5" s="90" t="n"/>
      <c r="Q5" s="87" t="inlineStr">
        <is>
          <t>Infantil</t>
        </is>
      </c>
      <c r="R5" s="87" t="inlineStr">
        <is>
          <t>Futebol</t>
        </is>
      </c>
      <c r="S5" s="109" t="inlineStr">
        <is>
          <t>A m</t>
        </is>
      </c>
      <c r="T5" s="109" t="inlineStr">
        <is>
          <t>B2 m</t>
        </is>
      </c>
      <c r="U5" s="87" t="inlineStr">
        <is>
          <t>Campo</t>
        </is>
      </c>
      <c r="V5" s="87" t="inlineStr">
        <is>
          <t>8:42 - 9:02</t>
        </is>
      </c>
      <c r="W5" s="87" t="inlineStr">
        <is>
          <t>Juvenil</t>
        </is>
      </c>
      <c r="X5" s="24" t="inlineStr">
        <is>
          <t>Queimada</t>
        </is>
      </c>
      <c r="Y5" s="109" t="inlineStr">
        <is>
          <t>B2 v</t>
        </is>
      </c>
      <c r="Z5" s="109" t="inlineStr">
        <is>
          <t>D v</t>
        </is>
      </c>
      <c r="AA5" s="87" t="inlineStr">
        <is>
          <t>Quadra</t>
        </is>
      </c>
      <c r="AB5" s="87" t="inlineStr">
        <is>
          <t>8:36 - 8:51</t>
        </is>
      </c>
      <c r="AC5" s="87" t="n"/>
      <c r="AE5" s="87" t="inlineStr">
        <is>
          <t>Infantil</t>
        </is>
      </c>
      <c r="AF5" s="87" t="inlineStr">
        <is>
          <t>Futsal</t>
        </is>
      </c>
      <c r="AG5" s="109" t="inlineStr">
        <is>
          <t>A m</t>
        </is>
      </c>
      <c r="AH5" s="109" t="inlineStr">
        <is>
          <t>B2 m</t>
        </is>
      </c>
      <c r="AI5" s="87" t="inlineStr">
        <is>
          <t>Quadra</t>
        </is>
      </c>
      <c r="AJ5" s="87" t="inlineStr">
        <is>
          <t>8:46 - 9:06</t>
        </is>
      </c>
      <c r="AK5" s="87" t="n"/>
      <c r="AL5" s="110" t="n"/>
      <c r="AM5" s="90" t="n"/>
      <c r="AN5" s="90" t="n"/>
      <c r="AO5" s="90" t="n"/>
      <c r="AP5" s="90" t="n"/>
      <c r="AQ5" s="90" t="n"/>
      <c r="AR5" s="90" t="n"/>
    </row>
    <row r="6">
      <c r="A6" s="139" t="inlineStr">
        <is>
          <t>Almoço</t>
        </is>
      </c>
      <c r="B6" s="130" t="n"/>
      <c r="C6" s="130" t="n"/>
      <c r="D6" s="130" t="n"/>
      <c r="E6" s="131" t="n"/>
      <c r="F6" s="108" t="inlineStr">
        <is>
          <t>12:00 - 13:00</t>
        </is>
      </c>
      <c r="I6" s="111" t="inlineStr">
        <is>
          <t>Infantil Feminino</t>
        </is>
      </c>
      <c r="J6" s="111" t="inlineStr">
        <is>
          <t>Taekwondo</t>
        </is>
      </c>
      <c r="K6" s="96" t="inlineStr">
        <is>
          <t>Todos da Categoira</t>
        </is>
      </c>
      <c r="M6" s="96" t="inlineStr">
        <is>
          <t>Quadra</t>
        </is>
      </c>
      <c r="N6" s="111" t="inlineStr">
        <is>
          <t>09:57 - 10:32</t>
        </is>
      </c>
      <c r="O6" s="98" t="n"/>
      <c r="Q6" s="96" t="inlineStr">
        <is>
          <t>Infantil</t>
        </is>
      </c>
      <c r="R6" s="96" t="inlineStr">
        <is>
          <t>Futebol</t>
        </is>
      </c>
      <c r="S6" s="108" t="inlineStr">
        <is>
          <t>A v</t>
        </is>
      </c>
      <c r="T6" s="108" t="inlineStr">
        <is>
          <t>B1 m</t>
        </is>
      </c>
      <c r="U6" s="96" t="inlineStr">
        <is>
          <t>Campo</t>
        </is>
      </c>
      <c r="V6" s="96" t="inlineStr">
        <is>
          <t>9:03 - 9:23</t>
        </is>
      </c>
      <c r="W6" s="96" t="inlineStr">
        <is>
          <t>Juvenil</t>
        </is>
      </c>
      <c r="X6" s="24" t="inlineStr">
        <is>
          <t>Queimada</t>
        </is>
      </c>
      <c r="Y6" s="108" t="inlineStr">
        <is>
          <t>C m</t>
        </is>
      </c>
      <c r="Z6" s="108" t="inlineStr">
        <is>
          <t>C v</t>
        </is>
      </c>
      <c r="AA6" s="96" t="inlineStr">
        <is>
          <t>Quadra</t>
        </is>
      </c>
      <c r="AB6" s="96" t="inlineStr">
        <is>
          <t>8:53 - 9:08</t>
        </is>
      </c>
      <c r="AC6" s="96" t="n"/>
      <c r="AE6" s="96" t="inlineStr">
        <is>
          <t>Infantil</t>
        </is>
      </c>
      <c r="AF6" s="96" t="inlineStr">
        <is>
          <t>Futsal</t>
        </is>
      </c>
      <c r="AG6" s="108" t="inlineStr">
        <is>
          <t>A v</t>
        </is>
      </c>
      <c r="AH6" s="108" t="inlineStr">
        <is>
          <t>B1 m</t>
        </is>
      </c>
      <c r="AI6" s="96" t="inlineStr">
        <is>
          <t>Quadra</t>
        </is>
      </c>
      <c r="AJ6" s="96" t="inlineStr">
        <is>
          <t>9:08 - 9:28</t>
        </is>
      </c>
      <c r="AK6" s="96" t="n"/>
      <c r="AL6" s="110" t="n"/>
      <c r="AM6" s="98" t="n"/>
      <c r="AN6" s="98" t="n"/>
      <c r="AO6" s="98" t="n"/>
      <c r="AP6" s="98" t="n"/>
      <c r="AQ6" s="98" t="n"/>
      <c r="AR6" s="98" t="n"/>
    </row>
    <row r="7">
      <c r="A7" s="109" t="inlineStr">
        <is>
          <t>Juvenil</t>
        </is>
      </c>
      <c r="B7" s="109" t="inlineStr">
        <is>
          <t>Basquete</t>
        </is>
      </c>
      <c r="C7" s="109" t="inlineStr">
        <is>
          <t>C m</t>
        </is>
      </c>
      <c r="D7" s="109" t="inlineStr">
        <is>
          <t>D v</t>
        </is>
      </c>
      <c r="E7" s="109" t="inlineStr">
        <is>
          <t>Quadra</t>
        </is>
      </c>
      <c r="F7" s="109" t="inlineStr">
        <is>
          <t>13:05 - 13:20</t>
        </is>
      </c>
      <c r="G7" s="84" t="inlineStr">
        <is>
          <t>Fazer bincadeiras com os mais novos</t>
        </is>
      </c>
      <c r="I7" s="84" t="inlineStr">
        <is>
          <t>Cadete Masculino</t>
        </is>
      </c>
      <c r="J7" s="84" t="inlineStr">
        <is>
          <t>Taekwondo</t>
        </is>
      </c>
      <c r="K7" s="87" t="inlineStr">
        <is>
          <t>Todos da Categoira</t>
        </is>
      </c>
      <c r="M7" s="87" t="inlineStr">
        <is>
          <t>Quadra</t>
        </is>
      </c>
      <c r="N7" s="84" t="inlineStr">
        <is>
          <t>10:36 - 11:11</t>
        </is>
      </c>
      <c r="O7" s="90" t="n"/>
      <c r="Q7" s="87" t="inlineStr">
        <is>
          <t>Infantil</t>
        </is>
      </c>
      <c r="R7" s="87" t="inlineStr">
        <is>
          <t>Futebol</t>
        </is>
      </c>
      <c r="S7" s="109" t="inlineStr">
        <is>
          <t>A m</t>
        </is>
      </c>
      <c r="T7" s="109" t="inlineStr">
        <is>
          <t>B1 v</t>
        </is>
      </c>
      <c r="U7" s="87" t="inlineStr">
        <is>
          <t>Campo</t>
        </is>
      </c>
      <c r="V7" s="87" t="inlineStr">
        <is>
          <t>9:24 - 9:54</t>
        </is>
      </c>
      <c r="W7" s="87" t="inlineStr">
        <is>
          <t>Juvenil</t>
        </is>
      </c>
      <c r="X7" s="24" t="inlineStr">
        <is>
          <t>Queimada</t>
        </is>
      </c>
      <c r="Y7" s="109" t="inlineStr">
        <is>
          <t>B2 v</t>
        </is>
      </c>
      <c r="Z7" s="109" t="inlineStr">
        <is>
          <t>D m</t>
        </is>
      </c>
      <c r="AA7" s="87" t="inlineStr">
        <is>
          <t>Quadra</t>
        </is>
      </c>
      <c r="AB7" s="87" t="inlineStr">
        <is>
          <t>9:10 - 9:25</t>
        </is>
      </c>
      <c r="AC7" s="87" t="n"/>
      <c r="AE7" s="87" t="inlineStr">
        <is>
          <t>Infantil</t>
        </is>
      </c>
      <c r="AF7" s="87" t="inlineStr">
        <is>
          <t>Futsal</t>
        </is>
      </c>
      <c r="AG7" s="109" t="inlineStr">
        <is>
          <t>A m</t>
        </is>
      </c>
      <c r="AH7" s="109" t="inlineStr">
        <is>
          <t>B1 v</t>
        </is>
      </c>
      <c r="AI7" s="87" t="inlineStr">
        <is>
          <t>Quadra</t>
        </is>
      </c>
      <c r="AJ7" s="87" t="inlineStr">
        <is>
          <t>9:30 - 9:50</t>
        </is>
      </c>
      <c r="AK7" s="87" t="n"/>
      <c r="AL7" s="110" t="n"/>
      <c r="AM7" s="90" t="n"/>
      <c r="AN7" s="90" t="n"/>
      <c r="AO7" s="90" t="n"/>
      <c r="AP7" s="90" t="n"/>
      <c r="AQ7" s="90" t="n"/>
      <c r="AR7" s="90" t="n"/>
    </row>
    <row r="8">
      <c r="A8" s="108" t="inlineStr">
        <is>
          <t>Juvenil</t>
        </is>
      </c>
      <c r="B8" s="108" t="inlineStr">
        <is>
          <t>Basquete</t>
        </is>
      </c>
      <c r="C8" s="108" t="inlineStr">
        <is>
          <t>C v</t>
        </is>
      </c>
      <c r="D8" s="108" t="inlineStr">
        <is>
          <t>D m</t>
        </is>
      </c>
      <c r="E8" s="108" t="inlineStr">
        <is>
          <t>Quadra</t>
        </is>
      </c>
      <c r="F8" s="108" t="inlineStr">
        <is>
          <t>13:24 - 13:39</t>
        </is>
      </c>
      <c r="G8" s="111" t="inlineStr">
        <is>
          <t>aremeço de basquete.</t>
        </is>
      </c>
      <c r="I8" s="111" t="inlineStr">
        <is>
          <t>Cadete Feminino</t>
        </is>
      </c>
      <c r="J8" s="111" t="inlineStr">
        <is>
          <t>Taekwondo</t>
        </is>
      </c>
      <c r="K8" s="96" t="inlineStr">
        <is>
          <t>Todos da Categoira</t>
        </is>
      </c>
      <c r="M8" s="96" t="inlineStr">
        <is>
          <t>Quadra</t>
        </is>
      </c>
      <c r="N8" s="111" t="inlineStr">
        <is>
          <t>11:15 - 11:50</t>
        </is>
      </c>
      <c r="O8" s="98" t="n"/>
      <c r="Q8" s="96" t="inlineStr">
        <is>
          <t>Infantil</t>
        </is>
      </c>
      <c r="R8" s="96" t="inlineStr">
        <is>
          <t>Futebol</t>
        </is>
      </c>
      <c r="S8" s="108" t="inlineStr">
        <is>
          <t>B2 m</t>
        </is>
      </c>
      <c r="T8" s="108" t="inlineStr">
        <is>
          <t>B1 m</t>
        </is>
      </c>
      <c r="U8" s="96" t="inlineStr">
        <is>
          <t>Campo</t>
        </is>
      </c>
      <c r="V8" s="96" t="inlineStr">
        <is>
          <t>9:55 - 10:15</t>
        </is>
      </c>
      <c r="W8" s="96" t="inlineStr">
        <is>
          <t>Juvenil</t>
        </is>
      </c>
      <c r="X8" s="24" t="inlineStr">
        <is>
          <t>Queimada</t>
        </is>
      </c>
      <c r="Y8" s="96" t="inlineStr">
        <is>
          <t>D v</t>
        </is>
      </c>
      <c r="Z8" s="96" t="inlineStr">
        <is>
          <t>C v</t>
        </is>
      </c>
      <c r="AA8" s="96" t="inlineStr">
        <is>
          <t>Quadra</t>
        </is>
      </c>
      <c r="AB8" s="96" t="inlineStr">
        <is>
          <t>9:28 - 9:43</t>
        </is>
      </c>
      <c r="AC8" s="96" t="n"/>
      <c r="AE8" s="96" t="inlineStr">
        <is>
          <t>Infantil</t>
        </is>
      </c>
      <c r="AF8" s="96" t="inlineStr">
        <is>
          <t>Futsal</t>
        </is>
      </c>
      <c r="AG8" s="108" t="inlineStr">
        <is>
          <t>B2 m</t>
        </is>
      </c>
      <c r="AH8" s="108" t="inlineStr">
        <is>
          <t>B1 m</t>
        </is>
      </c>
      <c r="AI8" s="96" t="inlineStr">
        <is>
          <t>Quadra</t>
        </is>
      </c>
      <c r="AJ8" s="96" t="inlineStr">
        <is>
          <t>9:53 - 10:13</t>
        </is>
      </c>
      <c r="AK8" s="96" t="n"/>
      <c r="AL8" s="110" t="n"/>
      <c r="AM8" s="98" t="n"/>
      <c r="AN8" s="98" t="n"/>
      <c r="AO8" s="98" t="n"/>
      <c r="AP8" s="98" t="n"/>
      <c r="AQ8" s="98" t="n"/>
      <c r="AR8" s="98" t="n"/>
    </row>
    <row r="9">
      <c r="A9" s="109" t="inlineStr">
        <is>
          <t>Juvenil</t>
        </is>
      </c>
      <c r="B9" s="109" t="inlineStr">
        <is>
          <t>Basquete</t>
        </is>
      </c>
      <c r="C9" s="109" t="inlineStr">
        <is>
          <t>B2 v</t>
        </is>
      </c>
      <c r="D9" s="109" t="inlineStr">
        <is>
          <t>D v</t>
        </is>
      </c>
      <c r="E9" s="109" t="inlineStr">
        <is>
          <t>Quadra</t>
        </is>
      </c>
      <c r="F9" s="109" t="inlineStr">
        <is>
          <t>13:43 - 13:58</t>
        </is>
      </c>
      <c r="G9" s="84" t="inlineStr">
        <is>
          <t>penalti.</t>
        </is>
      </c>
      <c r="I9" s="102" t="inlineStr">
        <is>
          <t>Almoço</t>
        </is>
      </c>
      <c r="N9" s="84" t="inlineStr">
        <is>
          <t>12:00 - 13:00</t>
        </is>
      </c>
      <c r="O9" s="90" t="n"/>
      <c r="Q9" s="87" t="inlineStr">
        <is>
          <t>Infantil</t>
        </is>
      </c>
      <c r="R9" s="87" t="inlineStr">
        <is>
          <t>Futebol</t>
        </is>
      </c>
      <c r="S9" s="103" t="inlineStr">
        <is>
          <t>A m</t>
        </is>
      </c>
      <c r="T9" s="109" t="inlineStr">
        <is>
          <t>B1 m</t>
        </is>
      </c>
      <c r="U9" s="87" t="inlineStr">
        <is>
          <t>Campo</t>
        </is>
      </c>
      <c r="V9" s="87" t="inlineStr">
        <is>
          <t>10:16 - 10:36</t>
        </is>
      </c>
      <c r="W9" s="87" t="inlineStr">
        <is>
          <t>Juvenil</t>
        </is>
      </c>
      <c r="X9" s="24" t="inlineStr">
        <is>
          <t>Queimada</t>
        </is>
      </c>
      <c r="Y9" s="87" t="inlineStr">
        <is>
          <t>B2 v</t>
        </is>
      </c>
      <c r="Z9" s="87" t="inlineStr">
        <is>
          <t>C v</t>
        </is>
      </c>
      <c r="AA9" s="87" t="inlineStr">
        <is>
          <t>Quadra</t>
        </is>
      </c>
      <c r="AB9" s="87" t="inlineStr">
        <is>
          <t>9:45 - 10:00</t>
        </is>
      </c>
      <c r="AC9" s="87" t="n"/>
      <c r="AE9" s="87" t="inlineStr">
        <is>
          <t>Infantil</t>
        </is>
      </c>
      <c r="AF9" s="87" t="inlineStr">
        <is>
          <t>Futsal</t>
        </is>
      </c>
      <c r="AG9" s="109" t="inlineStr">
        <is>
          <t>A m</t>
        </is>
      </c>
      <c r="AH9" s="109" t="inlineStr">
        <is>
          <t>B1 m</t>
        </is>
      </c>
      <c r="AI9" s="87" t="inlineStr">
        <is>
          <t>Quadra</t>
        </is>
      </c>
      <c r="AJ9" s="87" t="inlineStr">
        <is>
          <t>10:16 - 10:36</t>
        </is>
      </c>
      <c r="AK9" s="87" t="n"/>
      <c r="AL9" s="110" t="n"/>
      <c r="AM9" s="90" t="n"/>
      <c r="AN9" s="90" t="n"/>
      <c r="AO9" s="90" t="n"/>
      <c r="AP9" s="90" t="n"/>
      <c r="AQ9" s="90" t="n"/>
      <c r="AR9" s="90" t="n"/>
    </row>
    <row r="10">
      <c r="A10" s="108" t="inlineStr">
        <is>
          <t>Juvenil</t>
        </is>
      </c>
      <c r="B10" s="108" t="inlineStr">
        <is>
          <t>Basquete</t>
        </is>
      </c>
      <c r="C10" s="108" t="inlineStr">
        <is>
          <t>C m</t>
        </is>
      </c>
      <c r="D10" s="108" t="inlineStr">
        <is>
          <t>C v</t>
        </is>
      </c>
      <c r="E10" s="108" t="inlineStr">
        <is>
          <t>Quadra</t>
        </is>
      </c>
      <c r="F10" s="108" t="inlineStr">
        <is>
          <t>14:02 - 14:17</t>
        </is>
      </c>
      <c r="G10" s="111" t="inlineStr">
        <is>
          <t>embaixadinha.</t>
        </is>
      </c>
      <c r="I10" s="98" t="inlineStr">
        <is>
          <t>Infantil</t>
        </is>
      </c>
      <c r="J10" s="98" t="inlineStr">
        <is>
          <t>Rouba-Bandeira</t>
        </is>
      </c>
      <c r="K10" s="108" t="inlineStr">
        <is>
          <t>A v</t>
        </is>
      </c>
      <c r="L10" s="108" t="inlineStr">
        <is>
          <t>B2 m</t>
        </is>
      </c>
      <c r="M10" s="98" t="inlineStr">
        <is>
          <t>Quadra</t>
        </is>
      </c>
      <c r="N10" s="111" t="inlineStr">
        <is>
          <t>13:05 - 13:12</t>
        </is>
      </c>
      <c r="O10" s="98" t="n"/>
      <c r="Q10" s="96" t="inlineStr">
        <is>
          <t>Infantil</t>
        </is>
      </c>
      <c r="R10" s="96" t="inlineStr">
        <is>
          <t>Futebol</t>
        </is>
      </c>
      <c r="S10" s="108" t="inlineStr">
        <is>
          <t>B1 v</t>
        </is>
      </c>
      <c r="T10" s="108" t="inlineStr">
        <is>
          <t>A v</t>
        </is>
      </c>
      <c r="U10" s="96" t="inlineStr">
        <is>
          <t>Campo</t>
        </is>
      </c>
      <c r="V10" s="96" t="inlineStr">
        <is>
          <t>10:37 - 10:57</t>
        </is>
      </c>
      <c r="W10" s="96" t="inlineStr">
        <is>
          <t>Juvenil</t>
        </is>
      </c>
      <c r="X10" s="24" t="inlineStr">
        <is>
          <t>Queimada</t>
        </is>
      </c>
      <c r="Y10" s="96" t="inlineStr">
        <is>
          <t>D m</t>
        </is>
      </c>
      <c r="Z10" s="96" t="inlineStr">
        <is>
          <t>C m</t>
        </is>
      </c>
      <c r="AA10" s="96" t="inlineStr">
        <is>
          <t>Quadra</t>
        </is>
      </c>
      <c r="AB10" s="96" t="inlineStr">
        <is>
          <t>10:05 - 10:20</t>
        </is>
      </c>
      <c r="AC10" s="96" t="n"/>
      <c r="AE10" s="96" t="inlineStr">
        <is>
          <t>Infantil</t>
        </is>
      </c>
      <c r="AF10" s="96" t="inlineStr">
        <is>
          <t>Futsal</t>
        </is>
      </c>
      <c r="AG10" s="108" t="inlineStr">
        <is>
          <t>B1 v</t>
        </is>
      </c>
      <c r="AH10" s="108" t="inlineStr">
        <is>
          <t>A v</t>
        </is>
      </c>
      <c r="AI10" s="96" t="inlineStr">
        <is>
          <t>Quadra</t>
        </is>
      </c>
      <c r="AJ10" s="96" t="inlineStr">
        <is>
          <t>10:38 - 10:58</t>
        </is>
      </c>
      <c r="AK10" s="96" t="n"/>
      <c r="AL10" s="110" t="n"/>
      <c r="AM10" s="98" t="n"/>
      <c r="AN10" s="98" t="n"/>
      <c r="AO10" s="98" t="n"/>
      <c r="AP10" s="98" t="n"/>
      <c r="AQ10" s="98" t="n"/>
      <c r="AR10" s="98" t="n"/>
    </row>
    <row r="11">
      <c r="A11" s="109" t="inlineStr">
        <is>
          <t>Juvenil</t>
        </is>
      </c>
      <c r="B11" s="109" t="inlineStr">
        <is>
          <t>Basquete</t>
        </is>
      </c>
      <c r="C11" s="109" t="inlineStr">
        <is>
          <t>B2 v</t>
        </is>
      </c>
      <c r="D11" s="109" t="inlineStr">
        <is>
          <t>D m</t>
        </is>
      </c>
      <c r="E11" s="109" t="inlineStr">
        <is>
          <t>Quadra</t>
        </is>
      </c>
      <c r="F11" s="109" t="inlineStr">
        <is>
          <t>14:21 - 14:36</t>
        </is>
      </c>
      <c r="I11" s="90" t="inlineStr">
        <is>
          <t>Infantil</t>
        </is>
      </c>
      <c r="J11" s="90" t="inlineStr">
        <is>
          <t>Rouba-Bandeira</t>
        </is>
      </c>
      <c r="K11" s="109" t="inlineStr">
        <is>
          <t>B1 m</t>
        </is>
      </c>
      <c r="L11" s="109" t="inlineStr">
        <is>
          <t>B1 v</t>
        </is>
      </c>
      <c r="M11" s="90" t="inlineStr">
        <is>
          <t>Quadra</t>
        </is>
      </c>
      <c r="N11" s="84" t="inlineStr">
        <is>
          <t>13:16 - 13:23</t>
        </is>
      </c>
      <c r="O11" s="90" t="n"/>
      <c r="Q11" s="87" t="inlineStr">
        <is>
          <t>Infantil</t>
        </is>
      </c>
      <c r="R11" s="87" t="inlineStr">
        <is>
          <t>Futebol</t>
        </is>
      </c>
      <c r="S11" s="109" t="inlineStr">
        <is>
          <t>A m</t>
        </is>
      </c>
      <c r="T11" s="109" t="inlineStr">
        <is>
          <t>A v</t>
        </is>
      </c>
      <c r="U11" s="87" t="inlineStr">
        <is>
          <t>Campo</t>
        </is>
      </c>
      <c r="V11" s="87" t="inlineStr">
        <is>
          <t>10:58 - 11:18</t>
        </is>
      </c>
      <c r="W11" s="87" t="inlineStr">
        <is>
          <t>Juvenil</t>
        </is>
      </c>
      <c r="X11" s="24" t="inlineStr">
        <is>
          <t>Queimada</t>
        </is>
      </c>
      <c r="Y11" s="87" t="inlineStr">
        <is>
          <t>B2 v</t>
        </is>
      </c>
      <c r="Z11" s="87" t="inlineStr">
        <is>
          <t>C m</t>
        </is>
      </c>
      <c r="AA11" s="87" t="inlineStr">
        <is>
          <t>Quadra</t>
        </is>
      </c>
      <c r="AB11" s="87" t="inlineStr">
        <is>
          <t>10:25 - 10:40</t>
        </is>
      </c>
      <c r="AC11" s="87" t="n"/>
      <c r="AE11" s="87" t="inlineStr">
        <is>
          <t>Infantil</t>
        </is>
      </c>
      <c r="AF11" s="87" t="inlineStr">
        <is>
          <t>Futsal</t>
        </is>
      </c>
      <c r="AG11" s="109" t="inlineStr">
        <is>
          <t>A m</t>
        </is>
      </c>
      <c r="AH11" s="109" t="inlineStr">
        <is>
          <t>A v</t>
        </is>
      </c>
      <c r="AI11" s="87" t="inlineStr">
        <is>
          <t>Quadra</t>
        </is>
      </c>
      <c r="AJ11" s="87" t="inlineStr">
        <is>
          <t>11:00 - 11:20</t>
        </is>
      </c>
      <c r="AK11" s="87" t="n"/>
      <c r="AL11" s="110" t="n"/>
      <c r="AM11" s="90" t="n"/>
      <c r="AN11" s="90" t="n"/>
      <c r="AO11" s="90" t="n"/>
      <c r="AP11" s="90" t="n"/>
      <c r="AQ11" s="90" t="n"/>
      <c r="AR11" s="90" t="n"/>
    </row>
    <row r="12">
      <c r="A12" s="108" t="inlineStr">
        <is>
          <t>Juvenil</t>
        </is>
      </c>
      <c r="B12" s="108" t="inlineStr">
        <is>
          <t>Basquete</t>
        </is>
      </c>
      <c r="C12" s="108" t="inlineStr">
        <is>
          <t>D v</t>
        </is>
      </c>
      <c r="D12" s="108" t="inlineStr">
        <is>
          <t>C v</t>
        </is>
      </c>
      <c r="E12" s="108" t="inlineStr">
        <is>
          <t>Quadra</t>
        </is>
      </c>
      <c r="F12" s="108" t="inlineStr">
        <is>
          <t>14:40 - 14:55</t>
        </is>
      </c>
      <c r="I12" s="98" t="inlineStr">
        <is>
          <t>Infantil</t>
        </is>
      </c>
      <c r="J12" s="98" t="inlineStr">
        <is>
          <t>Rouba-Bandeira</t>
        </is>
      </c>
      <c r="K12" s="108" t="inlineStr">
        <is>
          <t>A m</t>
        </is>
      </c>
      <c r="L12" s="108" t="inlineStr">
        <is>
          <t>B2 m</t>
        </is>
      </c>
      <c r="M12" s="98" t="inlineStr">
        <is>
          <t>Quadra</t>
        </is>
      </c>
      <c r="N12" s="111" t="inlineStr">
        <is>
          <t>13:27 - 13:34</t>
        </is>
      </c>
      <c r="O12" s="98" t="n"/>
      <c r="Q12" s="96" t="inlineStr">
        <is>
          <t>Infantil</t>
        </is>
      </c>
      <c r="R12" s="96" t="inlineStr">
        <is>
          <t>Futebol</t>
        </is>
      </c>
      <c r="S12" s="108" t="inlineStr">
        <is>
          <t>B1 v</t>
        </is>
      </c>
      <c r="T12" s="108" t="inlineStr">
        <is>
          <t>B2 m</t>
        </is>
      </c>
      <c r="U12" s="96" t="inlineStr">
        <is>
          <t>Campo</t>
        </is>
      </c>
      <c r="V12" s="96" t="inlineStr">
        <is>
          <t>11:19 - 11:39</t>
        </is>
      </c>
      <c r="W12" s="96" t="inlineStr">
        <is>
          <t>Juvenil</t>
        </is>
      </c>
      <c r="X12" s="24" t="inlineStr">
        <is>
          <t>Queimada</t>
        </is>
      </c>
      <c r="Y12" s="96" t="inlineStr">
        <is>
          <t>D m</t>
        </is>
      </c>
      <c r="Z12" s="96" t="inlineStr">
        <is>
          <t>D v</t>
        </is>
      </c>
      <c r="AA12" s="96" t="inlineStr">
        <is>
          <t>Quadra</t>
        </is>
      </c>
      <c r="AB12" s="96" t="inlineStr">
        <is>
          <t>10:45 - 11:00</t>
        </is>
      </c>
      <c r="AC12" s="96" t="n"/>
      <c r="AE12" s="96" t="inlineStr">
        <is>
          <t>Infantil</t>
        </is>
      </c>
      <c r="AF12" s="96" t="inlineStr">
        <is>
          <t>Futsal</t>
        </is>
      </c>
      <c r="AG12" s="108" t="inlineStr">
        <is>
          <t>B1 v</t>
        </is>
      </c>
      <c r="AH12" s="108" t="inlineStr">
        <is>
          <t>B2 m</t>
        </is>
      </c>
      <c r="AI12" s="96" t="inlineStr">
        <is>
          <t>Quadra</t>
        </is>
      </c>
      <c r="AJ12" s="96" t="inlineStr">
        <is>
          <t>11:23 - 11:43</t>
        </is>
      </c>
      <c r="AK12" s="96" t="n"/>
      <c r="AL12" s="110" t="n"/>
      <c r="AM12" s="98" t="n"/>
      <c r="AN12" s="98" t="n"/>
      <c r="AO12" s="98" t="n"/>
      <c r="AP12" s="98" t="n"/>
      <c r="AQ12" s="98" t="n"/>
      <c r="AR12" s="98" t="n"/>
    </row>
    <row r="13">
      <c r="A13" s="109" t="inlineStr">
        <is>
          <t>Juvenil</t>
        </is>
      </c>
      <c r="B13" s="109" t="inlineStr">
        <is>
          <t>Basquete</t>
        </is>
      </c>
      <c r="C13" s="109" t="inlineStr">
        <is>
          <t>B2 v</t>
        </is>
      </c>
      <c r="D13" s="109" t="inlineStr">
        <is>
          <t>C v</t>
        </is>
      </c>
      <c r="E13" s="109" t="inlineStr">
        <is>
          <t>Quadra</t>
        </is>
      </c>
      <c r="F13" s="109" t="inlineStr">
        <is>
          <t>14:59 - 15:14</t>
        </is>
      </c>
      <c r="I13" s="90" t="inlineStr">
        <is>
          <t>Infantil</t>
        </is>
      </c>
      <c r="J13" s="90" t="inlineStr">
        <is>
          <t>Rouba-Bandeira</t>
        </is>
      </c>
      <c r="K13" s="109" t="inlineStr">
        <is>
          <t>A v</t>
        </is>
      </c>
      <c r="L13" s="109" t="inlineStr">
        <is>
          <t>B1 m</t>
        </is>
      </c>
      <c r="M13" s="90" t="inlineStr">
        <is>
          <t>Quadra</t>
        </is>
      </c>
      <c r="N13" s="84" t="inlineStr">
        <is>
          <t>13:38 - 13:45</t>
        </is>
      </c>
      <c r="O13" s="90" t="n"/>
      <c r="Q13" s="87" t="inlineStr">
        <is>
          <t>Juvenil</t>
        </is>
      </c>
      <c r="R13" s="87" t="inlineStr">
        <is>
          <t>Futebol</t>
        </is>
      </c>
      <c r="S13" s="109" t="inlineStr">
        <is>
          <t>C m</t>
        </is>
      </c>
      <c r="T13" s="109" t="inlineStr">
        <is>
          <t>D v</t>
        </is>
      </c>
      <c r="U13" s="87" t="inlineStr">
        <is>
          <t>Campo</t>
        </is>
      </c>
      <c r="V13" s="87" t="inlineStr">
        <is>
          <t>11:40 - 12:00</t>
        </is>
      </c>
      <c r="W13" s="87" t="inlineStr">
        <is>
          <t>Junior</t>
        </is>
      </c>
      <c r="X13" s="24" t="inlineStr">
        <is>
          <t>Queimada</t>
        </is>
      </c>
      <c r="Y13" s="109" t="inlineStr">
        <is>
          <t>E m</t>
        </is>
      </c>
      <c r="Z13" s="109" t="inlineStr">
        <is>
          <t>E v</t>
        </is>
      </c>
      <c r="AA13" s="87" t="inlineStr">
        <is>
          <t>Quadra</t>
        </is>
      </c>
      <c r="AB13" s="87" t="inlineStr">
        <is>
          <t>11:02 - 11:18</t>
        </is>
      </c>
      <c r="AC13" s="87" t="n"/>
      <c r="AE13" s="87" t="inlineStr">
        <is>
          <t>Juvenil</t>
        </is>
      </c>
      <c r="AF13" s="87" t="inlineStr">
        <is>
          <t>Futsal</t>
        </is>
      </c>
      <c r="AG13" s="109" t="inlineStr">
        <is>
          <t>C m</t>
        </is>
      </c>
      <c r="AH13" s="109" t="inlineStr">
        <is>
          <t>D v</t>
        </is>
      </c>
      <c r="AI13" s="87" t="inlineStr">
        <is>
          <t>Quadra</t>
        </is>
      </c>
      <c r="AJ13" s="87" t="inlineStr">
        <is>
          <t>11:45 - 12:05</t>
        </is>
      </c>
      <c r="AK13" s="87" t="n"/>
      <c r="AL13" s="110" t="n"/>
      <c r="AM13" s="90" t="n"/>
      <c r="AN13" s="90" t="n"/>
      <c r="AO13" s="90" t="n"/>
      <c r="AP13" s="90" t="n"/>
      <c r="AQ13" s="90" t="n"/>
      <c r="AR13" s="90" t="n"/>
    </row>
    <row r="14">
      <c r="A14" s="108" t="inlineStr">
        <is>
          <t>Juvenil</t>
        </is>
      </c>
      <c r="B14" s="108" t="inlineStr">
        <is>
          <t>Basquete</t>
        </is>
      </c>
      <c r="C14" s="108" t="inlineStr">
        <is>
          <t>D m</t>
        </is>
      </c>
      <c r="D14" s="108" t="inlineStr">
        <is>
          <t>C m</t>
        </is>
      </c>
      <c r="E14" s="108" t="inlineStr">
        <is>
          <t>Quadra</t>
        </is>
      </c>
      <c r="F14" s="108" t="inlineStr">
        <is>
          <t>15:18 - 15:33</t>
        </is>
      </c>
      <c r="I14" s="98" t="inlineStr">
        <is>
          <t>Infantil</t>
        </is>
      </c>
      <c r="J14" s="98" t="inlineStr">
        <is>
          <t>Rouba-Bandeira</t>
        </is>
      </c>
      <c r="K14" s="108" t="inlineStr">
        <is>
          <t>A m</t>
        </is>
      </c>
      <c r="L14" s="108" t="inlineStr">
        <is>
          <t>B1 v</t>
        </is>
      </c>
      <c r="M14" s="98" t="inlineStr">
        <is>
          <t>Quadra</t>
        </is>
      </c>
      <c r="N14" s="111" t="inlineStr">
        <is>
          <t>13:49 - 13:56</t>
        </is>
      </c>
      <c r="O14" s="98" t="n"/>
      <c r="S14" s="134" t="n"/>
      <c r="T14" s="134" t="n"/>
      <c r="W14" s="96" t="inlineStr">
        <is>
          <t>Junior</t>
        </is>
      </c>
      <c r="X14" s="24" t="inlineStr">
        <is>
          <t>Queimada</t>
        </is>
      </c>
      <c r="Y14" s="108" t="inlineStr">
        <is>
          <t>GR</t>
        </is>
      </c>
      <c r="Z14" s="108" t="inlineStr">
        <is>
          <t>E m</t>
        </is>
      </c>
      <c r="AA14" s="96" t="inlineStr">
        <is>
          <t>Quadra</t>
        </is>
      </c>
      <c r="AB14" s="96" t="inlineStr">
        <is>
          <t>11:20 - 11:40</t>
        </is>
      </c>
      <c r="AC14" s="96" t="n"/>
      <c r="AE14" s="102" t="inlineStr">
        <is>
          <t>Almoço</t>
        </is>
      </c>
      <c r="AJ14" s="96" t="inlineStr">
        <is>
          <t>12:05 - 13:05</t>
        </is>
      </c>
      <c r="AK14" s="96" t="n"/>
      <c r="AL14" s="110" t="n"/>
      <c r="AM14" s="98" t="n"/>
      <c r="AN14" s="98" t="n"/>
      <c r="AO14" s="98" t="n"/>
      <c r="AP14" s="98" t="n"/>
      <c r="AQ14" s="98" t="n"/>
      <c r="AR14" s="98" t="n"/>
    </row>
    <row r="15">
      <c r="A15" s="109" t="inlineStr">
        <is>
          <t>Juvenil</t>
        </is>
      </c>
      <c r="B15" s="109" t="inlineStr">
        <is>
          <t>Basquete</t>
        </is>
      </c>
      <c r="C15" s="109" t="inlineStr">
        <is>
          <t>B2 v</t>
        </is>
      </c>
      <c r="D15" s="109" t="inlineStr">
        <is>
          <t>C m</t>
        </is>
      </c>
      <c r="E15" s="109" t="inlineStr">
        <is>
          <t>Quadra</t>
        </is>
      </c>
      <c r="F15" s="109" t="inlineStr">
        <is>
          <t>15:37 - 15:52</t>
        </is>
      </c>
      <c r="I15" s="90" t="inlineStr">
        <is>
          <t>Infantil</t>
        </is>
      </c>
      <c r="J15" s="90" t="inlineStr">
        <is>
          <t>Rouba-Bandeira</t>
        </is>
      </c>
      <c r="K15" s="109" t="inlineStr">
        <is>
          <t>B2 m</t>
        </is>
      </c>
      <c r="L15" s="109" t="inlineStr">
        <is>
          <t>B1 m</t>
        </is>
      </c>
      <c r="M15" s="90" t="inlineStr">
        <is>
          <t>Quadra</t>
        </is>
      </c>
      <c r="N15" s="84" t="inlineStr">
        <is>
          <t>14:00 - 14:07</t>
        </is>
      </c>
      <c r="O15" s="90" t="n"/>
      <c r="S15" s="135" t="n"/>
      <c r="T15" s="135" t="n"/>
      <c r="W15" s="87" t="inlineStr">
        <is>
          <t>Junior</t>
        </is>
      </c>
      <c r="X15" s="24" t="inlineStr">
        <is>
          <t>Queimada</t>
        </is>
      </c>
      <c r="Y15" s="109" t="inlineStr">
        <is>
          <t>E v</t>
        </is>
      </c>
      <c r="Z15" s="109" t="inlineStr">
        <is>
          <t>GR</t>
        </is>
      </c>
      <c r="AA15" s="87" t="inlineStr">
        <is>
          <t>Quadra</t>
        </is>
      </c>
      <c r="AB15" s="87" t="inlineStr">
        <is>
          <t>11:43 - 12:03</t>
        </is>
      </c>
      <c r="AC15" s="87" t="n"/>
      <c r="AE15" s="87" t="inlineStr">
        <is>
          <t>Juvenil</t>
        </is>
      </c>
      <c r="AF15" s="87" t="inlineStr">
        <is>
          <t>Futsal</t>
        </is>
      </c>
      <c r="AG15" s="109" t="inlineStr">
        <is>
          <t>C v</t>
        </is>
      </c>
      <c r="AH15" s="109" t="inlineStr">
        <is>
          <t>D m</t>
        </is>
      </c>
      <c r="AI15" s="87" t="inlineStr">
        <is>
          <t>Quadra</t>
        </is>
      </c>
      <c r="AJ15" s="87" t="inlineStr">
        <is>
          <t>13:10 - 13:30</t>
        </is>
      </c>
      <c r="AK15" s="87" t="n"/>
      <c r="AL15" s="110" t="n"/>
      <c r="AM15" s="90" t="n"/>
      <c r="AN15" s="90" t="n"/>
      <c r="AO15" s="90" t="n"/>
      <c r="AP15" s="90" t="n"/>
      <c r="AQ15" s="90" t="n"/>
      <c r="AR15" s="90" t="n"/>
    </row>
    <row r="16">
      <c r="A16" s="108" t="inlineStr">
        <is>
          <t>Juvenil</t>
        </is>
      </c>
      <c r="B16" s="108" t="inlineStr">
        <is>
          <t>Basquete</t>
        </is>
      </c>
      <c r="C16" s="108" t="inlineStr">
        <is>
          <t>D m</t>
        </is>
      </c>
      <c r="D16" s="108" t="inlineStr">
        <is>
          <t>D v</t>
        </is>
      </c>
      <c r="E16" s="108" t="inlineStr">
        <is>
          <t>Quadra</t>
        </is>
      </c>
      <c r="F16" s="108" t="inlineStr">
        <is>
          <t>15:56 - 16:11</t>
        </is>
      </c>
      <c r="I16" s="98" t="inlineStr">
        <is>
          <t>Infantil</t>
        </is>
      </c>
      <c r="J16" s="98" t="inlineStr">
        <is>
          <t>Rouba-Bandeira</t>
        </is>
      </c>
      <c r="K16" s="108" t="inlineStr">
        <is>
          <t>A m</t>
        </is>
      </c>
      <c r="L16" s="108" t="inlineStr">
        <is>
          <t>B1 m</t>
        </is>
      </c>
      <c r="M16" s="98" t="inlineStr">
        <is>
          <t>Quadra</t>
        </is>
      </c>
      <c r="N16" s="111" t="inlineStr">
        <is>
          <t>14:11 - 14:18</t>
        </is>
      </c>
      <c r="O16" s="98" t="n"/>
      <c r="Q16" s="106" t="inlineStr">
        <is>
          <t>Almoço</t>
        </is>
      </c>
      <c r="V16" s="107" t="inlineStr">
        <is>
          <t>12:05 - 13:05</t>
        </is>
      </c>
      <c r="W16" s="106" t="inlineStr">
        <is>
          <t>Almoço</t>
        </is>
      </c>
      <c r="AB16" s="107" t="inlineStr">
        <is>
          <t>12:05 - 13:05</t>
        </is>
      </c>
      <c r="AC16" s="96" t="n"/>
      <c r="AE16" s="96" t="inlineStr">
        <is>
          <t>Juvenil</t>
        </is>
      </c>
      <c r="AF16" s="96" t="inlineStr">
        <is>
          <t>Futsal</t>
        </is>
      </c>
      <c r="AG16" s="108" t="inlineStr">
        <is>
          <t>B2 v</t>
        </is>
      </c>
      <c r="AH16" s="108" t="inlineStr">
        <is>
          <t>D v</t>
        </is>
      </c>
      <c r="AI16" s="96" t="inlineStr">
        <is>
          <t>Quadra</t>
        </is>
      </c>
      <c r="AJ16" s="96" t="inlineStr">
        <is>
          <t>13:31 - 13:51</t>
        </is>
      </c>
      <c r="AK16" s="96" t="n"/>
      <c r="AL16" s="110" t="n"/>
      <c r="AM16" s="98" t="n"/>
      <c r="AN16" s="98" t="n"/>
      <c r="AO16" s="98" t="n"/>
      <c r="AP16" s="98" t="n"/>
      <c r="AQ16" s="98" t="n"/>
      <c r="AR16" s="98" t="n"/>
    </row>
    <row r="17">
      <c r="A17" s="109" t="inlineStr">
        <is>
          <t>Junior</t>
        </is>
      </c>
      <c r="B17" s="109" t="inlineStr">
        <is>
          <t>Basquete</t>
        </is>
      </c>
      <c r="C17" s="109" t="inlineStr">
        <is>
          <t>GR</t>
        </is>
      </c>
      <c r="D17" s="109" t="inlineStr">
        <is>
          <t>E m</t>
        </is>
      </c>
      <c r="E17" s="109" t="inlineStr">
        <is>
          <t>Quadra</t>
        </is>
      </c>
      <c r="F17" s="109" t="inlineStr">
        <is>
          <t>16:15 - 16:33</t>
        </is>
      </c>
      <c r="I17" s="90" t="inlineStr">
        <is>
          <t>Infantil</t>
        </is>
      </c>
      <c r="J17" s="90" t="inlineStr">
        <is>
          <t>Rouba-Bandeira</t>
        </is>
      </c>
      <c r="K17" s="109" t="inlineStr">
        <is>
          <t>B1 v</t>
        </is>
      </c>
      <c r="L17" s="109" t="inlineStr">
        <is>
          <t>A v</t>
        </is>
      </c>
      <c r="M17" s="90" t="inlineStr">
        <is>
          <t>Quadra</t>
        </is>
      </c>
      <c r="N17" s="84" t="inlineStr">
        <is>
          <t>14:22 - 14:29</t>
        </is>
      </c>
      <c r="O17" s="90" t="n"/>
      <c r="Q17" s="87" t="inlineStr">
        <is>
          <t>Juvenil</t>
        </is>
      </c>
      <c r="R17" s="87" t="inlineStr">
        <is>
          <t>Futebol</t>
        </is>
      </c>
      <c r="S17" s="109" t="inlineStr">
        <is>
          <t>C v</t>
        </is>
      </c>
      <c r="T17" s="109" t="inlineStr">
        <is>
          <t>D m</t>
        </is>
      </c>
      <c r="U17" s="87" t="inlineStr">
        <is>
          <t>Campo</t>
        </is>
      </c>
      <c r="V17" s="87" t="inlineStr">
        <is>
          <t>13:10 - 13:30</t>
        </is>
      </c>
      <c r="W17" s="87" t="inlineStr">
        <is>
          <t>Infantil</t>
        </is>
      </c>
      <c r="X17" s="24" t="inlineStr">
        <is>
          <t>Queimada</t>
        </is>
      </c>
      <c r="Y17" s="109" t="inlineStr">
        <is>
          <t>A v</t>
        </is>
      </c>
      <c r="Z17" s="109" t="inlineStr">
        <is>
          <t>B2 m</t>
        </is>
      </c>
      <c r="AA17" s="87" t="inlineStr">
        <is>
          <t>Quadra</t>
        </is>
      </c>
      <c r="AB17" s="87" t="inlineStr">
        <is>
          <t>13:10 - 13:25</t>
        </is>
      </c>
      <c r="AC17" s="87" t="n"/>
      <c r="AE17" s="87" t="inlineStr">
        <is>
          <t>Juvenil</t>
        </is>
      </c>
      <c r="AF17" s="87" t="inlineStr">
        <is>
          <t>Futsal</t>
        </is>
      </c>
      <c r="AG17" s="109" t="inlineStr">
        <is>
          <t>C m</t>
        </is>
      </c>
      <c r="AH17" s="109" t="inlineStr">
        <is>
          <t>C v</t>
        </is>
      </c>
      <c r="AI17" s="87" t="inlineStr">
        <is>
          <t>Quadra</t>
        </is>
      </c>
      <c r="AJ17" s="87" t="inlineStr">
        <is>
          <t>13:52 - 14:12</t>
        </is>
      </c>
      <c r="AK17" s="87" t="n"/>
      <c r="AL17" s="110" t="n"/>
      <c r="AM17" s="90" t="n"/>
      <c r="AN17" s="90" t="n"/>
      <c r="AO17" s="90" t="n"/>
      <c r="AP17" s="90" t="n"/>
      <c r="AQ17" s="90" t="n"/>
      <c r="AR17" s="90" t="n"/>
    </row>
    <row r="18">
      <c r="A18" s="108" t="inlineStr">
        <is>
          <t>Junior</t>
        </is>
      </c>
      <c r="B18" s="108" t="inlineStr">
        <is>
          <t>Basquete</t>
        </is>
      </c>
      <c r="C18" s="108" t="inlineStr">
        <is>
          <t>E m</t>
        </is>
      </c>
      <c r="D18" s="108" t="inlineStr">
        <is>
          <t>E v</t>
        </is>
      </c>
      <c r="E18" s="108" t="inlineStr">
        <is>
          <t>Quadra</t>
        </is>
      </c>
      <c r="F18" s="108" t="inlineStr">
        <is>
          <t>16:37 - 16:55</t>
        </is>
      </c>
      <c r="I18" s="98" t="inlineStr">
        <is>
          <t>Infantil</t>
        </is>
      </c>
      <c r="J18" s="98" t="inlineStr">
        <is>
          <t>Rouba-Bandeira</t>
        </is>
      </c>
      <c r="K18" s="108" t="inlineStr">
        <is>
          <t>A m</t>
        </is>
      </c>
      <c r="L18" s="108" t="inlineStr">
        <is>
          <t>A v</t>
        </is>
      </c>
      <c r="M18" s="98" t="inlineStr">
        <is>
          <t>Quadra</t>
        </is>
      </c>
      <c r="N18" s="111" t="inlineStr">
        <is>
          <t>14:33 - 14:40</t>
        </is>
      </c>
      <c r="O18" s="98" t="n"/>
      <c r="Q18" s="96" t="inlineStr">
        <is>
          <t>Juvenil</t>
        </is>
      </c>
      <c r="R18" s="96" t="inlineStr">
        <is>
          <t>Futebol</t>
        </is>
      </c>
      <c r="S18" s="108" t="inlineStr">
        <is>
          <t>B2 v</t>
        </is>
      </c>
      <c r="T18" s="108" t="inlineStr">
        <is>
          <t>D v</t>
        </is>
      </c>
      <c r="U18" s="96" t="inlineStr">
        <is>
          <t>Campo</t>
        </is>
      </c>
      <c r="V18" s="96" t="inlineStr">
        <is>
          <t>13:31: 13:51</t>
        </is>
      </c>
      <c r="W18" s="96" t="inlineStr">
        <is>
          <t>Infantil</t>
        </is>
      </c>
      <c r="X18" s="24" t="inlineStr">
        <is>
          <t>Queimada</t>
        </is>
      </c>
      <c r="Y18" s="108" t="inlineStr">
        <is>
          <t>B1 m</t>
        </is>
      </c>
      <c r="Z18" s="108" t="inlineStr">
        <is>
          <t>B1 v</t>
        </is>
      </c>
      <c r="AA18" s="96" t="inlineStr">
        <is>
          <t>Quadra</t>
        </is>
      </c>
      <c r="AB18" s="96" t="inlineStr">
        <is>
          <t>13:28 - 13:43</t>
        </is>
      </c>
      <c r="AC18" s="96" t="n"/>
      <c r="AE18" s="96" t="inlineStr">
        <is>
          <t>Juvenil</t>
        </is>
      </c>
      <c r="AF18" s="96" t="inlineStr">
        <is>
          <t>Futsal</t>
        </is>
      </c>
      <c r="AG18" s="108" t="inlineStr">
        <is>
          <t>B2 v</t>
        </is>
      </c>
      <c r="AH18" s="108" t="inlineStr">
        <is>
          <t>D m</t>
        </is>
      </c>
      <c r="AI18" s="96" t="inlineStr">
        <is>
          <t>Quadra</t>
        </is>
      </c>
      <c r="AJ18" s="96" t="inlineStr">
        <is>
          <t>14:13 - 14:33</t>
        </is>
      </c>
      <c r="AK18" s="96" t="n"/>
      <c r="AL18" s="110" t="n"/>
      <c r="AM18" s="98" t="n"/>
      <c r="AN18" s="98" t="n"/>
      <c r="AO18" s="98" t="n"/>
      <c r="AP18" s="98" t="n"/>
      <c r="AQ18" s="98" t="n"/>
      <c r="AR18" s="98" t="n"/>
    </row>
    <row r="19">
      <c r="A19" s="109" t="inlineStr">
        <is>
          <t>Junior</t>
        </is>
      </c>
      <c r="B19" s="109" t="inlineStr">
        <is>
          <t>Basquete</t>
        </is>
      </c>
      <c r="C19" s="109" t="inlineStr">
        <is>
          <t>E v</t>
        </is>
      </c>
      <c r="D19" s="109" t="inlineStr">
        <is>
          <t>GR</t>
        </is>
      </c>
      <c r="E19" s="109" t="inlineStr">
        <is>
          <t>Quadra</t>
        </is>
      </c>
      <c r="F19" s="109" t="inlineStr">
        <is>
          <t>16:59 - 17:17</t>
        </is>
      </c>
      <c r="I19" s="90" t="inlineStr">
        <is>
          <t>Infantil</t>
        </is>
      </c>
      <c r="J19" s="90" t="inlineStr">
        <is>
          <t>Rouba-Bandeira</t>
        </is>
      </c>
      <c r="K19" s="109" t="inlineStr">
        <is>
          <t>B1 v</t>
        </is>
      </c>
      <c r="L19" s="109" t="inlineStr">
        <is>
          <t>B2 m</t>
        </is>
      </c>
      <c r="M19" s="90" t="inlineStr">
        <is>
          <t>Quadra</t>
        </is>
      </c>
      <c r="N19" s="84" t="inlineStr">
        <is>
          <t>14:44 - 14:51</t>
        </is>
      </c>
      <c r="O19" s="90" t="n"/>
      <c r="Q19" s="87" t="inlineStr">
        <is>
          <t>Juvenil</t>
        </is>
      </c>
      <c r="R19" s="87" t="inlineStr">
        <is>
          <t>Futebol</t>
        </is>
      </c>
      <c r="S19" s="109" t="inlineStr">
        <is>
          <t>C m</t>
        </is>
      </c>
      <c r="T19" s="109" t="inlineStr">
        <is>
          <t>C v</t>
        </is>
      </c>
      <c r="U19" s="87" t="inlineStr">
        <is>
          <t>Campo</t>
        </is>
      </c>
      <c r="V19" s="87" t="inlineStr">
        <is>
          <t>13:52 - 14:12</t>
        </is>
      </c>
      <c r="W19" s="87" t="inlineStr">
        <is>
          <t>Infantil</t>
        </is>
      </c>
      <c r="X19" s="24" t="inlineStr">
        <is>
          <t>Queimada</t>
        </is>
      </c>
      <c r="Y19" s="109" t="inlineStr">
        <is>
          <t>A m</t>
        </is>
      </c>
      <c r="Z19" s="109" t="inlineStr">
        <is>
          <t>B2 m</t>
        </is>
      </c>
      <c r="AA19" s="87" t="inlineStr">
        <is>
          <t>Quadra</t>
        </is>
      </c>
      <c r="AB19" s="87" t="inlineStr">
        <is>
          <t>13:45 - 14:00</t>
        </is>
      </c>
      <c r="AC19" s="87" t="n"/>
      <c r="AE19" s="87" t="inlineStr">
        <is>
          <t>Juvenil</t>
        </is>
      </c>
      <c r="AF19" s="87" t="inlineStr">
        <is>
          <t>Futsal</t>
        </is>
      </c>
      <c r="AG19" s="87" t="inlineStr">
        <is>
          <t>D v</t>
        </is>
      </c>
      <c r="AH19" s="87" t="inlineStr">
        <is>
          <t>C v</t>
        </is>
      </c>
      <c r="AI19" s="87" t="inlineStr">
        <is>
          <t>Quadra</t>
        </is>
      </c>
      <c r="AJ19" s="87" t="inlineStr">
        <is>
          <t>14:34 - 14:54</t>
        </is>
      </c>
      <c r="AK19" s="87" t="n"/>
      <c r="AL19" s="110" t="n"/>
      <c r="AM19" s="90" t="n"/>
      <c r="AN19" s="90" t="n"/>
      <c r="AO19" s="90" t="n"/>
      <c r="AP19" s="90" t="n"/>
      <c r="AQ19" s="90" t="n"/>
      <c r="AR19" s="90" t="n"/>
    </row>
    <row r="20">
      <c r="A20" s="108" t="n"/>
      <c r="B20" s="108" t="n"/>
      <c r="C20" s="108" t="n"/>
      <c r="D20" s="108" t="n"/>
      <c r="E20" s="108" t="n"/>
      <c r="F20" s="108" t="n"/>
      <c r="G20" s="96" t="n"/>
      <c r="I20" s="98" t="inlineStr">
        <is>
          <t>Juvenil</t>
        </is>
      </c>
      <c r="J20" s="98" t="inlineStr">
        <is>
          <t>Rouba-Bandeira</t>
        </is>
      </c>
      <c r="K20" s="108" t="inlineStr">
        <is>
          <t>C m</t>
        </is>
      </c>
      <c r="L20" s="108" t="inlineStr">
        <is>
          <t>D v</t>
        </is>
      </c>
      <c r="M20" s="98" t="inlineStr">
        <is>
          <t>Quadra</t>
        </is>
      </c>
      <c r="N20" s="111" t="inlineStr">
        <is>
          <t>14:55 - 15:02</t>
        </is>
      </c>
      <c r="O20" s="98" t="n"/>
      <c r="Q20" s="96" t="inlineStr">
        <is>
          <t>Juvenil</t>
        </is>
      </c>
      <c r="R20" s="96" t="inlineStr">
        <is>
          <t>Futebol</t>
        </is>
      </c>
      <c r="S20" s="108" t="inlineStr">
        <is>
          <t>B2 v</t>
        </is>
      </c>
      <c r="T20" s="108" t="inlineStr">
        <is>
          <t>D m</t>
        </is>
      </c>
      <c r="U20" s="96" t="inlineStr">
        <is>
          <t>Campo</t>
        </is>
      </c>
      <c r="V20" s="96" t="inlineStr">
        <is>
          <t>14:13 - 14:33</t>
        </is>
      </c>
      <c r="W20" s="96" t="inlineStr">
        <is>
          <t>Infantil</t>
        </is>
      </c>
      <c r="X20" s="24" t="inlineStr">
        <is>
          <t>Queimada</t>
        </is>
      </c>
      <c r="Y20" s="108" t="inlineStr">
        <is>
          <t>A v</t>
        </is>
      </c>
      <c r="Z20" s="108" t="inlineStr">
        <is>
          <t>B1 m</t>
        </is>
      </c>
      <c r="AA20" s="96" t="inlineStr">
        <is>
          <t>Quadra</t>
        </is>
      </c>
      <c r="AB20" s="96" t="inlineStr">
        <is>
          <t>14:02 - 14:17</t>
        </is>
      </c>
      <c r="AC20" s="96" t="n"/>
      <c r="AE20" s="96" t="inlineStr">
        <is>
          <t>Juvenil</t>
        </is>
      </c>
      <c r="AF20" s="96" t="inlineStr">
        <is>
          <t>Futsal</t>
        </is>
      </c>
      <c r="AG20" s="96" t="inlineStr">
        <is>
          <t>B2 v</t>
        </is>
      </c>
      <c r="AH20" s="96" t="inlineStr">
        <is>
          <t>C v</t>
        </is>
      </c>
      <c r="AI20" s="96" t="inlineStr">
        <is>
          <t>Quadra</t>
        </is>
      </c>
      <c r="AJ20" s="96" t="inlineStr">
        <is>
          <t>14:55 - 15:15</t>
        </is>
      </c>
      <c r="AK20" s="96" t="n"/>
      <c r="AL20" s="110" t="n"/>
      <c r="AM20" s="98" t="n"/>
      <c r="AN20" s="98" t="n"/>
      <c r="AO20" s="98" t="n"/>
      <c r="AP20" s="98" t="n"/>
      <c r="AQ20" s="98" t="n"/>
      <c r="AR20" s="98" t="n"/>
    </row>
    <row r="21">
      <c r="A21" s="109" t="n"/>
      <c r="B21" s="109" t="n"/>
      <c r="C21" s="109" t="n"/>
      <c r="D21" s="109" t="n"/>
      <c r="E21" s="109" t="n"/>
      <c r="F21" s="109" t="n"/>
      <c r="G21" s="87" t="n"/>
      <c r="I21" s="90" t="inlineStr">
        <is>
          <t>Juvenil</t>
        </is>
      </c>
      <c r="J21" s="90" t="inlineStr">
        <is>
          <t>Rouba-Bandeira</t>
        </is>
      </c>
      <c r="K21" s="109" t="inlineStr">
        <is>
          <t>C v</t>
        </is>
      </c>
      <c r="L21" s="109" t="inlineStr">
        <is>
          <t>D m</t>
        </is>
      </c>
      <c r="M21" s="90" t="inlineStr">
        <is>
          <t>Quadra</t>
        </is>
      </c>
      <c r="N21" s="84" t="inlineStr">
        <is>
          <t>15:06 - 15:13</t>
        </is>
      </c>
      <c r="O21" s="90" t="n"/>
      <c r="Q21" s="87" t="inlineStr">
        <is>
          <t>Juvenil</t>
        </is>
      </c>
      <c r="R21" s="87" t="inlineStr">
        <is>
          <t>Futebol</t>
        </is>
      </c>
      <c r="S21" s="87" t="inlineStr">
        <is>
          <t>D v</t>
        </is>
      </c>
      <c r="T21" s="87" t="inlineStr">
        <is>
          <t>C v</t>
        </is>
      </c>
      <c r="U21" s="87" t="inlineStr">
        <is>
          <t>Campo</t>
        </is>
      </c>
      <c r="V21" s="87" t="inlineStr">
        <is>
          <t>14:34 - 14:54</t>
        </is>
      </c>
      <c r="W21" s="87" t="inlineStr">
        <is>
          <t>Infantil</t>
        </is>
      </c>
      <c r="X21" s="24" t="inlineStr">
        <is>
          <t>Queimada</t>
        </is>
      </c>
      <c r="Y21" s="109" t="inlineStr">
        <is>
          <t>A m</t>
        </is>
      </c>
      <c r="Z21" s="109" t="inlineStr">
        <is>
          <t>B1 v</t>
        </is>
      </c>
      <c r="AA21" s="87" t="inlineStr">
        <is>
          <t>Quadra</t>
        </is>
      </c>
      <c r="AB21" s="87" t="inlineStr">
        <is>
          <t>14:20 - 14:35</t>
        </is>
      </c>
      <c r="AC21" s="87" t="n"/>
      <c r="AE21" s="87" t="inlineStr">
        <is>
          <t>Juvenil</t>
        </is>
      </c>
      <c r="AF21" s="87" t="inlineStr">
        <is>
          <t>Futsal</t>
        </is>
      </c>
      <c r="AG21" s="87" t="inlineStr">
        <is>
          <t>D m</t>
        </is>
      </c>
      <c r="AH21" s="87" t="inlineStr">
        <is>
          <t>C m</t>
        </is>
      </c>
      <c r="AI21" s="87" t="inlineStr">
        <is>
          <t>Quadra</t>
        </is>
      </c>
      <c r="AJ21" s="87" t="inlineStr">
        <is>
          <t>15:16 - 15:36</t>
        </is>
      </c>
      <c r="AK21" s="87" t="n"/>
      <c r="AL21" s="110" t="n"/>
      <c r="AM21" s="90" t="n"/>
      <c r="AN21" s="90" t="n"/>
      <c r="AO21" s="90" t="n"/>
      <c r="AP21" s="90" t="n"/>
      <c r="AQ21" s="90" t="n"/>
      <c r="AR21" s="90" t="n"/>
    </row>
    <row r="22">
      <c r="A22" s="108" t="n"/>
      <c r="B22" s="108" t="n"/>
      <c r="C22" s="108" t="n"/>
      <c r="F22" s="108" t="n"/>
      <c r="G22" s="96" t="n"/>
      <c r="I22" s="98" t="inlineStr">
        <is>
          <t>Juvenil</t>
        </is>
      </c>
      <c r="J22" s="98" t="inlineStr">
        <is>
          <t>Rouba-Bandeira</t>
        </is>
      </c>
      <c r="K22" s="108" t="inlineStr">
        <is>
          <t>B2 v</t>
        </is>
      </c>
      <c r="L22" s="108" t="inlineStr">
        <is>
          <t>D v</t>
        </is>
      </c>
      <c r="M22" s="98" t="inlineStr">
        <is>
          <t>Quadra</t>
        </is>
      </c>
      <c r="N22" s="111" t="inlineStr">
        <is>
          <t>15:17 - 15:24</t>
        </is>
      </c>
      <c r="O22" s="98" t="n"/>
      <c r="Q22" s="96" t="inlineStr">
        <is>
          <t>Juvenil</t>
        </is>
      </c>
      <c r="R22" s="96" t="inlineStr">
        <is>
          <t>Futebol</t>
        </is>
      </c>
      <c r="S22" s="96" t="inlineStr">
        <is>
          <t>B2 v</t>
        </is>
      </c>
      <c r="T22" s="96" t="inlineStr">
        <is>
          <t>C v</t>
        </is>
      </c>
      <c r="U22" s="96" t="inlineStr">
        <is>
          <t>Campo</t>
        </is>
      </c>
      <c r="V22" s="96" t="inlineStr">
        <is>
          <t>14:55 - 15:15</t>
        </is>
      </c>
      <c r="W22" s="96" t="inlineStr">
        <is>
          <t>Infantil</t>
        </is>
      </c>
      <c r="X22" s="24" t="inlineStr">
        <is>
          <t>Queimada</t>
        </is>
      </c>
      <c r="Y22" s="108" t="inlineStr">
        <is>
          <t>B2 m</t>
        </is>
      </c>
      <c r="Z22" s="108" t="inlineStr">
        <is>
          <t>B1 m</t>
        </is>
      </c>
      <c r="AA22" s="96" t="inlineStr">
        <is>
          <t>Quadra</t>
        </is>
      </c>
      <c r="AB22" s="96" t="inlineStr">
        <is>
          <t>14:38 - 14:53</t>
        </is>
      </c>
      <c r="AC22" s="96" t="n"/>
      <c r="AE22" s="96" t="inlineStr">
        <is>
          <t>Juvenil</t>
        </is>
      </c>
      <c r="AF22" s="96" t="inlineStr">
        <is>
          <t>Futsal</t>
        </is>
      </c>
      <c r="AG22" s="96" t="inlineStr">
        <is>
          <t>B2 v</t>
        </is>
      </c>
      <c r="AH22" s="96" t="inlineStr">
        <is>
          <t>C m</t>
        </is>
      </c>
      <c r="AI22" s="96" t="inlineStr">
        <is>
          <t>Quadra</t>
        </is>
      </c>
      <c r="AJ22" s="96" t="inlineStr">
        <is>
          <t>15:37 - 15:57</t>
        </is>
      </c>
      <c r="AK22" s="96" t="n"/>
      <c r="AL22" s="110" t="n"/>
      <c r="AM22" s="98" t="n"/>
      <c r="AN22" s="98" t="n"/>
      <c r="AO22" s="98" t="n"/>
      <c r="AP22" s="98" t="n"/>
      <c r="AQ22" s="98" t="n"/>
      <c r="AR22" s="98" t="n"/>
    </row>
    <row r="23">
      <c r="A23" s="109" t="n"/>
      <c r="B23" s="109" t="n"/>
      <c r="C23" s="109" t="n"/>
      <c r="D23" s="109" t="n"/>
      <c r="E23" s="109" t="n"/>
      <c r="F23" s="109" t="n"/>
      <c r="G23" s="87" t="n"/>
      <c r="I23" s="90" t="inlineStr">
        <is>
          <t>Juvenil</t>
        </is>
      </c>
      <c r="J23" s="90" t="inlineStr">
        <is>
          <t>Rouba-Bandeira</t>
        </is>
      </c>
      <c r="K23" s="109" t="inlineStr">
        <is>
          <t>C m</t>
        </is>
      </c>
      <c r="L23" s="109" t="inlineStr">
        <is>
          <t>C v</t>
        </is>
      </c>
      <c r="M23" s="90" t="inlineStr">
        <is>
          <t>Quadra</t>
        </is>
      </c>
      <c r="N23" s="84" t="inlineStr">
        <is>
          <t>15:28 - 15:35</t>
        </is>
      </c>
      <c r="O23" s="90" t="n"/>
      <c r="Q23" s="87" t="inlineStr">
        <is>
          <t>Juvenil</t>
        </is>
      </c>
      <c r="R23" s="87" t="inlineStr">
        <is>
          <t>Futebol</t>
        </is>
      </c>
      <c r="S23" s="87" t="inlineStr">
        <is>
          <t>D m</t>
        </is>
      </c>
      <c r="T23" s="87" t="inlineStr">
        <is>
          <t>C m</t>
        </is>
      </c>
      <c r="U23" s="87" t="inlineStr">
        <is>
          <t>Campo</t>
        </is>
      </c>
      <c r="V23" s="87" t="inlineStr">
        <is>
          <t>15:16 - 15:36</t>
        </is>
      </c>
      <c r="W23" s="87" t="inlineStr">
        <is>
          <t>Infantil</t>
        </is>
      </c>
      <c r="X23" s="24" t="inlineStr">
        <is>
          <t>Queimada</t>
        </is>
      </c>
      <c r="Y23" s="109" t="inlineStr">
        <is>
          <t>A m</t>
        </is>
      </c>
      <c r="Z23" s="109" t="inlineStr">
        <is>
          <t>B1 m</t>
        </is>
      </c>
      <c r="AA23" s="87" t="inlineStr">
        <is>
          <t>Quadra</t>
        </is>
      </c>
      <c r="AB23" s="87" t="inlineStr">
        <is>
          <t>14:55 - 15:10</t>
        </is>
      </c>
      <c r="AC23" s="87" t="n"/>
      <c r="AE23" s="87" t="inlineStr">
        <is>
          <t>Juvenil</t>
        </is>
      </c>
      <c r="AF23" s="87" t="inlineStr">
        <is>
          <t>Futsal</t>
        </is>
      </c>
      <c r="AG23" s="87" t="inlineStr">
        <is>
          <t>D m</t>
        </is>
      </c>
      <c r="AH23" s="87" t="inlineStr">
        <is>
          <t>D v</t>
        </is>
      </c>
      <c r="AI23" s="87" t="inlineStr">
        <is>
          <t>Quadra</t>
        </is>
      </c>
      <c r="AJ23" s="87" t="inlineStr">
        <is>
          <t>15:58 - 16:18</t>
        </is>
      </c>
      <c r="AK23" s="87" t="n"/>
      <c r="AL23" s="110" t="inlineStr">
        <is>
          <t>Limpeza</t>
        </is>
      </c>
      <c r="AM23" s="90" t="n"/>
      <c r="AN23" s="90" t="n"/>
      <c r="AO23" s="90" t="n"/>
      <c r="AP23" s="90" t="n"/>
      <c r="AQ23" s="90" t="n"/>
      <c r="AR23" s="90" t="n"/>
    </row>
    <row r="24">
      <c r="A24" s="108" t="n"/>
      <c r="B24" s="108" t="n"/>
      <c r="C24" s="108" t="n"/>
      <c r="D24" s="108" t="n"/>
      <c r="E24" s="108" t="n"/>
      <c r="F24" s="108" t="n"/>
      <c r="G24" s="96" t="n"/>
      <c r="I24" s="98" t="inlineStr">
        <is>
          <t>Juvenil</t>
        </is>
      </c>
      <c r="J24" s="98" t="inlineStr">
        <is>
          <t>Rouba-Bandeira</t>
        </is>
      </c>
      <c r="K24" s="108" t="inlineStr">
        <is>
          <t>B2 v</t>
        </is>
      </c>
      <c r="L24" s="108" t="inlineStr">
        <is>
          <t>D m</t>
        </is>
      </c>
      <c r="M24" s="98" t="inlineStr">
        <is>
          <t>Quadra</t>
        </is>
      </c>
      <c r="N24" s="111" t="inlineStr">
        <is>
          <t>15:39 - 15:46</t>
        </is>
      </c>
      <c r="O24" s="98" t="n"/>
      <c r="Q24" s="96" t="inlineStr">
        <is>
          <t>Juvenil</t>
        </is>
      </c>
      <c r="R24" s="96" t="inlineStr">
        <is>
          <t>Futebol</t>
        </is>
      </c>
      <c r="S24" s="96" t="inlineStr">
        <is>
          <t>B2 v</t>
        </is>
      </c>
      <c r="T24" s="96" t="inlineStr">
        <is>
          <t>C m</t>
        </is>
      </c>
      <c r="U24" s="96" t="inlineStr">
        <is>
          <t>Campo</t>
        </is>
      </c>
      <c r="V24" s="96" t="inlineStr">
        <is>
          <t>15:37 - 15:57</t>
        </is>
      </c>
      <c r="W24" s="96" t="inlineStr">
        <is>
          <t>Infantil</t>
        </is>
      </c>
      <c r="X24" s="24" t="inlineStr">
        <is>
          <t>Queimada</t>
        </is>
      </c>
      <c r="Y24" s="108" t="inlineStr">
        <is>
          <t>B1 v</t>
        </is>
      </c>
      <c r="Z24" s="108" t="inlineStr">
        <is>
          <t>A v</t>
        </is>
      </c>
      <c r="AA24" s="96" t="inlineStr">
        <is>
          <t>Quadra</t>
        </is>
      </c>
      <c r="AB24" s="96" t="inlineStr">
        <is>
          <t>15:13 - 15:28</t>
        </is>
      </c>
      <c r="AC24" s="96" t="n"/>
      <c r="AE24" s="96" t="inlineStr">
        <is>
          <t>Júnior</t>
        </is>
      </c>
      <c r="AF24" s="96" t="inlineStr">
        <is>
          <t>Futsal</t>
        </is>
      </c>
      <c r="AG24" s="108" t="inlineStr">
        <is>
          <t>E m</t>
        </is>
      </c>
      <c r="AH24" s="108" t="inlineStr">
        <is>
          <t>E v</t>
        </is>
      </c>
      <c r="AI24" s="96" t="inlineStr">
        <is>
          <t>Quadra</t>
        </is>
      </c>
      <c r="AJ24" s="96" t="inlineStr">
        <is>
          <t>16:19 - 16:49</t>
        </is>
      </c>
      <c r="AK24" s="96" t="n"/>
      <c r="AL24" s="110" t="n"/>
      <c r="AM24" s="98" t="n"/>
      <c r="AN24" s="98" t="n"/>
      <c r="AO24" s="98" t="n"/>
      <c r="AP24" s="98" t="n"/>
      <c r="AQ24" s="98" t="n"/>
      <c r="AR24" s="98" t="n"/>
    </row>
    <row r="25">
      <c r="A25" s="109" t="n"/>
      <c r="B25" s="109" t="n"/>
      <c r="C25" s="109" t="n"/>
      <c r="D25" s="109" t="n"/>
      <c r="E25" s="109" t="n"/>
      <c r="F25" s="109" t="n"/>
      <c r="G25" s="87" t="n"/>
      <c r="I25" s="90" t="inlineStr">
        <is>
          <t>Juvenil</t>
        </is>
      </c>
      <c r="J25" s="90" t="inlineStr">
        <is>
          <t>Rouba-Bandeira</t>
        </is>
      </c>
      <c r="K25" s="87" t="inlineStr">
        <is>
          <t>D v</t>
        </is>
      </c>
      <c r="L25" s="87" t="inlineStr">
        <is>
          <t>C v</t>
        </is>
      </c>
      <c r="M25" s="90" t="inlineStr">
        <is>
          <t>Quadra</t>
        </is>
      </c>
      <c r="N25" s="84" t="inlineStr">
        <is>
          <t>15:50 - 15:57</t>
        </is>
      </c>
      <c r="O25" s="90" t="n"/>
      <c r="Q25" s="87" t="inlineStr">
        <is>
          <t>Juvenil</t>
        </is>
      </c>
      <c r="R25" s="87" t="inlineStr">
        <is>
          <t>Futebol</t>
        </is>
      </c>
      <c r="S25" s="87" t="inlineStr">
        <is>
          <t>D m</t>
        </is>
      </c>
      <c r="T25" s="87" t="inlineStr">
        <is>
          <t>D v</t>
        </is>
      </c>
      <c r="U25" s="87" t="inlineStr">
        <is>
          <t>Campo</t>
        </is>
      </c>
      <c r="V25" s="87" t="inlineStr">
        <is>
          <t>15:58 - 16:18</t>
        </is>
      </c>
      <c r="W25" s="87" t="inlineStr">
        <is>
          <t>Infantil</t>
        </is>
      </c>
      <c r="X25" s="24" t="inlineStr">
        <is>
          <t>Queimada</t>
        </is>
      </c>
      <c r="Y25" s="109" t="inlineStr">
        <is>
          <t>A m</t>
        </is>
      </c>
      <c r="Z25" s="109" t="inlineStr">
        <is>
          <t>A v</t>
        </is>
      </c>
      <c r="AA25" s="87" t="inlineStr">
        <is>
          <t>Quadra</t>
        </is>
      </c>
      <c r="AB25" s="87" t="inlineStr">
        <is>
          <t>15:30 - 15:45</t>
        </is>
      </c>
      <c r="AC25" s="87" t="n"/>
      <c r="AE25" s="87" t="inlineStr">
        <is>
          <t>Júnior</t>
        </is>
      </c>
      <c r="AF25" s="87" t="inlineStr">
        <is>
          <t>Futsal</t>
        </is>
      </c>
      <c r="AG25" s="109" t="inlineStr">
        <is>
          <t>GR</t>
        </is>
      </c>
      <c r="AH25" s="109" t="inlineStr">
        <is>
          <t>E m</t>
        </is>
      </c>
      <c r="AI25" s="87" t="inlineStr">
        <is>
          <t>Quadra</t>
        </is>
      </c>
      <c r="AJ25" s="87" t="inlineStr">
        <is>
          <t>16:50 - 17:20</t>
        </is>
      </c>
      <c r="AK25" s="87" t="n"/>
      <c r="AL25" s="77" t="n"/>
      <c r="AM25" s="90" t="n"/>
      <c r="AN25" s="90" t="n"/>
      <c r="AO25" s="90" t="n"/>
      <c r="AP25" s="90" t="n"/>
      <c r="AQ25" s="90" t="n"/>
      <c r="AR25" s="90" t="n"/>
      <c r="AS25" s="90" t="n"/>
    </row>
    <row r="26">
      <c r="A26" s="108" t="n"/>
      <c r="B26" s="108" t="n"/>
      <c r="C26" s="108" t="n"/>
      <c r="D26" s="108" t="n"/>
      <c r="E26" s="108" t="n"/>
      <c r="F26" s="108" t="n"/>
      <c r="G26" s="96" t="n"/>
      <c r="I26" s="98" t="inlineStr">
        <is>
          <t>Juvenil</t>
        </is>
      </c>
      <c r="J26" s="98" t="inlineStr">
        <is>
          <t>Rouba-Bandeira</t>
        </is>
      </c>
      <c r="K26" s="96" t="inlineStr">
        <is>
          <t>B2 v</t>
        </is>
      </c>
      <c r="L26" s="96" t="inlineStr">
        <is>
          <t>C v</t>
        </is>
      </c>
      <c r="M26" s="98" t="inlineStr">
        <is>
          <t>Quadra</t>
        </is>
      </c>
      <c r="N26" s="111" t="inlineStr">
        <is>
          <t>16:01 - 16:08</t>
        </is>
      </c>
      <c r="O26" s="98" t="n"/>
      <c r="Q26" s="96" t="inlineStr">
        <is>
          <t>Junior</t>
        </is>
      </c>
      <c r="R26" s="96" t="inlineStr">
        <is>
          <t>Futebol</t>
        </is>
      </c>
      <c r="S26" s="108" t="inlineStr">
        <is>
          <t>E m</t>
        </is>
      </c>
      <c r="T26" s="108" t="inlineStr">
        <is>
          <t>E v</t>
        </is>
      </c>
      <c r="U26" s="96" t="inlineStr">
        <is>
          <t>Campo</t>
        </is>
      </c>
      <c r="V26" s="96" t="inlineStr">
        <is>
          <t>16:19 - 16:49</t>
        </is>
      </c>
      <c r="W26" s="96" t="inlineStr">
        <is>
          <t>Infantil</t>
        </is>
      </c>
      <c r="X26" s="24" t="inlineStr">
        <is>
          <t>Queimada</t>
        </is>
      </c>
      <c r="Y26" s="108" t="inlineStr">
        <is>
          <t>B1 v</t>
        </is>
      </c>
      <c r="Z26" s="108" t="inlineStr">
        <is>
          <t>B2 m</t>
        </is>
      </c>
      <c r="AA26" s="96" t="inlineStr">
        <is>
          <t>Quadra</t>
        </is>
      </c>
      <c r="AB26" s="96" t="inlineStr">
        <is>
          <t>15:48 - 16:03</t>
        </is>
      </c>
      <c r="AC26" s="96" t="n"/>
      <c r="AE26" s="96" t="inlineStr">
        <is>
          <t>Júnior</t>
        </is>
      </c>
      <c r="AF26" s="96" t="inlineStr">
        <is>
          <t>Futsal</t>
        </is>
      </c>
      <c r="AG26" s="108" t="inlineStr">
        <is>
          <t>E v</t>
        </is>
      </c>
      <c r="AH26" s="108" t="inlineStr">
        <is>
          <t>GR</t>
        </is>
      </c>
      <c r="AI26" s="96" t="inlineStr">
        <is>
          <t>Quadra</t>
        </is>
      </c>
      <c r="AJ26" s="96" t="inlineStr">
        <is>
          <t>17:21 - 17:41</t>
        </is>
      </c>
      <c r="AK26" s="96" t="n"/>
      <c r="AL26" s="111" t="n"/>
      <c r="AM26" s="98" t="n"/>
      <c r="AN26" s="98" t="n"/>
      <c r="AO26" s="98" t="n"/>
      <c r="AP26" s="98" t="n"/>
      <c r="AQ26" s="98" t="n"/>
      <c r="AR26" s="98" t="n"/>
      <c r="AS26" s="98" t="n"/>
    </row>
    <row r="27">
      <c r="A27" s="109" t="n"/>
      <c r="B27" s="109" t="n"/>
      <c r="C27" s="109" t="n"/>
      <c r="D27" s="109" t="n"/>
      <c r="E27" s="109" t="n"/>
      <c r="F27" s="109" t="n"/>
      <c r="G27" s="87" t="n"/>
      <c r="I27" s="90" t="inlineStr">
        <is>
          <t>Juvenil</t>
        </is>
      </c>
      <c r="J27" s="90" t="inlineStr">
        <is>
          <t>Rouba-Bandeira</t>
        </is>
      </c>
      <c r="K27" s="87" t="inlineStr">
        <is>
          <t>D m</t>
        </is>
      </c>
      <c r="L27" s="87" t="inlineStr">
        <is>
          <t>C m</t>
        </is>
      </c>
      <c r="M27" s="90" t="inlineStr">
        <is>
          <t>Quadra</t>
        </is>
      </c>
      <c r="N27" s="84" t="inlineStr">
        <is>
          <t>16:12 - 16:19</t>
        </is>
      </c>
      <c r="O27" s="90" t="n"/>
      <c r="Q27" s="87" t="inlineStr">
        <is>
          <t>Junior</t>
        </is>
      </c>
      <c r="R27" s="87" t="inlineStr">
        <is>
          <t>Futebol</t>
        </is>
      </c>
      <c r="S27" s="109" t="inlineStr">
        <is>
          <t>GR</t>
        </is>
      </c>
      <c r="T27" s="109" t="inlineStr">
        <is>
          <t>E m</t>
        </is>
      </c>
      <c r="U27" s="87" t="inlineStr">
        <is>
          <t>Campo</t>
        </is>
      </c>
      <c r="V27" s="87" t="inlineStr">
        <is>
          <t>16:50 - 17:20</t>
        </is>
      </c>
      <c r="W27" s="87" t="n"/>
      <c r="X27" s="24" t="n"/>
      <c r="Y27" s="87" t="n"/>
      <c r="Z27" s="87" t="n"/>
      <c r="AA27" s="87" t="n"/>
      <c r="AB27" s="87" t="n"/>
      <c r="AC27" s="87" t="n"/>
      <c r="AE27" s="112" t="inlineStr">
        <is>
          <t>Finais</t>
        </is>
      </c>
      <c r="AJ27" s="87" t="n"/>
      <c r="AK27" s="87" t="n"/>
      <c r="AL27" s="84" t="n"/>
      <c r="AM27" s="90" t="n"/>
      <c r="AN27" s="90" t="n"/>
      <c r="AO27" s="90" t="n"/>
      <c r="AP27" s="90" t="n"/>
      <c r="AQ27" s="90" t="n"/>
      <c r="AR27" s="90" t="n"/>
      <c r="AS27" s="90" t="n"/>
    </row>
    <row r="28">
      <c r="A28" s="108" t="n"/>
      <c r="B28" s="108" t="n"/>
      <c r="C28" s="108" t="n"/>
      <c r="D28" s="108" t="n"/>
      <c r="E28" s="108" t="n"/>
      <c r="F28" s="108" t="n"/>
      <c r="G28" s="96" t="n"/>
      <c r="I28" s="98" t="inlineStr">
        <is>
          <t>Juvenil</t>
        </is>
      </c>
      <c r="J28" s="98" t="inlineStr">
        <is>
          <t>Rouba-Bandeira</t>
        </is>
      </c>
      <c r="K28" s="96" t="inlineStr">
        <is>
          <t>B2 v</t>
        </is>
      </c>
      <c r="L28" s="96" t="inlineStr">
        <is>
          <t>C m</t>
        </is>
      </c>
      <c r="M28" s="98" t="inlineStr">
        <is>
          <t>Quadra</t>
        </is>
      </c>
      <c r="N28" s="111" t="inlineStr">
        <is>
          <t>16:23 - 16:30</t>
        </is>
      </c>
      <c r="O28" s="98" t="n"/>
      <c r="Q28" s="96" t="inlineStr">
        <is>
          <t>Junior</t>
        </is>
      </c>
      <c r="R28" s="96" t="inlineStr">
        <is>
          <t>Futebol</t>
        </is>
      </c>
      <c r="S28" s="108" t="inlineStr">
        <is>
          <t>E v</t>
        </is>
      </c>
      <c r="T28" s="108" t="inlineStr">
        <is>
          <t>GR</t>
        </is>
      </c>
      <c r="U28" s="96" t="inlineStr">
        <is>
          <t>Campo</t>
        </is>
      </c>
      <c r="V28" s="96" t="inlineStr">
        <is>
          <t>17:21 - 17:51</t>
        </is>
      </c>
      <c r="W28" s="96" t="n"/>
      <c r="X28" s="24" t="n"/>
      <c r="Y28" s="96" t="n"/>
      <c r="Z28" s="96" t="n"/>
      <c r="AA28" s="96" t="n"/>
      <c r="AB28" s="96" t="n"/>
      <c r="AC28" s="96" t="n"/>
      <c r="AE28" s="113" t="inlineStr">
        <is>
          <t>Premiação</t>
        </is>
      </c>
      <c r="AJ28" s="96" t="inlineStr">
        <is>
          <t>sem tempo</t>
        </is>
      </c>
      <c r="AK28" s="96" t="n"/>
      <c r="AL28" s="111" t="n"/>
      <c r="AM28" s="98" t="n"/>
      <c r="AN28" s="98" t="n"/>
      <c r="AO28" s="98" t="n"/>
      <c r="AP28" s="98" t="n"/>
      <c r="AQ28" s="98" t="n"/>
      <c r="AR28" s="98" t="n"/>
      <c r="AS28" s="98" t="n"/>
    </row>
    <row r="29">
      <c r="A29" s="109" t="n"/>
      <c r="B29" s="109" t="n"/>
      <c r="C29" s="109" t="n"/>
      <c r="D29" s="109" t="n"/>
      <c r="E29" s="109" t="n"/>
      <c r="F29" s="109" t="n"/>
      <c r="G29" s="87" t="n"/>
      <c r="I29" s="90" t="inlineStr">
        <is>
          <t>Juvenil</t>
        </is>
      </c>
      <c r="J29" s="90" t="inlineStr">
        <is>
          <t>Rouba-Bandeira</t>
        </is>
      </c>
      <c r="K29" s="87" t="inlineStr">
        <is>
          <t>D m</t>
        </is>
      </c>
      <c r="L29" s="87" t="inlineStr">
        <is>
          <t>D v</t>
        </is>
      </c>
      <c r="M29" s="90" t="inlineStr">
        <is>
          <t>Quadra</t>
        </is>
      </c>
      <c r="N29" s="84" t="inlineStr">
        <is>
          <t>16:34 - 16:41</t>
        </is>
      </c>
      <c r="O29" s="90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90" t="n"/>
      <c r="AH29" s="90" t="n"/>
      <c r="AI29" s="90" t="n"/>
      <c r="AJ29" s="90" t="n"/>
      <c r="AK29" s="90" t="n"/>
      <c r="AL29" s="90" t="n"/>
      <c r="AM29" s="90" t="n"/>
      <c r="AN29" s="90" t="n"/>
      <c r="AO29" s="90" t="n"/>
      <c r="AP29" s="90" t="n"/>
      <c r="AQ29" s="90" t="n"/>
      <c r="AR29" s="90" t="n"/>
      <c r="AS29" s="90" t="n"/>
    </row>
    <row r="30">
      <c r="A30" s="108" t="n"/>
      <c r="B30" s="108" t="n"/>
      <c r="C30" s="108" t="n"/>
      <c r="D30" s="108" t="n"/>
      <c r="E30" s="108" t="n"/>
      <c r="F30" s="108" t="n"/>
      <c r="G30" s="96" t="n"/>
      <c r="I30" s="98" t="inlineStr">
        <is>
          <t>Junior</t>
        </is>
      </c>
      <c r="J30" s="98" t="inlineStr">
        <is>
          <t>Rouba-Bandeira</t>
        </is>
      </c>
      <c r="K30" s="108" t="inlineStr">
        <is>
          <t>E m</t>
        </is>
      </c>
      <c r="L30" s="108" t="inlineStr">
        <is>
          <t>E v</t>
        </is>
      </c>
      <c r="M30" s="98" t="inlineStr">
        <is>
          <t>Quadra</t>
        </is>
      </c>
      <c r="N30" s="111" t="inlineStr">
        <is>
          <t>16:56 - 17:03</t>
        </is>
      </c>
      <c r="O30" s="98" t="n"/>
      <c r="Y30" s="24" t="n"/>
      <c r="Z30" s="24" t="n"/>
      <c r="AA30" s="24" t="n"/>
      <c r="AB30" s="24" t="n"/>
      <c r="AC30" s="24" t="n"/>
      <c r="AD30" s="24" t="n"/>
      <c r="AE30" s="24" t="n"/>
    </row>
    <row r="31">
      <c r="A31" s="109" t="n"/>
      <c r="B31" s="109" t="n"/>
      <c r="C31" s="109" t="n"/>
      <c r="D31" s="109" t="n"/>
      <c r="E31" s="109" t="n"/>
      <c r="F31" s="109" t="n"/>
      <c r="G31" s="87" t="n"/>
      <c r="I31" s="90" t="inlineStr">
        <is>
          <t>Junior</t>
        </is>
      </c>
      <c r="J31" s="90" t="inlineStr">
        <is>
          <t>Rouba-Bandeira</t>
        </is>
      </c>
      <c r="K31" s="109" t="inlineStr">
        <is>
          <t>GR</t>
        </is>
      </c>
      <c r="L31" s="109" t="inlineStr">
        <is>
          <t>E m</t>
        </is>
      </c>
      <c r="M31" s="90" t="inlineStr">
        <is>
          <t>Quadra</t>
        </is>
      </c>
      <c r="O31" s="90" t="n"/>
      <c r="Y31" s="24" t="n"/>
      <c r="Z31" s="24" t="n"/>
      <c r="AA31" s="24" t="n"/>
      <c r="AB31" s="24" t="n"/>
      <c r="AC31" s="24" t="n"/>
      <c r="AD31" s="24" t="n"/>
      <c r="AE31" s="24" t="n"/>
    </row>
    <row r="32">
      <c r="A32" s="108" t="n"/>
      <c r="B32" s="108" t="n"/>
      <c r="C32" s="108" t="n"/>
      <c r="D32" s="108" t="n"/>
      <c r="E32" s="108" t="n"/>
      <c r="F32" s="108" t="n"/>
      <c r="G32" s="96" t="n"/>
      <c r="I32" s="98" t="inlineStr">
        <is>
          <t>Junior</t>
        </is>
      </c>
      <c r="J32" s="98" t="inlineStr">
        <is>
          <t>Rouba-Bandeira</t>
        </is>
      </c>
      <c r="K32" s="108" t="inlineStr">
        <is>
          <t>E v</t>
        </is>
      </c>
      <c r="L32" s="108" t="inlineStr">
        <is>
          <t>GR</t>
        </is>
      </c>
      <c r="M32" s="98" t="inlineStr">
        <is>
          <t>Quadra</t>
        </is>
      </c>
      <c r="N32" s="111" t="inlineStr">
        <is>
          <t>17:07 - 17:14</t>
        </is>
      </c>
      <c r="O32" s="98" t="n"/>
      <c r="Y32" s="24" t="n"/>
      <c r="Z32" s="24" t="n"/>
      <c r="AA32" s="24" t="n"/>
      <c r="AB32" s="24" t="n"/>
      <c r="AC32" s="24" t="n"/>
      <c r="AD32" s="24" t="n"/>
      <c r="AE32" s="24" t="n"/>
    </row>
    <row r="33">
      <c r="A33" s="109" t="n"/>
      <c r="B33" s="109" t="n"/>
      <c r="C33" s="109" t="n"/>
      <c r="D33" s="109" t="n"/>
      <c r="E33" s="109" t="n"/>
      <c r="F33" s="109" t="n"/>
      <c r="G33" s="87" t="n"/>
      <c r="Y33" s="24" t="n"/>
      <c r="Z33" s="24" t="n"/>
      <c r="AA33" s="24" t="n"/>
      <c r="AB33" s="24" t="n"/>
      <c r="AC33" s="24" t="n"/>
      <c r="AD33" s="24" t="n"/>
      <c r="AE33" s="24" t="n"/>
    </row>
    <row r="34">
      <c r="A34" s="114" t="n"/>
      <c r="B34" s="114" t="n"/>
      <c r="C34" s="114" t="n"/>
      <c r="D34" s="114" t="n"/>
      <c r="E34" s="114" t="n"/>
      <c r="F34" s="114" t="n"/>
      <c r="G34" s="24" t="n"/>
      <c r="Y34" s="24" t="n"/>
      <c r="Z34" s="24" t="n"/>
      <c r="AA34" s="24" t="n"/>
      <c r="AB34" s="24" t="n"/>
      <c r="AC34" s="24" t="n"/>
      <c r="AD34" s="24" t="n"/>
      <c r="AE34" s="24" t="n"/>
    </row>
    <row r="35">
      <c r="A35" s="114" t="n"/>
      <c r="B35" s="114" t="n"/>
      <c r="C35" s="114" t="n"/>
      <c r="D35" s="114" t="n"/>
      <c r="E35" s="114" t="n"/>
      <c r="F35" s="114" t="n"/>
      <c r="G35" s="24" t="n"/>
      <c r="Y35" s="24" t="n"/>
      <c r="Z35" s="24" t="n"/>
      <c r="AA35" s="24" t="n"/>
      <c r="AB35" s="24" t="n"/>
      <c r="AC35" s="24" t="n"/>
      <c r="AD35" s="24" t="n"/>
      <c r="AE35" s="24" t="n"/>
    </row>
    <row r="36">
      <c r="A36" s="114" t="n"/>
      <c r="B36" s="114" t="n"/>
      <c r="C36" s="114" t="n"/>
      <c r="D36" s="114" t="n"/>
      <c r="E36" s="114" t="n"/>
      <c r="F36" s="114" t="n"/>
      <c r="G36" s="24" t="n"/>
      <c r="Y36" s="24" t="n"/>
      <c r="Z36" s="24" t="n"/>
      <c r="AA36" s="24" t="n"/>
      <c r="AB36" s="24" t="n"/>
      <c r="AC36" s="24" t="n"/>
      <c r="AD36" s="24" t="n"/>
      <c r="AE36" s="24" t="n"/>
    </row>
    <row r="37">
      <c r="A37" s="114" t="n"/>
      <c r="B37" s="114" t="n"/>
      <c r="C37" s="114" t="n"/>
      <c r="D37" s="114" t="n"/>
      <c r="E37" s="114" t="n"/>
      <c r="F37" s="114" t="n"/>
      <c r="G37" s="24" t="n"/>
      <c r="Y37" s="24" t="n"/>
      <c r="Z37" s="24" t="n"/>
      <c r="AA37" s="24" t="n"/>
      <c r="AB37" s="24" t="n"/>
      <c r="AC37" s="24" t="n"/>
      <c r="AD37" s="24" t="n"/>
      <c r="AE37" s="24" t="n"/>
    </row>
    <row r="38">
      <c r="A38" s="115" t="n"/>
      <c r="B38" s="115" t="n"/>
      <c r="C38" s="115" t="n"/>
      <c r="D38" s="115" t="n"/>
      <c r="E38" s="115" t="n"/>
      <c r="F38" s="115" t="n"/>
      <c r="Y38" s="24" t="n"/>
      <c r="Z38" s="24" t="n"/>
      <c r="AA38" s="24" t="n"/>
      <c r="AB38" s="24" t="n"/>
      <c r="AC38" s="24" t="n"/>
      <c r="AD38" s="24" t="n"/>
      <c r="AE38" s="24" t="n"/>
    </row>
    <row r="39">
      <c r="A39" s="115" t="n"/>
      <c r="B39" s="115" t="n"/>
      <c r="C39" s="115" t="n"/>
      <c r="D39" s="115" t="n"/>
      <c r="E39" s="115" t="n"/>
      <c r="F39" s="115" t="n"/>
      <c r="Y39" s="24" t="n"/>
      <c r="Z39" s="24" t="n"/>
      <c r="AA39" s="24" t="n"/>
      <c r="AB39" s="24" t="n"/>
      <c r="AC39" s="24" t="n"/>
      <c r="AD39" s="24" t="n"/>
      <c r="AE39" s="24" t="n"/>
    </row>
    <row r="40">
      <c r="A40" s="115" t="n"/>
      <c r="B40" s="115" t="n"/>
      <c r="C40" s="115" t="n"/>
      <c r="D40" s="115" t="n"/>
      <c r="E40" s="115" t="n"/>
      <c r="F40" s="115" t="n"/>
      <c r="Y40" s="24" t="n"/>
      <c r="Z40" s="24" t="n"/>
      <c r="AA40" s="24" t="n"/>
      <c r="AB40" s="24" t="n"/>
      <c r="AC40" s="24" t="n"/>
      <c r="AD40" s="24" t="n"/>
      <c r="AE40" s="24" t="n"/>
    </row>
    <row r="41">
      <c r="A41" s="115" t="n"/>
      <c r="B41" s="115" t="n"/>
      <c r="C41" s="115" t="n"/>
      <c r="D41" s="115" t="n"/>
      <c r="E41" s="115" t="n"/>
      <c r="F41" s="115" t="n"/>
      <c r="Y41" s="24" t="n"/>
      <c r="Z41" s="24" t="n"/>
      <c r="AA41" s="24" t="n"/>
      <c r="AB41" s="24" t="n"/>
      <c r="AC41" s="24" t="n"/>
      <c r="AD41" s="24" t="n"/>
      <c r="AE41" s="24" t="n"/>
    </row>
    <row r="42">
      <c r="A42" s="115" t="n"/>
      <c r="B42" s="115" t="n"/>
      <c r="C42" s="115" t="n"/>
      <c r="D42" s="115" t="n"/>
      <c r="E42" s="115" t="n"/>
      <c r="F42" s="115" t="n"/>
      <c r="Y42" s="24" t="n"/>
      <c r="Z42" s="24" t="n"/>
      <c r="AA42" s="24" t="n"/>
      <c r="AB42" s="24" t="n"/>
      <c r="AC42" s="24" t="n"/>
      <c r="AD42" s="24" t="n"/>
      <c r="AE42" s="24" t="n"/>
    </row>
    <row r="43">
      <c r="A43" s="115" t="n"/>
      <c r="B43" s="115" t="n"/>
      <c r="C43" s="115" t="n"/>
      <c r="D43" s="115" t="n"/>
      <c r="E43" s="115" t="n"/>
      <c r="F43" s="115" t="n"/>
      <c r="Y43" s="24" t="n"/>
      <c r="Z43" s="24" t="n"/>
      <c r="AA43" s="24" t="n"/>
      <c r="AB43" s="24" t="n"/>
      <c r="AC43" s="24" t="n"/>
      <c r="AD43" s="24" t="n"/>
      <c r="AE43" s="24" t="n"/>
    </row>
    <row r="44">
      <c r="A44" s="115" t="n"/>
      <c r="B44" s="115" t="n"/>
      <c r="C44" s="115" t="n"/>
      <c r="D44" s="115" t="n"/>
      <c r="E44" s="115" t="n"/>
      <c r="F44" s="115" t="n"/>
      <c r="Y44" s="24" t="n"/>
      <c r="Z44" s="24" t="n"/>
      <c r="AA44" s="24" t="n"/>
      <c r="AB44" s="24" t="n"/>
      <c r="AC44" s="24" t="n"/>
      <c r="AD44" s="24" t="n"/>
      <c r="AE44" s="24" t="n"/>
    </row>
    <row r="45">
      <c r="A45" s="115" t="n"/>
      <c r="B45" s="115" t="n"/>
      <c r="C45" s="115" t="n"/>
      <c r="D45" s="115" t="n"/>
      <c r="E45" s="115" t="n"/>
      <c r="F45" s="115" t="n"/>
      <c r="Y45" s="24" t="n"/>
      <c r="Z45" s="24" t="n"/>
      <c r="AA45" s="24" t="n"/>
      <c r="AB45" s="24" t="n"/>
      <c r="AC45" s="24" t="n"/>
      <c r="AD45" s="24" t="n"/>
      <c r="AE45" s="24" t="n"/>
    </row>
    <row r="46">
      <c r="A46" s="115" t="n"/>
      <c r="B46" s="115" t="n"/>
      <c r="C46" s="115" t="n"/>
      <c r="D46" s="115" t="n"/>
      <c r="E46" s="115" t="n"/>
      <c r="F46" s="115" t="n"/>
      <c r="Y46" s="24" t="n"/>
      <c r="Z46" s="24" t="n"/>
      <c r="AA46" s="24" t="n"/>
      <c r="AB46" s="24" t="n"/>
      <c r="AC46" s="24" t="n"/>
      <c r="AD46" s="24" t="n"/>
      <c r="AE46" s="24" t="n"/>
    </row>
    <row r="47">
      <c r="A47" s="115" t="n"/>
      <c r="B47" s="115" t="n"/>
      <c r="C47" s="115" t="n"/>
      <c r="D47" s="115" t="n"/>
      <c r="E47" s="115" t="n"/>
      <c r="F47" s="115" t="n"/>
      <c r="Y47" s="24" t="n"/>
      <c r="Z47" s="24" t="n"/>
      <c r="AA47" s="24" t="n"/>
      <c r="AB47" s="24" t="n"/>
      <c r="AC47" s="24" t="n"/>
      <c r="AD47" s="24" t="n"/>
      <c r="AE47" s="24" t="n"/>
    </row>
    <row r="48">
      <c r="A48" s="115" t="n"/>
      <c r="B48" s="115" t="n"/>
      <c r="C48" s="115" t="n"/>
      <c r="D48" s="115" t="n"/>
      <c r="E48" s="115" t="n"/>
      <c r="F48" s="115" t="n"/>
      <c r="Y48" s="24" t="n"/>
      <c r="Z48" s="24" t="n"/>
      <c r="AA48" s="24" t="n"/>
      <c r="AB48" s="24" t="n"/>
      <c r="AC48" s="24" t="n"/>
      <c r="AD48" s="24" t="n"/>
      <c r="AE48" s="24" t="n"/>
    </row>
    <row r="49">
      <c r="A49" s="115" t="n"/>
      <c r="B49" s="115" t="n"/>
      <c r="C49" s="115" t="n"/>
      <c r="D49" s="115" t="n"/>
      <c r="E49" s="115" t="n"/>
      <c r="F49" s="115" t="n"/>
      <c r="W49" s="84" t="n"/>
      <c r="Y49" s="24" t="n"/>
      <c r="Z49" s="24" t="n"/>
      <c r="AA49" s="24" t="n"/>
      <c r="AB49" s="24" t="n"/>
      <c r="AC49" s="24" t="n"/>
      <c r="AD49" s="24" t="n"/>
      <c r="AE49" s="24" t="n"/>
    </row>
    <row r="50">
      <c r="A50" s="115" t="n"/>
      <c r="B50" s="115" t="n"/>
      <c r="C50" s="115" t="n"/>
      <c r="D50" s="115" t="n"/>
      <c r="E50" s="115" t="n"/>
      <c r="F50" s="115" t="n"/>
      <c r="W50" s="111" t="n"/>
      <c r="Y50" s="24" t="n"/>
      <c r="Z50" s="24" t="n"/>
      <c r="AA50" s="24" t="n"/>
      <c r="AB50" s="24" t="n"/>
      <c r="AC50" s="24" t="n"/>
      <c r="AD50" s="24" t="n"/>
      <c r="AE50" s="24" t="n"/>
    </row>
    <row r="51">
      <c r="A51" s="115" t="n"/>
      <c r="B51" s="115" t="n"/>
      <c r="C51" s="115" t="n"/>
      <c r="D51" s="115" t="n"/>
      <c r="E51" s="115" t="n"/>
      <c r="F51" s="115" t="n"/>
      <c r="W51" s="84" t="n"/>
      <c r="Y51" s="24" t="n"/>
      <c r="Z51" s="24" t="n"/>
      <c r="AA51" s="24" t="n"/>
      <c r="AB51" s="24" t="n"/>
      <c r="AC51" s="24" t="n"/>
      <c r="AD51" s="24" t="n"/>
      <c r="AE51" s="24" t="n"/>
    </row>
    <row r="52">
      <c r="A52" s="115" t="n"/>
      <c r="B52" s="115" t="n"/>
      <c r="C52" s="115" t="n"/>
      <c r="D52" s="115" t="n"/>
      <c r="E52" s="115" t="n"/>
      <c r="F52" s="115" t="n"/>
      <c r="W52" s="111" t="n"/>
      <c r="Y52" s="24" t="n"/>
      <c r="Z52" s="24" t="n"/>
      <c r="AA52" s="24" t="n"/>
      <c r="AB52" s="24" t="n"/>
      <c r="AC52" s="24" t="n"/>
      <c r="AD52" s="24" t="n"/>
      <c r="AE52" s="24" t="n"/>
    </row>
    <row r="53">
      <c r="A53" s="115" t="n"/>
      <c r="B53" s="115" t="n"/>
      <c r="C53" s="115" t="n"/>
      <c r="D53" s="115" t="n"/>
      <c r="E53" s="115" t="n"/>
      <c r="F53" s="115" t="n"/>
      <c r="V53" s="24" t="n"/>
      <c r="Y53" s="24" t="n"/>
      <c r="Z53" s="24" t="n"/>
      <c r="AA53" s="24" t="n"/>
      <c r="AB53" s="24" t="n"/>
      <c r="AC53" s="24" t="n"/>
      <c r="AD53" s="24" t="n"/>
      <c r="AE53" s="24" t="n"/>
    </row>
    <row r="54">
      <c r="A54" s="115" t="n"/>
      <c r="B54" s="115" t="n"/>
      <c r="C54" s="115" t="n"/>
      <c r="D54" s="115" t="n"/>
      <c r="E54" s="115" t="n"/>
      <c r="F54" s="115" t="n"/>
      <c r="V54" s="24" t="n"/>
      <c r="Y54" s="24" t="n"/>
      <c r="Z54" s="24" t="n"/>
      <c r="AA54" s="24" t="n"/>
      <c r="AB54" s="24" t="n"/>
      <c r="AC54" s="24" t="n"/>
      <c r="AD54" s="24" t="n"/>
      <c r="AE54" s="24" t="n"/>
    </row>
    <row r="55">
      <c r="A55" s="115" t="n"/>
      <c r="B55" s="115" t="n"/>
      <c r="C55" s="115" t="n"/>
      <c r="D55" s="115" t="n"/>
      <c r="E55" s="115" t="n"/>
      <c r="F55" s="115" t="n"/>
      <c r="V55" s="24" t="n"/>
      <c r="Y55" s="24" t="n"/>
      <c r="Z55" s="24" t="n"/>
      <c r="AA55" s="24" t="n"/>
      <c r="AB55" s="24" t="n"/>
      <c r="AC55" s="24" t="n"/>
      <c r="AD55" s="24" t="n"/>
      <c r="AE55" s="24" t="n"/>
    </row>
    <row r="56">
      <c r="A56" s="115" t="n"/>
      <c r="B56" s="115" t="n"/>
      <c r="C56" s="115" t="n"/>
      <c r="D56" s="115" t="n"/>
      <c r="E56" s="115" t="n"/>
      <c r="F56" s="115" t="n"/>
      <c r="V56" s="24" t="n"/>
      <c r="Y56" s="24" t="n"/>
      <c r="Z56" s="24" t="n"/>
      <c r="AA56" s="24" t="n"/>
      <c r="AB56" s="24" t="n"/>
      <c r="AC56" s="24" t="n"/>
      <c r="AD56" s="24" t="n"/>
      <c r="AE56" s="24" t="n"/>
    </row>
    <row r="57">
      <c r="A57" s="115" t="n"/>
      <c r="B57" s="115" t="n"/>
      <c r="C57" s="115" t="n"/>
      <c r="D57" s="115" t="n"/>
      <c r="E57" s="115" t="n"/>
      <c r="F57" s="115" t="n"/>
      <c r="V57" s="24" t="n"/>
      <c r="Y57" s="24" t="n"/>
      <c r="Z57" s="24" t="n"/>
      <c r="AA57" s="24" t="n"/>
      <c r="AB57" s="24" t="n"/>
      <c r="AC57" s="24" t="n"/>
      <c r="AD57" s="24" t="n"/>
      <c r="AE57" s="24" t="n"/>
    </row>
    <row r="58">
      <c r="A58" s="115" t="n"/>
      <c r="B58" s="115" t="n"/>
      <c r="C58" s="115" t="n"/>
      <c r="D58" s="115" t="n"/>
      <c r="E58" s="115" t="n"/>
      <c r="F58" s="115" t="n"/>
      <c r="V58" s="24" t="n"/>
      <c r="Y58" s="24" t="n"/>
      <c r="Z58" s="24" t="n"/>
      <c r="AA58" s="24" t="n"/>
      <c r="AB58" s="24" t="n"/>
      <c r="AC58" s="24" t="n"/>
      <c r="AD58" s="24" t="n"/>
      <c r="AE58" s="24" t="n"/>
    </row>
    <row r="59">
      <c r="A59" s="115" t="n"/>
      <c r="B59" s="115" t="n"/>
      <c r="C59" s="115" t="n"/>
      <c r="D59" s="115" t="n"/>
      <c r="E59" s="115" t="n"/>
      <c r="F59" s="115" t="n"/>
      <c r="V59" s="24" t="n"/>
      <c r="Y59" s="24" t="n"/>
      <c r="Z59" s="24" t="n"/>
      <c r="AA59" s="24" t="n"/>
      <c r="AB59" s="24" t="n"/>
      <c r="AC59" s="24" t="n"/>
      <c r="AD59" s="24" t="n"/>
      <c r="AE59" s="24" t="n"/>
    </row>
    <row r="60">
      <c r="A60" s="115" t="n"/>
      <c r="B60" s="115" t="n"/>
      <c r="C60" s="115" t="n"/>
      <c r="D60" s="115" t="n"/>
      <c r="E60" s="115" t="n"/>
      <c r="F60" s="115" t="n"/>
      <c r="V60" s="24" t="n"/>
      <c r="Y60" s="24" t="n"/>
      <c r="Z60" s="24" t="n"/>
      <c r="AA60" s="24" t="n"/>
      <c r="AB60" s="24" t="n"/>
      <c r="AC60" s="24" t="n"/>
      <c r="AD60" s="24" t="n"/>
      <c r="AE60" s="24" t="n"/>
    </row>
    <row r="61">
      <c r="A61" s="115" t="n"/>
      <c r="B61" s="115" t="n"/>
      <c r="C61" s="115" t="n"/>
      <c r="D61" s="115" t="n"/>
      <c r="E61" s="115" t="n"/>
      <c r="F61" s="115" t="n"/>
      <c r="V61" s="24" t="n"/>
      <c r="Y61" s="24" t="n"/>
      <c r="Z61" s="24" t="n"/>
      <c r="AA61" s="24" t="n"/>
      <c r="AB61" s="24" t="n"/>
      <c r="AC61" s="24" t="n"/>
      <c r="AD61" s="24" t="n"/>
      <c r="AE61" s="24" t="n"/>
    </row>
    <row r="62">
      <c r="A62" s="115" t="n"/>
      <c r="B62" s="115" t="n"/>
      <c r="C62" s="115" t="n"/>
      <c r="D62" s="115" t="n"/>
      <c r="E62" s="115" t="n"/>
      <c r="F62" s="115" t="n"/>
      <c r="V62" s="24" t="n"/>
      <c r="Y62" s="24" t="n"/>
      <c r="Z62" s="24" t="n"/>
      <c r="AA62" s="24" t="n"/>
      <c r="AB62" s="24" t="n"/>
      <c r="AC62" s="24" t="n"/>
      <c r="AD62" s="24" t="n"/>
      <c r="AE62" s="24" t="n"/>
    </row>
    <row r="63">
      <c r="A63" s="115" t="n"/>
      <c r="B63" s="115" t="n"/>
      <c r="C63" s="115" t="n"/>
      <c r="D63" s="115" t="n"/>
      <c r="E63" s="115" t="n"/>
      <c r="F63" s="115" t="n"/>
      <c r="V63" s="24" t="n"/>
      <c r="Y63" s="24" t="n"/>
      <c r="Z63" s="24" t="n"/>
      <c r="AA63" s="24" t="n"/>
      <c r="AB63" s="24" t="n"/>
      <c r="AC63" s="24" t="n"/>
      <c r="AD63" s="24" t="n"/>
      <c r="AE63" s="24" t="n"/>
    </row>
    <row r="64">
      <c r="A64" s="115" t="n"/>
      <c r="B64" s="115" t="n"/>
      <c r="C64" s="115" t="n"/>
      <c r="D64" s="115" t="n"/>
      <c r="E64" s="115" t="n"/>
      <c r="F64" s="115" t="n"/>
      <c r="V64" s="24" t="n"/>
      <c r="Y64" s="24" t="n"/>
      <c r="Z64" s="24" t="n"/>
      <c r="AA64" s="24" t="n"/>
      <c r="AB64" s="24" t="n"/>
      <c r="AC64" s="24" t="n"/>
      <c r="AD64" s="24" t="n"/>
      <c r="AE64" s="24" t="n"/>
    </row>
    <row r="65">
      <c r="A65" s="115" t="n"/>
      <c r="B65" s="115" t="n"/>
      <c r="C65" s="115" t="n"/>
      <c r="D65" s="115" t="n"/>
      <c r="E65" s="115" t="n"/>
      <c r="F65" s="115" t="n"/>
      <c r="V65" s="24" t="n"/>
      <c r="Y65" s="24" t="n"/>
      <c r="Z65" s="24" t="n"/>
      <c r="AA65" s="24" t="n"/>
      <c r="AB65" s="24" t="n"/>
      <c r="AC65" s="24" t="n"/>
      <c r="AD65" s="24" t="n"/>
      <c r="AE65" s="24" t="n"/>
    </row>
    <row r="66">
      <c r="A66" s="114" t="n"/>
      <c r="B66" s="114" t="n"/>
      <c r="C66" s="114" t="n"/>
      <c r="D66" s="114" t="n"/>
      <c r="E66" s="114" t="n"/>
      <c r="F66" s="114" t="n"/>
      <c r="G66" s="24" t="n"/>
      <c r="V66" s="24" t="n"/>
      <c r="Y66" s="24" t="n"/>
      <c r="Z66" s="24" t="n"/>
      <c r="AA66" s="24" t="n"/>
      <c r="AB66" s="24" t="n"/>
      <c r="AC66" s="24" t="n"/>
      <c r="AD66" s="24" t="n"/>
      <c r="AE66" s="24" t="n"/>
    </row>
    <row r="67">
      <c r="A67" s="114" t="n"/>
      <c r="B67" s="114" t="n"/>
      <c r="C67" s="114" t="n"/>
      <c r="D67" s="114" t="n"/>
      <c r="E67" s="114" t="n"/>
      <c r="F67" s="114" t="n"/>
      <c r="G67" s="24" t="n"/>
      <c r="V67" s="24" t="n"/>
      <c r="Y67" s="24" t="n"/>
      <c r="Z67" s="24" t="n"/>
      <c r="AA67" s="24" t="n"/>
      <c r="AB67" s="24" t="n"/>
      <c r="AC67" s="24" t="n"/>
      <c r="AD67" s="24" t="n"/>
      <c r="AE67" s="24" t="n"/>
    </row>
    <row r="68">
      <c r="A68" s="114" t="n"/>
      <c r="B68" s="114" t="n"/>
      <c r="C68" s="114" t="n"/>
      <c r="D68" s="114" t="n"/>
      <c r="E68" s="114" t="n"/>
      <c r="F68" s="114" t="n"/>
      <c r="G68" s="24" t="n"/>
      <c r="V68" s="24" t="n"/>
      <c r="Y68" s="24" t="n"/>
      <c r="Z68" s="24" t="n"/>
      <c r="AA68" s="24" t="n"/>
      <c r="AB68" s="24" t="n"/>
      <c r="AC68" s="24" t="n"/>
      <c r="AD68" s="24" t="n"/>
      <c r="AE68" s="24" t="n"/>
    </row>
    <row r="69">
      <c r="A69" s="114" t="n"/>
      <c r="B69" s="114" t="n"/>
      <c r="C69" s="114" t="n"/>
      <c r="D69" s="114" t="n"/>
      <c r="E69" s="114" t="n"/>
      <c r="F69" s="114" t="n"/>
      <c r="G69" s="24" t="n"/>
      <c r="V69" s="24" t="n"/>
      <c r="Y69" s="24" t="n"/>
      <c r="Z69" s="24" t="n"/>
      <c r="AA69" s="24" t="n"/>
      <c r="AB69" s="24" t="n"/>
      <c r="AC69" s="24" t="n"/>
      <c r="AD69" s="24" t="n"/>
      <c r="AE69" s="24" t="n"/>
    </row>
    <row r="70">
      <c r="A70" s="114" t="n"/>
      <c r="B70" s="114" t="n"/>
      <c r="C70" s="114" t="n"/>
      <c r="D70" s="114" t="n"/>
      <c r="E70" s="114" t="n"/>
      <c r="F70" s="114" t="n"/>
      <c r="G70" s="24" t="n"/>
      <c r="V70" s="24" t="n"/>
      <c r="Y70" s="24" t="n"/>
      <c r="Z70" s="24" t="n"/>
      <c r="AA70" s="24" t="n"/>
      <c r="AB70" s="24" t="n"/>
      <c r="AC70" s="24" t="n"/>
      <c r="AD70" s="24" t="n"/>
      <c r="AE70" s="24" t="n"/>
    </row>
    <row r="71">
      <c r="A71" s="114" t="n"/>
      <c r="B71" s="114" t="n"/>
      <c r="C71" s="114" t="n"/>
      <c r="D71" s="114" t="n"/>
      <c r="E71" s="114" t="n"/>
      <c r="F71" s="114" t="n"/>
      <c r="G71" s="24" t="n"/>
      <c r="V71" s="24" t="n"/>
      <c r="Y71" s="24" t="n"/>
      <c r="Z71" s="24" t="n"/>
      <c r="AA71" s="24" t="n"/>
      <c r="AB71" s="24" t="n"/>
      <c r="AC71" s="24" t="n"/>
      <c r="AD71" s="24" t="n"/>
      <c r="AE71" s="24" t="n"/>
    </row>
    <row r="72">
      <c r="A72" s="114" t="n"/>
      <c r="B72" s="114" t="n"/>
      <c r="C72" s="114" t="n"/>
      <c r="D72" s="114" t="n"/>
      <c r="E72" s="114" t="n"/>
      <c r="F72" s="114" t="n"/>
      <c r="G72" s="24" t="n"/>
      <c r="V72" s="24" t="n"/>
      <c r="Y72" s="24" t="n"/>
      <c r="Z72" s="24" t="n"/>
      <c r="AA72" s="24" t="n"/>
      <c r="AB72" s="24" t="n"/>
      <c r="AC72" s="24" t="n"/>
      <c r="AD72" s="24" t="n"/>
      <c r="AE72" s="24" t="n"/>
    </row>
    <row r="73">
      <c r="A73" s="114" t="n"/>
      <c r="B73" s="114" t="n"/>
      <c r="C73" s="114" t="n"/>
      <c r="D73" s="114" t="n"/>
      <c r="E73" s="114" t="n"/>
      <c r="F73" s="114" t="n"/>
      <c r="G73" s="24" t="n"/>
      <c r="V73" s="24" t="n"/>
      <c r="Y73" s="24" t="n"/>
      <c r="Z73" s="24" t="n"/>
      <c r="AA73" s="24" t="n"/>
      <c r="AB73" s="24" t="n"/>
      <c r="AC73" s="24" t="n"/>
      <c r="AD73" s="24" t="n"/>
      <c r="AE73" s="24" t="n"/>
    </row>
    <row r="74">
      <c r="A74" s="114" t="n"/>
      <c r="B74" s="114" t="n"/>
      <c r="C74" s="114" t="n"/>
      <c r="D74" s="114" t="n"/>
      <c r="E74" s="114" t="n"/>
      <c r="F74" s="114" t="n"/>
      <c r="G74" s="24" t="n"/>
      <c r="V74" s="24" t="n"/>
      <c r="Y74" s="24" t="n"/>
      <c r="Z74" s="24" t="n"/>
      <c r="AA74" s="24" t="n"/>
      <c r="AB74" s="24" t="n"/>
      <c r="AC74" s="24" t="n"/>
      <c r="AD74" s="24" t="n"/>
      <c r="AE74" s="24" t="n"/>
    </row>
    <row r="75">
      <c r="A75" s="114" t="n"/>
      <c r="B75" s="114" t="n"/>
      <c r="C75" s="114" t="n"/>
      <c r="D75" s="114" t="n"/>
      <c r="E75" s="114" t="n"/>
      <c r="F75" s="114" t="n"/>
      <c r="G75" s="24" t="n"/>
      <c r="V75" s="24" t="n"/>
      <c r="Y75" s="24" t="n"/>
      <c r="Z75" s="24" t="n"/>
      <c r="AA75" s="24" t="n"/>
      <c r="AB75" s="24" t="n"/>
      <c r="AC75" s="24" t="n"/>
      <c r="AD75" s="24" t="n"/>
      <c r="AE75" s="24" t="n"/>
    </row>
    <row r="76">
      <c r="A76" s="114" t="n"/>
      <c r="B76" s="114" t="n"/>
      <c r="C76" s="114" t="n"/>
      <c r="D76" s="114" t="n"/>
      <c r="E76" s="114" t="n"/>
      <c r="F76" s="114" t="n"/>
      <c r="G76" s="24" t="n"/>
      <c r="V76" s="24" t="n"/>
      <c r="Y76" s="24" t="n"/>
      <c r="Z76" s="24" t="n"/>
      <c r="AA76" s="24" t="n"/>
      <c r="AB76" s="24" t="n"/>
      <c r="AC76" s="24" t="n"/>
      <c r="AD76" s="24" t="n"/>
      <c r="AE76" s="24" t="n"/>
    </row>
    <row r="77">
      <c r="A77" s="114" t="n"/>
      <c r="B77" s="114" t="n"/>
      <c r="C77" s="114" t="n"/>
      <c r="D77" s="114" t="n"/>
      <c r="E77" s="114" t="n"/>
      <c r="F77" s="114" t="n"/>
      <c r="G77" s="24" t="n"/>
      <c r="V77" s="24" t="n"/>
      <c r="Y77" s="24" t="n"/>
      <c r="Z77" s="24" t="n"/>
      <c r="AA77" s="24" t="n"/>
      <c r="AB77" s="24" t="n"/>
      <c r="AC77" s="24" t="n"/>
      <c r="AD77" s="24" t="n"/>
      <c r="AE77" s="24" t="n"/>
    </row>
    <row r="78">
      <c r="A78" s="114" t="n"/>
      <c r="B78" s="114" t="n"/>
      <c r="C78" s="114" t="n"/>
      <c r="D78" s="114" t="n"/>
      <c r="E78" s="114" t="n"/>
      <c r="F78" s="114" t="n"/>
      <c r="G78" s="24" t="n"/>
      <c r="V78" s="24" t="n"/>
      <c r="Y78" s="24" t="n"/>
      <c r="Z78" s="24" t="n"/>
      <c r="AA78" s="24" t="n"/>
      <c r="AB78" s="24" t="n"/>
      <c r="AC78" s="24" t="n"/>
      <c r="AD78" s="24" t="n"/>
      <c r="AE78" s="24" t="n"/>
    </row>
    <row r="79">
      <c r="A79" s="114" t="n"/>
      <c r="B79" s="114" t="n"/>
      <c r="C79" s="114" t="n"/>
      <c r="D79" s="114" t="n"/>
      <c r="E79" s="114" t="n"/>
      <c r="F79" s="114" t="n"/>
      <c r="G79" s="24" t="n"/>
      <c r="V79" s="24" t="n"/>
      <c r="Y79" s="24" t="n"/>
      <c r="Z79" s="24" t="n"/>
      <c r="AA79" s="24" t="n"/>
      <c r="AB79" s="24" t="n"/>
      <c r="AC79" s="24" t="n"/>
      <c r="AD79" s="24" t="n"/>
      <c r="AE79" s="24" t="n"/>
    </row>
    <row r="80">
      <c r="A80" s="114" t="n"/>
      <c r="B80" s="114" t="n"/>
      <c r="C80" s="114" t="n"/>
      <c r="D80" s="114" t="n"/>
      <c r="E80" s="114" t="n"/>
      <c r="F80" s="114" t="n"/>
      <c r="G80" s="24" t="n"/>
      <c r="V80" s="24" t="n"/>
      <c r="Y80" s="24" t="n"/>
      <c r="Z80" s="24" t="n"/>
      <c r="AA80" s="24" t="n"/>
      <c r="AB80" s="24" t="n"/>
      <c r="AC80" s="24" t="n"/>
      <c r="AD80" s="24" t="n"/>
      <c r="AE80" s="24" t="n"/>
    </row>
    <row r="81">
      <c r="A81" s="114" t="n"/>
      <c r="B81" s="114" t="n"/>
      <c r="C81" s="114" t="n"/>
      <c r="D81" s="114" t="n"/>
      <c r="E81" s="114" t="n"/>
      <c r="F81" s="114" t="n"/>
      <c r="G81" s="24" t="n"/>
      <c r="V81" s="24" t="n"/>
      <c r="Y81" s="24" t="n"/>
      <c r="Z81" s="24" t="n"/>
      <c r="AA81" s="24" t="n"/>
      <c r="AB81" s="24" t="n"/>
      <c r="AC81" s="24" t="n"/>
      <c r="AD81" s="24" t="n"/>
      <c r="AE81" s="24" t="n"/>
    </row>
    <row r="82">
      <c r="A82" s="114" t="n"/>
      <c r="B82" s="114" t="n"/>
      <c r="C82" s="114" t="n"/>
      <c r="D82" s="114" t="n"/>
      <c r="E82" s="114" t="n"/>
      <c r="F82" s="114" t="n"/>
      <c r="G82" s="24" t="n"/>
      <c r="V82" s="24" t="n"/>
      <c r="Y82" s="24" t="n"/>
      <c r="Z82" s="24" t="n"/>
      <c r="AA82" s="24" t="n"/>
      <c r="AB82" s="24" t="n"/>
      <c r="AC82" s="24" t="n"/>
      <c r="AD82" s="24" t="n"/>
      <c r="AE82" s="24" t="n"/>
    </row>
    <row r="83">
      <c r="A83" s="114" t="n"/>
      <c r="B83" s="114" t="n"/>
      <c r="C83" s="114" t="n"/>
      <c r="D83" s="114" t="n"/>
      <c r="E83" s="114" t="n"/>
      <c r="F83" s="114" t="n"/>
      <c r="G83" s="24" t="n"/>
      <c r="V83" s="24" t="n"/>
      <c r="Y83" s="24" t="n"/>
      <c r="Z83" s="24" t="n"/>
      <c r="AA83" s="24" t="n"/>
      <c r="AB83" s="24" t="n"/>
      <c r="AC83" s="24" t="n"/>
      <c r="AD83" s="24" t="n"/>
      <c r="AE83" s="24" t="n"/>
    </row>
    <row r="84">
      <c r="A84" s="114" t="n"/>
      <c r="B84" s="114" t="n"/>
      <c r="C84" s="114" t="n"/>
      <c r="D84" s="114" t="n"/>
      <c r="E84" s="114" t="n"/>
      <c r="F84" s="114" t="n"/>
      <c r="G84" s="24" t="n"/>
      <c r="V84" s="24" t="n"/>
      <c r="Y84" s="24" t="n"/>
      <c r="Z84" s="24" t="n"/>
      <c r="AA84" s="24" t="n"/>
      <c r="AB84" s="24" t="n"/>
      <c r="AC84" s="24" t="n"/>
      <c r="AD84" s="24" t="n"/>
      <c r="AE84" s="24" t="n"/>
    </row>
    <row r="85">
      <c r="A85" s="114" t="n"/>
      <c r="B85" s="114" t="n"/>
      <c r="C85" s="114" t="n"/>
      <c r="D85" s="114" t="n"/>
      <c r="E85" s="114" t="n"/>
      <c r="F85" s="114" t="n"/>
      <c r="G85" s="24" t="n"/>
      <c r="V85" s="24" t="n"/>
      <c r="Y85" s="24" t="n"/>
      <c r="Z85" s="24" t="n"/>
      <c r="AA85" s="24" t="n"/>
      <c r="AB85" s="24" t="n"/>
      <c r="AC85" s="24" t="n"/>
      <c r="AD85" s="24" t="n"/>
      <c r="AE85" s="24" t="n"/>
    </row>
    <row r="86">
      <c r="A86" s="114" t="n"/>
      <c r="B86" s="114" t="n"/>
      <c r="C86" s="114" t="n"/>
      <c r="D86" s="114" t="n"/>
      <c r="E86" s="114" t="n"/>
      <c r="F86" s="114" t="n"/>
      <c r="G86" s="24" t="n"/>
      <c r="V86" s="24" t="n"/>
      <c r="Y86" s="24" t="n"/>
      <c r="Z86" s="24" t="n"/>
      <c r="AA86" s="24" t="n"/>
      <c r="AB86" s="24" t="n"/>
      <c r="AC86" s="24" t="n"/>
      <c r="AD86" s="24" t="n"/>
      <c r="AE86" s="24" t="n"/>
    </row>
    <row r="87">
      <c r="A87" s="114" t="n"/>
      <c r="B87" s="114" t="n"/>
      <c r="C87" s="114" t="n"/>
      <c r="D87" s="114" t="n"/>
      <c r="E87" s="114" t="n"/>
      <c r="F87" s="114" t="n"/>
      <c r="G87" s="24" t="n"/>
      <c r="V87" s="24" t="n"/>
      <c r="Y87" s="24" t="n"/>
      <c r="Z87" s="24" t="n"/>
      <c r="AA87" s="24" t="n"/>
      <c r="AB87" s="24" t="n"/>
      <c r="AC87" s="24" t="n"/>
      <c r="AD87" s="24" t="n"/>
      <c r="AE87" s="24" t="n"/>
    </row>
    <row r="88">
      <c r="A88" s="114" t="n"/>
      <c r="B88" s="114" t="n"/>
      <c r="C88" s="114" t="n"/>
      <c r="D88" s="114" t="n"/>
      <c r="E88" s="114" t="n"/>
      <c r="F88" s="114" t="n"/>
      <c r="G88" s="24" t="n"/>
      <c r="V88" s="24" t="n"/>
      <c r="Y88" s="24" t="n"/>
      <c r="Z88" s="24" t="n"/>
      <c r="AA88" s="24" t="n"/>
      <c r="AB88" s="24" t="n"/>
      <c r="AC88" s="24" t="n"/>
      <c r="AD88" s="24" t="n"/>
      <c r="AE88" s="24" t="n"/>
    </row>
    <row r="89">
      <c r="A89" s="114" t="n"/>
      <c r="B89" s="114" t="n"/>
      <c r="C89" s="114" t="n"/>
      <c r="D89" s="114" t="n"/>
      <c r="E89" s="114" t="n"/>
      <c r="F89" s="114" t="n"/>
      <c r="G89" s="24" t="n"/>
      <c r="V89" s="24" t="n"/>
      <c r="Y89" s="24" t="n"/>
      <c r="Z89" s="24" t="n"/>
      <c r="AA89" s="24" t="n"/>
      <c r="AB89" s="24" t="n"/>
      <c r="AC89" s="24" t="n"/>
      <c r="AD89" s="24" t="n"/>
      <c r="AE89" s="24" t="n"/>
    </row>
    <row r="90">
      <c r="A90" s="114" t="n"/>
      <c r="B90" s="114" t="n"/>
      <c r="C90" s="114" t="n"/>
      <c r="D90" s="114" t="n"/>
      <c r="E90" s="114" t="n"/>
      <c r="F90" s="114" t="n"/>
      <c r="G90" s="24" t="n"/>
      <c r="V90" s="24" t="n"/>
      <c r="Y90" s="24" t="n"/>
      <c r="Z90" s="24" t="n"/>
      <c r="AA90" s="24" t="n"/>
      <c r="AB90" s="24" t="n"/>
      <c r="AC90" s="24" t="n"/>
      <c r="AD90" s="24" t="n"/>
      <c r="AE90" s="24" t="n"/>
    </row>
    <row r="91">
      <c r="A91" s="114" t="n"/>
      <c r="B91" s="114" t="n"/>
      <c r="C91" s="114" t="n"/>
      <c r="D91" s="114" t="n"/>
      <c r="E91" s="114" t="n"/>
      <c r="F91" s="114" t="n"/>
      <c r="G91" s="24" t="n"/>
      <c r="V91" s="24" t="n"/>
      <c r="Y91" s="24" t="n"/>
      <c r="Z91" s="24" t="n"/>
      <c r="AA91" s="24" t="n"/>
      <c r="AB91" s="24" t="n"/>
      <c r="AC91" s="24" t="n"/>
      <c r="AD91" s="24" t="n"/>
      <c r="AE91" s="24" t="n"/>
    </row>
    <row r="92">
      <c r="A92" s="114" t="n"/>
      <c r="B92" s="114" t="n"/>
      <c r="C92" s="114" t="n"/>
      <c r="D92" s="114" t="n"/>
      <c r="E92" s="114" t="n"/>
      <c r="F92" s="114" t="n"/>
      <c r="G92" s="24" t="n"/>
      <c r="V92" s="24" t="n"/>
      <c r="Y92" s="24" t="n"/>
      <c r="Z92" s="24" t="n"/>
      <c r="AA92" s="24" t="n"/>
      <c r="AB92" s="24" t="n"/>
      <c r="AC92" s="24" t="n"/>
      <c r="AD92" s="24" t="n"/>
      <c r="AE92" s="24" t="n"/>
    </row>
    <row r="93">
      <c r="A93" s="114" t="n"/>
      <c r="B93" s="114" t="n"/>
      <c r="C93" s="114" t="n"/>
      <c r="D93" s="114" t="n"/>
      <c r="E93" s="114" t="n"/>
      <c r="F93" s="114" t="n"/>
      <c r="G93" s="24" t="n"/>
      <c r="V93" s="24" t="n"/>
      <c r="Y93" s="24" t="n"/>
      <c r="Z93" s="24" t="n"/>
      <c r="AA93" s="24" t="n"/>
      <c r="AB93" s="24" t="n"/>
      <c r="AC93" s="24" t="n"/>
      <c r="AD93" s="24" t="n"/>
      <c r="AE93" s="24" t="n"/>
    </row>
    <row r="94">
      <c r="A94" s="114" t="n"/>
      <c r="B94" s="114" t="n"/>
      <c r="C94" s="114" t="n"/>
      <c r="D94" s="114" t="n"/>
      <c r="E94" s="114" t="n"/>
      <c r="F94" s="114" t="n"/>
      <c r="G94" s="24" t="n"/>
      <c r="V94" s="24" t="n"/>
      <c r="Y94" s="24" t="n"/>
      <c r="Z94" s="24" t="n"/>
      <c r="AA94" s="24" t="n"/>
      <c r="AB94" s="24" t="n"/>
      <c r="AC94" s="24" t="n"/>
      <c r="AD94" s="24" t="n"/>
      <c r="AE94" s="24" t="n"/>
    </row>
    <row r="95">
      <c r="A95" s="114" t="n"/>
      <c r="B95" s="114" t="n"/>
      <c r="C95" s="114" t="n"/>
      <c r="D95" s="114" t="n"/>
      <c r="E95" s="114" t="n"/>
      <c r="F95" s="114" t="n"/>
      <c r="G95" s="24" t="n"/>
      <c r="V95" s="24" t="n"/>
      <c r="Y95" s="24" t="n"/>
      <c r="Z95" s="24" t="n"/>
      <c r="AA95" s="24" t="n"/>
      <c r="AB95" s="24" t="n"/>
      <c r="AC95" s="24" t="n"/>
      <c r="AD95" s="24" t="n"/>
      <c r="AE95" s="24" t="n"/>
    </row>
    <row r="96">
      <c r="A96" s="114" t="n"/>
      <c r="B96" s="114" t="n"/>
      <c r="C96" s="114" t="n"/>
      <c r="D96" s="114" t="n"/>
      <c r="E96" s="114" t="n"/>
      <c r="F96" s="114" t="n"/>
      <c r="G96" s="24" t="n"/>
      <c r="V96" s="24" t="n"/>
      <c r="Y96" s="24" t="n"/>
      <c r="Z96" s="24" t="n"/>
      <c r="AA96" s="24" t="n"/>
      <c r="AB96" s="24" t="n"/>
      <c r="AC96" s="24" t="n"/>
      <c r="AD96" s="24" t="n"/>
      <c r="AE96" s="24" t="n"/>
    </row>
    <row r="97">
      <c r="A97" s="114" t="n"/>
      <c r="B97" s="114" t="n"/>
      <c r="C97" s="114" t="n"/>
      <c r="D97" s="114" t="n"/>
      <c r="E97" s="114" t="n"/>
      <c r="F97" s="114" t="n"/>
      <c r="G97" s="24" t="n"/>
      <c r="V97" s="24" t="n"/>
      <c r="Y97" s="24" t="n"/>
      <c r="Z97" s="24" t="n"/>
      <c r="AA97" s="24" t="n"/>
      <c r="AB97" s="24" t="n"/>
      <c r="AC97" s="24" t="n"/>
      <c r="AD97" s="24" t="n"/>
      <c r="AE97" s="24" t="n"/>
    </row>
    <row r="98">
      <c r="A98" s="114" t="n"/>
      <c r="B98" s="114" t="n"/>
      <c r="C98" s="114" t="n"/>
      <c r="D98" s="114" t="n"/>
      <c r="E98" s="114" t="n"/>
      <c r="F98" s="114" t="n"/>
      <c r="G98" s="24" t="n"/>
      <c r="V98" s="24" t="n"/>
      <c r="Y98" s="24" t="n"/>
      <c r="Z98" s="24" t="n"/>
      <c r="AA98" s="24" t="n"/>
      <c r="AB98" s="24" t="n"/>
      <c r="AC98" s="24" t="n"/>
      <c r="AD98" s="24" t="n"/>
      <c r="AE98" s="24" t="n"/>
    </row>
    <row r="99">
      <c r="A99" s="114" t="n"/>
      <c r="B99" s="114" t="n"/>
      <c r="C99" s="114" t="n"/>
      <c r="D99" s="114" t="n"/>
      <c r="E99" s="114" t="n"/>
      <c r="F99" s="114" t="n"/>
      <c r="G99" s="24" t="n"/>
      <c r="V99" s="24" t="n"/>
      <c r="Y99" s="24" t="n"/>
      <c r="Z99" s="24" t="n"/>
      <c r="AA99" s="24" t="n"/>
      <c r="AB99" s="24" t="n"/>
      <c r="AC99" s="24" t="n"/>
      <c r="AD99" s="24" t="n"/>
      <c r="AE99" s="24" t="n"/>
    </row>
    <row r="100">
      <c r="A100" s="114" t="n"/>
      <c r="B100" s="114" t="n"/>
      <c r="C100" s="114" t="n"/>
      <c r="D100" s="114" t="n"/>
      <c r="E100" s="114" t="n"/>
      <c r="F100" s="114" t="n"/>
      <c r="G100" s="24" t="n"/>
      <c r="V100" s="24" t="n"/>
      <c r="Y100" s="24" t="n"/>
      <c r="Z100" s="24" t="n"/>
      <c r="AA100" s="24" t="n"/>
      <c r="AB100" s="24" t="n"/>
      <c r="AC100" s="24" t="n"/>
      <c r="AD100" s="24" t="n"/>
      <c r="AE100" s="24" t="n"/>
    </row>
    <row r="101">
      <c r="A101" s="114" t="n"/>
      <c r="B101" s="114" t="n"/>
      <c r="C101" s="114" t="n"/>
      <c r="D101" s="114" t="n"/>
      <c r="E101" s="114" t="n"/>
      <c r="F101" s="114" t="n"/>
      <c r="G101" s="24" t="n"/>
      <c r="V101" s="24" t="n"/>
      <c r="Y101" s="24" t="n"/>
      <c r="Z101" s="24" t="n"/>
      <c r="AA101" s="24" t="n"/>
      <c r="AB101" s="24" t="n"/>
      <c r="AC101" s="24" t="n"/>
      <c r="AD101" s="24" t="n"/>
      <c r="AE101" s="24" t="n"/>
    </row>
    <row r="102">
      <c r="A102" s="114" t="n"/>
      <c r="B102" s="114" t="n"/>
      <c r="C102" s="114" t="n"/>
      <c r="D102" s="114" t="n"/>
      <c r="E102" s="114" t="n"/>
      <c r="F102" s="114" t="n"/>
      <c r="G102" s="24" t="n"/>
      <c r="V102" s="24" t="n"/>
      <c r="Y102" s="24" t="n"/>
      <c r="Z102" s="24" t="n"/>
      <c r="AA102" s="24" t="n"/>
      <c r="AB102" s="24" t="n"/>
      <c r="AC102" s="24" t="n"/>
      <c r="AD102" s="24" t="n"/>
      <c r="AE102" s="24" t="n"/>
    </row>
    <row r="103">
      <c r="A103" s="114" t="n"/>
      <c r="B103" s="114" t="n"/>
      <c r="C103" s="114" t="n"/>
      <c r="D103" s="114" t="n"/>
      <c r="E103" s="114" t="n"/>
      <c r="F103" s="114" t="n"/>
      <c r="G103" s="24" t="n"/>
      <c r="V103" s="24" t="n"/>
      <c r="Y103" s="24" t="n"/>
      <c r="Z103" s="24" t="n"/>
      <c r="AA103" s="24" t="n"/>
      <c r="AB103" s="24" t="n"/>
      <c r="AC103" s="24" t="n"/>
      <c r="AD103" s="24" t="n"/>
      <c r="AE103" s="24" t="n"/>
    </row>
    <row r="104">
      <c r="A104" s="114" t="n"/>
      <c r="B104" s="114" t="n"/>
      <c r="C104" s="114" t="n"/>
      <c r="D104" s="114" t="n"/>
      <c r="E104" s="114" t="n"/>
      <c r="F104" s="114" t="n"/>
      <c r="G104" s="24" t="n"/>
      <c r="V104" s="24" t="n"/>
      <c r="Y104" s="24" t="n"/>
      <c r="Z104" s="24" t="n"/>
      <c r="AA104" s="24" t="n"/>
      <c r="AB104" s="24" t="n"/>
      <c r="AC104" s="24" t="n"/>
      <c r="AD104" s="24" t="n"/>
      <c r="AE104" s="24" t="n"/>
    </row>
    <row r="105">
      <c r="A105" s="114" t="n"/>
      <c r="B105" s="114" t="n"/>
      <c r="C105" s="114" t="n"/>
      <c r="D105" s="114" t="n"/>
      <c r="E105" s="114" t="n"/>
      <c r="F105" s="114" t="n"/>
      <c r="G105" s="24" t="n"/>
      <c r="V105" s="24" t="n"/>
      <c r="Y105" s="24" t="n"/>
      <c r="Z105" s="24" t="n"/>
      <c r="AA105" s="24" t="n"/>
      <c r="AB105" s="24" t="n"/>
      <c r="AC105" s="24" t="n"/>
      <c r="AD105" s="24" t="n"/>
      <c r="AE105" s="24" t="n"/>
    </row>
    <row r="106">
      <c r="A106" s="114" t="n"/>
      <c r="B106" s="114" t="n"/>
      <c r="C106" s="114" t="n"/>
      <c r="D106" s="114" t="n"/>
      <c r="E106" s="114" t="n"/>
      <c r="F106" s="114" t="n"/>
      <c r="G106" s="24" t="n"/>
      <c r="V106" s="24" t="n"/>
      <c r="Y106" s="24" t="n"/>
      <c r="Z106" s="24" t="n"/>
      <c r="AA106" s="24" t="n"/>
      <c r="AB106" s="24" t="n"/>
      <c r="AC106" s="24" t="n"/>
      <c r="AD106" s="24" t="n"/>
      <c r="AE106" s="24" t="n"/>
    </row>
    <row r="107">
      <c r="A107" s="114" t="n"/>
      <c r="B107" s="114" t="n"/>
      <c r="C107" s="114" t="n"/>
      <c r="D107" s="114" t="n"/>
      <c r="E107" s="114" t="n"/>
      <c r="F107" s="114" t="n"/>
      <c r="G107" s="24" t="n"/>
      <c r="V107" s="24" t="n"/>
      <c r="Y107" s="24" t="n"/>
      <c r="Z107" s="24" t="n"/>
      <c r="AA107" s="24" t="n"/>
      <c r="AB107" s="24" t="n"/>
      <c r="AC107" s="24" t="n"/>
      <c r="AD107" s="24" t="n"/>
      <c r="AE107" s="24" t="n"/>
    </row>
    <row r="108">
      <c r="A108" s="114" t="n"/>
      <c r="B108" s="114" t="n"/>
      <c r="C108" s="114" t="n"/>
      <c r="D108" s="114" t="n"/>
      <c r="E108" s="114" t="n"/>
      <c r="F108" s="114" t="n"/>
      <c r="G108" s="24" t="n"/>
      <c r="V108" s="24" t="n"/>
      <c r="Y108" s="24" t="n"/>
      <c r="Z108" s="24" t="n"/>
      <c r="AA108" s="24" t="n"/>
      <c r="AB108" s="24" t="n"/>
      <c r="AC108" s="24" t="n"/>
      <c r="AD108" s="24" t="n"/>
      <c r="AE108" s="24" t="n"/>
    </row>
    <row r="109">
      <c r="A109" s="114" t="n"/>
      <c r="B109" s="114" t="n"/>
      <c r="C109" s="114" t="n"/>
      <c r="D109" s="114" t="n"/>
      <c r="E109" s="114" t="n"/>
      <c r="F109" s="114" t="n"/>
      <c r="G109" s="24" t="n"/>
      <c r="V109" s="24" t="n"/>
      <c r="Y109" s="24" t="n"/>
      <c r="Z109" s="24" t="n"/>
      <c r="AA109" s="24" t="n"/>
      <c r="AB109" s="24" t="n"/>
      <c r="AC109" s="24" t="n"/>
      <c r="AD109" s="24" t="n"/>
      <c r="AE109" s="24" t="n"/>
    </row>
    <row r="110">
      <c r="A110" s="114" t="n"/>
      <c r="B110" s="114" t="n"/>
      <c r="C110" s="114" t="n"/>
      <c r="D110" s="114" t="n"/>
      <c r="E110" s="114" t="n"/>
      <c r="F110" s="114" t="n"/>
      <c r="G110" s="24" t="n"/>
      <c r="V110" s="24" t="n"/>
      <c r="Y110" s="24" t="n"/>
      <c r="Z110" s="24" t="n"/>
      <c r="AA110" s="24" t="n"/>
      <c r="AB110" s="24" t="n"/>
      <c r="AC110" s="24" t="n"/>
      <c r="AD110" s="24" t="n"/>
      <c r="AE110" s="24" t="n"/>
    </row>
    <row r="111">
      <c r="A111" s="114" t="n"/>
      <c r="B111" s="114" t="n"/>
      <c r="C111" s="114" t="n"/>
      <c r="D111" s="114" t="n"/>
      <c r="E111" s="114" t="n"/>
      <c r="F111" s="114" t="n"/>
      <c r="G111" s="24" t="n"/>
      <c r="V111" s="24" t="n"/>
      <c r="Y111" s="24" t="n"/>
      <c r="Z111" s="24" t="n"/>
      <c r="AA111" s="24" t="n"/>
      <c r="AB111" s="24" t="n"/>
      <c r="AC111" s="24" t="n"/>
      <c r="AD111" s="24" t="n"/>
      <c r="AE111" s="24" t="n"/>
    </row>
    <row r="112">
      <c r="A112" s="114" t="n"/>
      <c r="B112" s="114" t="n"/>
      <c r="C112" s="114" t="n"/>
      <c r="D112" s="114" t="n"/>
      <c r="E112" s="114" t="n"/>
      <c r="F112" s="114" t="n"/>
      <c r="G112" s="24" t="n"/>
      <c r="V112" s="24" t="n"/>
      <c r="Y112" s="24" t="n"/>
      <c r="Z112" s="24" t="n"/>
      <c r="AA112" s="24" t="n"/>
      <c r="AB112" s="24" t="n"/>
      <c r="AC112" s="24" t="n"/>
      <c r="AD112" s="24" t="n"/>
      <c r="AE112" s="24" t="n"/>
    </row>
    <row r="113">
      <c r="A113" s="114" t="n"/>
      <c r="B113" s="114" t="n"/>
      <c r="C113" s="114" t="n"/>
      <c r="D113" s="114" t="n"/>
      <c r="E113" s="114" t="n"/>
      <c r="F113" s="114" t="n"/>
      <c r="G113" s="24" t="n"/>
      <c r="V113" s="24" t="n"/>
      <c r="Y113" s="24" t="n"/>
      <c r="Z113" s="24" t="n"/>
      <c r="AA113" s="24" t="n"/>
      <c r="AB113" s="24" t="n"/>
      <c r="AC113" s="24" t="n"/>
      <c r="AD113" s="24" t="n"/>
      <c r="AE113" s="24" t="n"/>
    </row>
    <row r="114">
      <c r="A114" s="114" t="n"/>
      <c r="B114" s="114" t="n"/>
      <c r="C114" s="114" t="n"/>
      <c r="D114" s="114" t="n"/>
      <c r="E114" s="114" t="n"/>
      <c r="F114" s="114" t="n"/>
      <c r="G114" s="24" t="n"/>
      <c r="V114" s="24" t="n"/>
      <c r="Y114" s="24" t="n"/>
      <c r="Z114" s="24" t="n"/>
      <c r="AA114" s="24" t="n"/>
      <c r="AB114" s="24" t="n"/>
      <c r="AC114" s="24" t="n"/>
      <c r="AD114" s="24" t="n"/>
      <c r="AE114" s="24" t="n"/>
    </row>
    <row r="115">
      <c r="A115" s="114" t="n"/>
      <c r="B115" s="114" t="n"/>
      <c r="C115" s="114" t="n"/>
      <c r="D115" s="114" t="n"/>
      <c r="E115" s="114" t="n"/>
      <c r="F115" s="114" t="n"/>
      <c r="G115" s="24" t="n"/>
      <c r="V115" s="24" t="n"/>
      <c r="Y115" s="24" t="n"/>
      <c r="Z115" s="24" t="n"/>
      <c r="AA115" s="24" t="n"/>
      <c r="AB115" s="24" t="n"/>
      <c r="AC115" s="24" t="n"/>
      <c r="AD115" s="24" t="n"/>
      <c r="AE115" s="24" t="n"/>
    </row>
    <row r="116">
      <c r="A116" s="114" t="n"/>
      <c r="B116" s="114" t="n"/>
      <c r="C116" s="114" t="n"/>
      <c r="D116" s="114" t="n"/>
      <c r="E116" s="114" t="n"/>
      <c r="F116" s="114" t="n"/>
      <c r="G116" s="24" t="n"/>
      <c r="V116" s="24" t="n"/>
      <c r="Y116" s="24" t="n"/>
      <c r="Z116" s="24" t="n"/>
      <c r="AA116" s="24" t="n"/>
      <c r="AB116" s="24" t="n"/>
      <c r="AC116" s="24" t="n"/>
      <c r="AD116" s="24" t="n"/>
      <c r="AE116" s="24" t="n"/>
    </row>
    <row r="117">
      <c r="A117" s="114" t="n"/>
      <c r="B117" s="114" t="n"/>
      <c r="C117" s="114" t="n"/>
      <c r="D117" s="114" t="n"/>
      <c r="E117" s="114" t="n"/>
      <c r="F117" s="114" t="n"/>
      <c r="G117" s="24" t="n"/>
      <c r="V117" s="24" t="n"/>
      <c r="Y117" s="24" t="n"/>
      <c r="Z117" s="24" t="n"/>
      <c r="AA117" s="24" t="n"/>
      <c r="AB117" s="24" t="n"/>
      <c r="AC117" s="24" t="n"/>
      <c r="AD117" s="24" t="n"/>
      <c r="AE117" s="24" t="n"/>
    </row>
    <row r="118">
      <c r="A118" s="114" t="n"/>
      <c r="B118" s="114" t="n"/>
      <c r="C118" s="114" t="n"/>
      <c r="D118" s="114" t="n"/>
      <c r="E118" s="114" t="n"/>
      <c r="F118" s="114" t="n"/>
      <c r="G118" s="24" t="n"/>
      <c r="V118" s="24" t="n"/>
      <c r="Y118" s="24" t="n"/>
      <c r="Z118" s="24" t="n"/>
      <c r="AA118" s="24" t="n"/>
      <c r="AB118" s="24" t="n"/>
      <c r="AC118" s="24" t="n"/>
      <c r="AD118" s="24" t="n"/>
      <c r="AE118" s="24" t="n"/>
    </row>
    <row r="119">
      <c r="A119" s="114" t="n"/>
      <c r="B119" s="114" t="n"/>
      <c r="C119" s="114" t="n"/>
      <c r="D119" s="114" t="n"/>
      <c r="E119" s="114" t="n"/>
      <c r="F119" s="114" t="n"/>
      <c r="G119" s="24" t="n"/>
      <c r="V119" s="24" t="n"/>
      <c r="Y119" s="24" t="n"/>
      <c r="Z119" s="24" t="n"/>
      <c r="AA119" s="24" t="n"/>
      <c r="AB119" s="24" t="n"/>
      <c r="AC119" s="24" t="n"/>
      <c r="AD119" s="24" t="n"/>
      <c r="AE119" s="24" t="n"/>
    </row>
    <row r="120">
      <c r="A120" s="114" t="n"/>
      <c r="B120" s="114" t="n"/>
      <c r="C120" s="114" t="n"/>
      <c r="D120" s="114" t="n"/>
      <c r="E120" s="114" t="n"/>
      <c r="F120" s="114" t="n"/>
      <c r="G120" s="24" t="n"/>
      <c r="V120" s="24" t="n"/>
      <c r="Y120" s="24" t="n"/>
      <c r="Z120" s="24" t="n"/>
      <c r="AA120" s="24" t="n"/>
      <c r="AB120" s="24" t="n"/>
      <c r="AC120" s="24" t="n"/>
      <c r="AD120" s="24" t="n"/>
      <c r="AE120" s="24" t="n"/>
    </row>
    <row r="121">
      <c r="A121" s="114" t="n"/>
      <c r="B121" s="114" t="n"/>
      <c r="C121" s="114" t="n"/>
      <c r="D121" s="114" t="n"/>
      <c r="E121" s="114" t="n"/>
      <c r="F121" s="114" t="n"/>
      <c r="G121" s="24" t="n"/>
      <c r="V121" s="24" t="n"/>
      <c r="Y121" s="24" t="n"/>
      <c r="Z121" s="24" t="n"/>
      <c r="AA121" s="24" t="n"/>
      <c r="AB121" s="24" t="n"/>
      <c r="AC121" s="24" t="n"/>
      <c r="AD121" s="24" t="n"/>
      <c r="AE121" s="24" t="n"/>
    </row>
    <row r="122">
      <c r="A122" s="114" t="n"/>
      <c r="B122" s="114" t="n"/>
      <c r="C122" s="114" t="n"/>
      <c r="D122" s="114" t="n"/>
      <c r="E122" s="114" t="n"/>
      <c r="F122" s="114" t="n"/>
      <c r="G122" s="24" t="n"/>
      <c r="V122" s="24" t="n"/>
      <c r="Y122" s="24" t="n"/>
      <c r="Z122" s="24" t="n"/>
      <c r="AA122" s="24" t="n"/>
      <c r="AB122" s="24" t="n"/>
      <c r="AC122" s="24" t="n"/>
      <c r="AD122" s="24" t="n"/>
      <c r="AE122" s="24" t="n"/>
    </row>
    <row r="123">
      <c r="A123" s="114" t="n"/>
      <c r="B123" s="114" t="n"/>
      <c r="C123" s="114" t="n"/>
      <c r="D123" s="114" t="n"/>
      <c r="E123" s="114" t="n"/>
      <c r="F123" s="114" t="n"/>
      <c r="G123" s="24" t="n"/>
      <c r="V123" s="24" t="n"/>
      <c r="Y123" s="24" t="n"/>
      <c r="Z123" s="24" t="n"/>
      <c r="AA123" s="24" t="n"/>
      <c r="AB123" s="24" t="n"/>
      <c r="AC123" s="24" t="n"/>
      <c r="AD123" s="24" t="n"/>
      <c r="AE123" s="24" t="n"/>
    </row>
    <row r="124">
      <c r="A124" s="114" t="n"/>
      <c r="B124" s="114" t="n"/>
      <c r="C124" s="114" t="n"/>
      <c r="D124" s="114" t="n"/>
      <c r="E124" s="114" t="n"/>
      <c r="F124" s="114" t="n"/>
      <c r="G124" s="24" t="n"/>
      <c r="V124" s="24" t="n"/>
      <c r="Y124" s="24" t="n"/>
      <c r="Z124" s="24" t="n"/>
      <c r="AA124" s="24" t="n"/>
      <c r="AB124" s="24" t="n"/>
      <c r="AC124" s="24" t="n"/>
      <c r="AD124" s="24" t="n"/>
      <c r="AE124" s="24" t="n"/>
    </row>
    <row r="125">
      <c r="A125" s="114" t="n"/>
      <c r="B125" s="114" t="n"/>
      <c r="C125" s="114" t="n"/>
      <c r="D125" s="114" t="n"/>
      <c r="E125" s="114" t="n"/>
      <c r="F125" s="114" t="n"/>
      <c r="G125" s="24" t="n"/>
      <c r="V125" s="24" t="n"/>
      <c r="Y125" s="24" t="n"/>
      <c r="Z125" s="24" t="n"/>
      <c r="AA125" s="24" t="n"/>
      <c r="AB125" s="24" t="n"/>
      <c r="AC125" s="24" t="n"/>
      <c r="AD125" s="24" t="n"/>
      <c r="AE125" s="24" t="n"/>
    </row>
    <row r="126">
      <c r="A126" s="114" t="n"/>
      <c r="B126" s="114" t="n"/>
      <c r="C126" s="114" t="n"/>
      <c r="D126" s="114" t="n"/>
      <c r="E126" s="114" t="n"/>
      <c r="F126" s="114" t="n"/>
      <c r="G126" s="24" t="n"/>
      <c r="V126" s="24" t="n"/>
      <c r="Y126" s="24" t="n"/>
      <c r="Z126" s="24" t="n"/>
      <c r="AA126" s="24" t="n"/>
      <c r="AB126" s="24" t="n"/>
      <c r="AC126" s="24" t="n"/>
      <c r="AD126" s="24" t="n"/>
      <c r="AE126" s="24" t="n"/>
    </row>
    <row r="127">
      <c r="A127" s="114" t="n"/>
      <c r="B127" s="114" t="n"/>
      <c r="C127" s="114" t="n"/>
      <c r="D127" s="114" t="n"/>
      <c r="E127" s="114" t="n"/>
      <c r="F127" s="114" t="n"/>
      <c r="G127" s="24" t="n"/>
      <c r="V127" s="24" t="n"/>
      <c r="Y127" s="24" t="n"/>
      <c r="Z127" s="24" t="n"/>
      <c r="AA127" s="24" t="n"/>
      <c r="AB127" s="24" t="n"/>
      <c r="AC127" s="24" t="n"/>
      <c r="AD127" s="24" t="n"/>
      <c r="AE127" s="24" t="n"/>
    </row>
    <row r="128">
      <c r="A128" s="114" t="n"/>
      <c r="B128" s="114" t="n"/>
      <c r="C128" s="114" t="n"/>
      <c r="D128" s="114" t="n"/>
      <c r="E128" s="114" t="n"/>
      <c r="F128" s="114" t="n"/>
      <c r="G128" s="24" t="n"/>
      <c r="V128" s="24" t="n"/>
      <c r="Y128" s="24" t="n"/>
      <c r="Z128" s="24" t="n"/>
      <c r="AA128" s="24" t="n"/>
      <c r="AB128" s="24" t="n"/>
      <c r="AC128" s="24" t="n"/>
      <c r="AD128" s="24" t="n"/>
      <c r="AE128" s="24" t="n"/>
    </row>
    <row r="129">
      <c r="A129" s="114" t="n"/>
      <c r="B129" s="114" t="n"/>
      <c r="C129" s="114" t="n"/>
      <c r="D129" s="114" t="n"/>
      <c r="E129" s="114" t="n"/>
      <c r="F129" s="114" t="n"/>
      <c r="G129" s="24" t="n"/>
      <c r="V129" s="24" t="n"/>
      <c r="Y129" s="24" t="n"/>
      <c r="Z129" s="24" t="n"/>
      <c r="AA129" s="24" t="n"/>
      <c r="AB129" s="24" t="n"/>
      <c r="AC129" s="24" t="n"/>
      <c r="AD129" s="24" t="n"/>
      <c r="AE129" s="24" t="n"/>
    </row>
    <row r="130">
      <c r="A130" s="114" t="n"/>
      <c r="B130" s="114" t="n"/>
      <c r="C130" s="114" t="n"/>
      <c r="D130" s="114" t="n"/>
      <c r="E130" s="114" t="n"/>
      <c r="F130" s="114" t="n"/>
      <c r="G130" s="24" t="n"/>
      <c r="V130" s="24" t="n"/>
      <c r="Y130" s="24" t="n"/>
      <c r="Z130" s="24" t="n"/>
      <c r="AA130" s="24" t="n"/>
      <c r="AB130" s="24" t="n"/>
      <c r="AC130" s="24" t="n"/>
      <c r="AD130" s="24" t="n"/>
      <c r="AE130" s="24" t="n"/>
    </row>
    <row r="131">
      <c r="A131" s="114" t="n"/>
      <c r="B131" s="114" t="n"/>
      <c r="C131" s="114" t="n"/>
      <c r="D131" s="114" t="n"/>
      <c r="E131" s="114" t="n"/>
      <c r="F131" s="114" t="n"/>
      <c r="G131" s="24" t="n"/>
      <c r="V131" s="24" t="n"/>
      <c r="Y131" s="24" t="n"/>
      <c r="Z131" s="24" t="n"/>
      <c r="AA131" s="24" t="n"/>
      <c r="AB131" s="24" t="n"/>
      <c r="AC131" s="24" t="n"/>
      <c r="AD131" s="24" t="n"/>
      <c r="AE131" s="24" t="n"/>
    </row>
    <row r="132">
      <c r="A132" s="114" t="n"/>
      <c r="B132" s="114" t="n"/>
      <c r="C132" s="114" t="n"/>
      <c r="D132" s="114" t="n"/>
      <c r="E132" s="114" t="n"/>
      <c r="F132" s="114" t="n"/>
      <c r="G132" s="24" t="n"/>
      <c r="V132" s="24" t="n"/>
      <c r="Y132" s="24" t="n"/>
      <c r="Z132" s="24" t="n"/>
      <c r="AA132" s="24" t="n"/>
      <c r="AB132" s="24" t="n"/>
      <c r="AC132" s="24" t="n"/>
      <c r="AD132" s="24" t="n"/>
      <c r="AE132" s="24" t="n"/>
    </row>
    <row r="133">
      <c r="A133" s="114" t="n"/>
      <c r="B133" s="114" t="n"/>
      <c r="C133" s="114" t="n"/>
      <c r="D133" s="114" t="n"/>
      <c r="E133" s="114" t="n"/>
      <c r="F133" s="114" t="n"/>
      <c r="G133" s="24" t="n"/>
      <c r="V133" s="24" t="n"/>
      <c r="Y133" s="24" t="n"/>
      <c r="Z133" s="24" t="n"/>
      <c r="AA133" s="24" t="n"/>
      <c r="AB133" s="24" t="n"/>
      <c r="AC133" s="24" t="n"/>
      <c r="AD133" s="24" t="n"/>
      <c r="AE133" s="24" t="n"/>
    </row>
    <row r="134">
      <c r="A134" s="114" t="n"/>
      <c r="B134" s="114" t="n"/>
      <c r="C134" s="114" t="n"/>
      <c r="D134" s="114" t="n"/>
      <c r="E134" s="114" t="n"/>
      <c r="F134" s="114" t="n"/>
      <c r="G134" s="24" t="n"/>
      <c r="V134" s="24" t="n"/>
      <c r="Y134" s="24" t="n"/>
      <c r="Z134" s="24" t="n"/>
      <c r="AA134" s="24" t="n"/>
      <c r="AB134" s="24" t="n"/>
      <c r="AC134" s="24" t="n"/>
      <c r="AD134" s="24" t="n"/>
      <c r="AE134" s="24" t="n"/>
    </row>
    <row r="135">
      <c r="A135" s="114" t="n"/>
      <c r="B135" s="114" t="n"/>
      <c r="C135" s="114" t="n"/>
      <c r="D135" s="114" t="n"/>
      <c r="E135" s="114" t="n"/>
      <c r="F135" s="114" t="n"/>
      <c r="G135" s="24" t="n"/>
      <c r="V135" s="24" t="n"/>
      <c r="Y135" s="24" t="n"/>
      <c r="Z135" s="24" t="n"/>
      <c r="AA135" s="24" t="n"/>
      <c r="AB135" s="24" t="n"/>
      <c r="AC135" s="24" t="n"/>
      <c r="AD135" s="24" t="n"/>
      <c r="AE135" s="24" t="n"/>
    </row>
    <row r="136">
      <c r="A136" s="114" t="n"/>
      <c r="B136" s="114" t="n"/>
      <c r="C136" s="114" t="n"/>
      <c r="D136" s="114" t="n"/>
      <c r="E136" s="114" t="n"/>
      <c r="F136" s="114" t="n"/>
      <c r="G136" s="24" t="n"/>
      <c r="V136" s="24" t="n"/>
      <c r="Y136" s="24" t="n"/>
      <c r="Z136" s="24" t="n"/>
      <c r="AA136" s="24" t="n"/>
      <c r="AB136" s="24" t="n"/>
      <c r="AC136" s="24" t="n"/>
      <c r="AD136" s="24" t="n"/>
      <c r="AE136" s="24" t="n"/>
    </row>
    <row r="137">
      <c r="A137" s="114" t="n"/>
      <c r="B137" s="114" t="n"/>
      <c r="C137" s="114" t="n"/>
      <c r="D137" s="114" t="n"/>
      <c r="E137" s="114" t="n"/>
      <c r="F137" s="114" t="n"/>
      <c r="G137" s="24" t="n"/>
      <c r="V137" s="24" t="n"/>
      <c r="Y137" s="24" t="n"/>
      <c r="Z137" s="24" t="n"/>
      <c r="AA137" s="24" t="n"/>
      <c r="AB137" s="24" t="n"/>
      <c r="AC137" s="24" t="n"/>
      <c r="AD137" s="24" t="n"/>
      <c r="AE137" s="24" t="n"/>
    </row>
    <row r="138">
      <c r="A138" s="114" t="n"/>
      <c r="B138" s="114" t="n"/>
      <c r="C138" s="114" t="n"/>
      <c r="D138" s="114" t="n"/>
      <c r="E138" s="114" t="n"/>
      <c r="F138" s="114" t="n"/>
      <c r="G138" s="24" t="n"/>
      <c r="V138" s="24" t="n"/>
      <c r="Y138" s="24" t="n"/>
      <c r="Z138" s="24" t="n"/>
      <c r="AA138" s="24" t="n"/>
      <c r="AB138" s="24" t="n"/>
      <c r="AC138" s="24" t="n"/>
      <c r="AD138" s="24" t="n"/>
      <c r="AE138" s="24" t="n"/>
    </row>
    <row r="139">
      <c r="A139" s="114" t="n"/>
      <c r="B139" s="114" t="n"/>
      <c r="C139" s="114" t="n"/>
      <c r="D139" s="114" t="n"/>
      <c r="E139" s="114" t="n"/>
      <c r="F139" s="114" t="n"/>
      <c r="G139" s="24" t="n"/>
      <c r="V139" s="24" t="n"/>
      <c r="Y139" s="24" t="n"/>
      <c r="Z139" s="24" t="n"/>
      <c r="AA139" s="24" t="n"/>
      <c r="AB139" s="24" t="n"/>
      <c r="AC139" s="24" t="n"/>
      <c r="AD139" s="24" t="n"/>
      <c r="AE139" s="24" t="n"/>
    </row>
    <row r="140">
      <c r="A140" s="114" t="n"/>
      <c r="B140" s="114" t="n"/>
      <c r="C140" s="114" t="n"/>
      <c r="D140" s="114" t="n"/>
      <c r="E140" s="114" t="n"/>
      <c r="F140" s="114" t="n"/>
      <c r="G140" s="24" t="n"/>
      <c r="V140" s="24" t="n"/>
      <c r="Y140" s="24" t="n"/>
      <c r="Z140" s="24" t="n"/>
      <c r="AA140" s="24" t="n"/>
      <c r="AB140" s="24" t="n"/>
      <c r="AC140" s="24" t="n"/>
      <c r="AD140" s="24" t="n"/>
      <c r="AE140" s="24" t="n"/>
    </row>
    <row r="141">
      <c r="A141" s="114" t="n"/>
      <c r="B141" s="114" t="n"/>
      <c r="C141" s="114" t="n"/>
      <c r="D141" s="114" t="n"/>
      <c r="E141" s="114" t="n"/>
      <c r="F141" s="114" t="n"/>
      <c r="G141" s="24" t="n"/>
      <c r="V141" s="24" t="n"/>
      <c r="Y141" s="24" t="n"/>
      <c r="Z141" s="24" t="n"/>
      <c r="AA141" s="24" t="n"/>
      <c r="AB141" s="24" t="n"/>
      <c r="AC141" s="24" t="n"/>
      <c r="AD141" s="24" t="n"/>
      <c r="AE141" s="24" t="n"/>
    </row>
    <row r="142">
      <c r="A142" s="114" t="n"/>
      <c r="B142" s="114" t="n"/>
      <c r="C142" s="114" t="n"/>
      <c r="D142" s="114" t="n"/>
      <c r="E142" s="114" t="n"/>
      <c r="F142" s="114" t="n"/>
      <c r="G142" s="24" t="n"/>
      <c r="V142" s="24" t="n"/>
      <c r="Y142" s="24" t="n"/>
      <c r="Z142" s="24" t="n"/>
      <c r="AA142" s="24" t="n"/>
      <c r="AB142" s="24" t="n"/>
      <c r="AC142" s="24" t="n"/>
      <c r="AD142" s="24" t="n"/>
      <c r="AE142" s="24" t="n"/>
    </row>
    <row r="143">
      <c r="A143" s="114" t="n"/>
      <c r="B143" s="114" t="n"/>
      <c r="C143" s="114" t="n"/>
      <c r="D143" s="114" t="n"/>
      <c r="E143" s="114" t="n"/>
      <c r="F143" s="114" t="n"/>
      <c r="G143" s="24" t="n"/>
      <c r="V143" s="24" t="n"/>
      <c r="Y143" s="24" t="n"/>
      <c r="Z143" s="24" t="n"/>
      <c r="AA143" s="24" t="n"/>
      <c r="AB143" s="24" t="n"/>
      <c r="AC143" s="24" t="n"/>
      <c r="AD143" s="24" t="n"/>
      <c r="AE143" s="24" t="n"/>
    </row>
    <row r="144">
      <c r="A144" s="114" t="n"/>
      <c r="B144" s="114" t="n"/>
      <c r="C144" s="114" t="n"/>
      <c r="D144" s="114" t="n"/>
      <c r="E144" s="114" t="n"/>
      <c r="F144" s="114" t="n"/>
      <c r="G144" s="24" t="n"/>
      <c r="V144" s="24" t="n"/>
      <c r="Y144" s="24" t="n"/>
      <c r="Z144" s="24" t="n"/>
      <c r="AA144" s="24" t="n"/>
      <c r="AB144" s="24" t="n"/>
      <c r="AC144" s="24" t="n"/>
      <c r="AD144" s="24" t="n"/>
      <c r="AE144" s="24" t="n"/>
    </row>
    <row r="145">
      <c r="A145" s="114" t="n"/>
      <c r="B145" s="114" t="n"/>
      <c r="C145" s="114" t="n"/>
      <c r="D145" s="114" t="n"/>
      <c r="E145" s="114" t="n"/>
      <c r="F145" s="114" t="n"/>
      <c r="G145" s="24" t="n"/>
      <c r="V145" s="24" t="n"/>
      <c r="Y145" s="24" t="n"/>
      <c r="Z145" s="24" t="n"/>
      <c r="AA145" s="24" t="n"/>
      <c r="AB145" s="24" t="n"/>
      <c r="AC145" s="24" t="n"/>
      <c r="AD145" s="24" t="n"/>
      <c r="AE145" s="24" t="n"/>
    </row>
    <row r="146">
      <c r="A146" s="114" t="n"/>
      <c r="B146" s="114" t="n"/>
      <c r="C146" s="114" t="n"/>
      <c r="D146" s="114" t="n"/>
      <c r="E146" s="114" t="n"/>
      <c r="F146" s="114" t="n"/>
      <c r="G146" s="24" t="n"/>
      <c r="V146" s="24" t="n"/>
      <c r="Y146" s="24" t="n"/>
      <c r="Z146" s="24" t="n"/>
      <c r="AA146" s="24" t="n"/>
      <c r="AB146" s="24" t="n"/>
      <c r="AC146" s="24" t="n"/>
      <c r="AD146" s="24" t="n"/>
      <c r="AE146" s="24" t="n"/>
    </row>
    <row r="147">
      <c r="A147" s="114" t="n"/>
      <c r="B147" s="114" t="n"/>
      <c r="C147" s="114" t="n"/>
      <c r="D147" s="114" t="n"/>
      <c r="E147" s="114" t="n"/>
      <c r="F147" s="114" t="n"/>
      <c r="G147" s="24" t="n"/>
      <c r="V147" s="24" t="n"/>
      <c r="Y147" s="24" t="n"/>
      <c r="Z147" s="24" t="n"/>
      <c r="AA147" s="24" t="n"/>
      <c r="AB147" s="24" t="n"/>
      <c r="AC147" s="24" t="n"/>
      <c r="AD147" s="24" t="n"/>
      <c r="AE147" s="24" t="n"/>
    </row>
    <row r="148">
      <c r="A148" s="114" t="n"/>
      <c r="B148" s="114" t="n"/>
      <c r="C148" s="114" t="n"/>
      <c r="D148" s="114" t="n"/>
      <c r="E148" s="114" t="n"/>
      <c r="F148" s="114" t="n"/>
      <c r="G148" s="24" t="n"/>
      <c r="V148" s="24" t="n"/>
      <c r="Y148" s="24" t="n"/>
      <c r="Z148" s="24" t="n"/>
      <c r="AA148" s="24" t="n"/>
      <c r="AB148" s="24" t="n"/>
      <c r="AC148" s="24" t="n"/>
      <c r="AD148" s="24" t="n"/>
      <c r="AE148" s="24" t="n"/>
    </row>
    <row r="149">
      <c r="A149" s="114" t="n"/>
      <c r="B149" s="114" t="n"/>
      <c r="C149" s="114" t="n"/>
      <c r="D149" s="114" t="n"/>
      <c r="E149" s="114" t="n"/>
      <c r="F149" s="114" t="n"/>
      <c r="G149" s="24" t="n"/>
      <c r="V149" s="24" t="n"/>
      <c r="Y149" s="24" t="n"/>
      <c r="Z149" s="24" t="n"/>
      <c r="AA149" s="24" t="n"/>
      <c r="AB149" s="24" t="n"/>
      <c r="AC149" s="24" t="n"/>
      <c r="AD149" s="24" t="n"/>
      <c r="AE149" s="24" t="n"/>
    </row>
    <row r="150">
      <c r="A150" s="114" t="n"/>
      <c r="B150" s="114" t="n"/>
      <c r="C150" s="114" t="n"/>
      <c r="D150" s="114" t="n"/>
      <c r="E150" s="114" t="n"/>
      <c r="F150" s="114" t="n"/>
      <c r="G150" s="24" t="n"/>
      <c r="V150" s="24" t="n"/>
      <c r="Y150" s="24" t="n"/>
      <c r="Z150" s="24" t="n"/>
      <c r="AA150" s="24" t="n"/>
      <c r="AB150" s="24" t="n"/>
      <c r="AC150" s="24" t="n"/>
      <c r="AD150" s="24" t="n"/>
      <c r="AE150" s="24" t="n"/>
    </row>
    <row r="151">
      <c r="A151" s="114" t="n"/>
      <c r="B151" s="114" t="n"/>
      <c r="C151" s="114" t="n"/>
      <c r="D151" s="114" t="n"/>
      <c r="E151" s="114" t="n"/>
      <c r="F151" s="114" t="n"/>
      <c r="G151" s="24" t="n"/>
      <c r="V151" s="24" t="n"/>
      <c r="Y151" s="24" t="n"/>
      <c r="Z151" s="24" t="n"/>
      <c r="AA151" s="24" t="n"/>
      <c r="AB151" s="24" t="n"/>
      <c r="AC151" s="24" t="n"/>
      <c r="AD151" s="24" t="n"/>
      <c r="AE151" s="24" t="n"/>
    </row>
    <row r="152">
      <c r="A152" s="114" t="n"/>
      <c r="B152" s="114" t="n"/>
      <c r="C152" s="114" t="n"/>
      <c r="D152" s="114" t="n"/>
      <c r="E152" s="114" t="n"/>
      <c r="F152" s="114" t="n"/>
      <c r="G152" s="24" t="n"/>
      <c r="V152" s="24" t="n"/>
      <c r="Y152" s="24" t="n"/>
      <c r="Z152" s="24" t="n"/>
      <c r="AA152" s="24" t="n"/>
      <c r="AB152" s="24" t="n"/>
      <c r="AC152" s="24" t="n"/>
      <c r="AD152" s="24" t="n"/>
      <c r="AE152" s="24" t="n"/>
    </row>
    <row r="153">
      <c r="A153" s="114" t="n"/>
      <c r="B153" s="114" t="n"/>
      <c r="C153" s="114" t="n"/>
      <c r="D153" s="114" t="n"/>
      <c r="E153" s="114" t="n"/>
      <c r="F153" s="114" t="n"/>
      <c r="G153" s="24" t="n"/>
      <c r="V153" s="24" t="n"/>
      <c r="Y153" s="24" t="n"/>
      <c r="Z153" s="24" t="n"/>
      <c r="AA153" s="24" t="n"/>
      <c r="AB153" s="24" t="n"/>
      <c r="AC153" s="24" t="n"/>
      <c r="AD153" s="24" t="n"/>
      <c r="AE153" s="24" t="n"/>
    </row>
    <row r="154">
      <c r="A154" s="114" t="n"/>
      <c r="B154" s="114" t="n"/>
      <c r="C154" s="114" t="n"/>
      <c r="D154" s="114" t="n"/>
      <c r="E154" s="114" t="n"/>
      <c r="F154" s="114" t="n"/>
      <c r="G154" s="24" t="n"/>
      <c r="V154" s="24" t="n"/>
      <c r="Y154" s="24" t="n"/>
      <c r="Z154" s="24" t="n"/>
      <c r="AA154" s="24" t="n"/>
      <c r="AB154" s="24" t="n"/>
      <c r="AC154" s="24" t="n"/>
      <c r="AD154" s="24" t="n"/>
      <c r="AE154" s="24" t="n"/>
    </row>
    <row r="155">
      <c r="A155" s="114" t="n"/>
      <c r="B155" s="114" t="n"/>
      <c r="C155" s="114" t="n"/>
      <c r="D155" s="114" t="n"/>
      <c r="E155" s="114" t="n"/>
      <c r="F155" s="114" t="n"/>
      <c r="G155" s="24" t="n"/>
      <c r="V155" s="24" t="n"/>
      <c r="Y155" s="24" t="n"/>
      <c r="Z155" s="24" t="n"/>
      <c r="AA155" s="24" t="n"/>
      <c r="AB155" s="24" t="n"/>
      <c r="AC155" s="24" t="n"/>
      <c r="AD155" s="24" t="n"/>
      <c r="AE155" s="24" t="n"/>
    </row>
    <row r="156">
      <c r="A156" s="114" t="n"/>
      <c r="B156" s="114" t="n"/>
      <c r="C156" s="114" t="n"/>
      <c r="D156" s="114" t="n"/>
      <c r="E156" s="114" t="n"/>
      <c r="F156" s="114" t="n"/>
      <c r="G156" s="24" t="n"/>
      <c r="V156" s="24" t="n"/>
      <c r="Y156" s="24" t="n"/>
      <c r="Z156" s="24" t="n"/>
      <c r="AA156" s="24" t="n"/>
      <c r="AB156" s="24" t="n"/>
      <c r="AC156" s="24" t="n"/>
      <c r="AD156" s="24" t="n"/>
      <c r="AE156" s="24" t="n"/>
    </row>
    <row r="157">
      <c r="A157" s="114" t="n"/>
      <c r="B157" s="114" t="n"/>
      <c r="C157" s="114" t="n"/>
      <c r="D157" s="114" t="n"/>
      <c r="E157" s="114" t="n"/>
      <c r="F157" s="114" t="n"/>
      <c r="G157" s="24" t="n"/>
      <c r="V157" s="24" t="n"/>
      <c r="Y157" s="24" t="n"/>
      <c r="Z157" s="24" t="n"/>
      <c r="AA157" s="24" t="n"/>
      <c r="AB157" s="24" t="n"/>
      <c r="AC157" s="24" t="n"/>
      <c r="AD157" s="24" t="n"/>
      <c r="AE157" s="24" t="n"/>
    </row>
    <row r="158">
      <c r="A158" s="114" t="n"/>
      <c r="B158" s="114" t="n"/>
      <c r="C158" s="114" t="n"/>
      <c r="D158" s="114" t="n"/>
      <c r="E158" s="114" t="n"/>
      <c r="F158" s="114" t="n"/>
      <c r="G158" s="24" t="n"/>
      <c r="V158" s="24" t="n"/>
      <c r="Y158" s="24" t="n"/>
      <c r="Z158" s="24" t="n"/>
      <c r="AA158" s="24" t="n"/>
      <c r="AB158" s="24" t="n"/>
      <c r="AC158" s="24" t="n"/>
      <c r="AD158" s="24" t="n"/>
      <c r="AE158" s="24" t="n"/>
    </row>
    <row r="159">
      <c r="A159" s="114" t="n"/>
      <c r="B159" s="114" t="n"/>
      <c r="C159" s="114" t="n"/>
      <c r="D159" s="114" t="n"/>
      <c r="E159" s="114" t="n"/>
      <c r="F159" s="114" t="n"/>
      <c r="G159" s="24" t="n"/>
      <c r="V159" s="24" t="n"/>
      <c r="Y159" s="24" t="n"/>
      <c r="Z159" s="24" t="n"/>
      <c r="AA159" s="24" t="n"/>
      <c r="AB159" s="24" t="n"/>
      <c r="AC159" s="24" t="n"/>
      <c r="AD159" s="24" t="n"/>
      <c r="AE159" s="24" t="n"/>
    </row>
    <row r="160">
      <c r="A160" s="114" t="n"/>
      <c r="B160" s="114" t="n"/>
      <c r="C160" s="114" t="n"/>
      <c r="D160" s="114" t="n"/>
      <c r="E160" s="114" t="n"/>
      <c r="F160" s="114" t="n"/>
      <c r="G160" s="24" t="n"/>
      <c r="V160" s="24" t="n"/>
      <c r="Y160" s="24" t="n"/>
      <c r="Z160" s="24" t="n"/>
      <c r="AA160" s="24" t="n"/>
      <c r="AB160" s="24" t="n"/>
      <c r="AC160" s="24" t="n"/>
      <c r="AD160" s="24" t="n"/>
      <c r="AE160" s="24" t="n"/>
    </row>
    <row r="161">
      <c r="A161" s="114" t="n"/>
      <c r="B161" s="114" t="n"/>
      <c r="C161" s="114" t="n"/>
      <c r="D161" s="114" t="n"/>
      <c r="E161" s="114" t="n"/>
      <c r="F161" s="114" t="n"/>
      <c r="G161" s="24" t="n"/>
      <c r="V161" s="24" t="n"/>
      <c r="Y161" s="24" t="n"/>
      <c r="Z161" s="24" t="n"/>
      <c r="AA161" s="24" t="n"/>
      <c r="AB161" s="24" t="n"/>
      <c r="AC161" s="24" t="n"/>
      <c r="AD161" s="24" t="n"/>
      <c r="AE161" s="24" t="n"/>
    </row>
    <row r="162">
      <c r="A162" s="114" t="n"/>
      <c r="B162" s="114" t="n"/>
      <c r="C162" s="114" t="n"/>
      <c r="D162" s="114" t="n"/>
      <c r="E162" s="114" t="n"/>
      <c r="F162" s="114" t="n"/>
      <c r="G162" s="24" t="n"/>
      <c r="V162" s="24" t="n"/>
      <c r="Y162" s="24" t="n"/>
      <c r="Z162" s="24" t="n"/>
      <c r="AA162" s="24" t="n"/>
      <c r="AB162" s="24" t="n"/>
      <c r="AC162" s="24" t="n"/>
      <c r="AD162" s="24" t="n"/>
      <c r="AE162" s="24" t="n"/>
    </row>
    <row r="163">
      <c r="A163" s="114" t="n"/>
      <c r="B163" s="114" t="n"/>
      <c r="C163" s="114" t="n"/>
      <c r="D163" s="114" t="n"/>
      <c r="E163" s="114" t="n"/>
      <c r="F163" s="114" t="n"/>
      <c r="G163" s="24" t="n"/>
      <c r="V163" s="24" t="n"/>
      <c r="Y163" s="24" t="n"/>
      <c r="Z163" s="24" t="n"/>
      <c r="AA163" s="24" t="n"/>
      <c r="AB163" s="24" t="n"/>
      <c r="AC163" s="24" t="n"/>
      <c r="AD163" s="24" t="n"/>
      <c r="AE163" s="24" t="n"/>
    </row>
    <row r="164">
      <c r="A164" s="114" t="n"/>
      <c r="B164" s="114" t="n"/>
      <c r="C164" s="114" t="n"/>
      <c r="D164" s="114" t="n"/>
      <c r="E164" s="114" t="n"/>
      <c r="F164" s="114" t="n"/>
      <c r="G164" s="24" t="n"/>
      <c r="V164" s="24" t="n"/>
      <c r="Y164" s="24" t="n"/>
      <c r="Z164" s="24" t="n"/>
      <c r="AA164" s="24" t="n"/>
      <c r="AB164" s="24" t="n"/>
      <c r="AC164" s="24" t="n"/>
      <c r="AD164" s="24" t="n"/>
      <c r="AE164" s="24" t="n"/>
    </row>
    <row r="165">
      <c r="A165" s="114" t="n"/>
      <c r="B165" s="114" t="n"/>
      <c r="C165" s="114" t="n"/>
      <c r="D165" s="114" t="n"/>
      <c r="E165" s="114" t="n"/>
      <c r="F165" s="114" t="n"/>
      <c r="G165" s="24" t="n"/>
      <c r="V165" s="24" t="n"/>
      <c r="Y165" s="24" t="n"/>
      <c r="Z165" s="24" t="n"/>
      <c r="AA165" s="24" t="n"/>
      <c r="AB165" s="24" t="n"/>
      <c r="AC165" s="24" t="n"/>
      <c r="AD165" s="24" t="n"/>
      <c r="AE165" s="24" t="n"/>
    </row>
    <row r="166">
      <c r="A166" s="114" t="n"/>
      <c r="B166" s="114" t="n"/>
      <c r="C166" s="114" t="n"/>
      <c r="D166" s="114" t="n"/>
      <c r="E166" s="114" t="n"/>
      <c r="F166" s="114" t="n"/>
      <c r="G166" s="24" t="n"/>
      <c r="V166" s="24" t="n"/>
      <c r="Y166" s="24" t="n"/>
      <c r="Z166" s="24" t="n"/>
      <c r="AA166" s="24" t="n"/>
      <c r="AB166" s="24" t="n"/>
      <c r="AC166" s="24" t="n"/>
      <c r="AD166" s="24" t="n"/>
      <c r="AE166" s="24" t="n"/>
    </row>
    <row r="167">
      <c r="A167" s="114" t="n"/>
      <c r="B167" s="114" t="n"/>
      <c r="C167" s="114" t="n"/>
      <c r="D167" s="114" t="n"/>
      <c r="E167" s="114" t="n"/>
      <c r="F167" s="114" t="n"/>
      <c r="G167" s="24" t="n"/>
      <c r="V167" s="24" t="n"/>
      <c r="Y167" s="24" t="n"/>
      <c r="Z167" s="24" t="n"/>
      <c r="AA167" s="24" t="n"/>
      <c r="AB167" s="24" t="n"/>
      <c r="AC167" s="24" t="n"/>
      <c r="AD167" s="24" t="n"/>
      <c r="AE167" s="24" t="n"/>
    </row>
    <row r="168">
      <c r="A168" s="114" t="n"/>
      <c r="B168" s="114" t="n"/>
      <c r="C168" s="114" t="n"/>
      <c r="D168" s="114" t="n"/>
      <c r="E168" s="114" t="n"/>
      <c r="F168" s="114" t="n"/>
      <c r="G168" s="24" t="n"/>
      <c r="V168" s="24" t="n"/>
      <c r="Y168" s="24" t="n"/>
      <c r="Z168" s="24" t="n"/>
      <c r="AA168" s="24" t="n"/>
      <c r="AB168" s="24" t="n"/>
      <c r="AC168" s="24" t="n"/>
      <c r="AD168" s="24" t="n"/>
      <c r="AE168" s="24" t="n"/>
    </row>
    <row r="169">
      <c r="A169" s="114" t="n"/>
      <c r="B169" s="114" t="n"/>
      <c r="C169" s="114" t="n"/>
      <c r="D169" s="114" t="n"/>
      <c r="E169" s="114" t="n"/>
      <c r="F169" s="114" t="n"/>
      <c r="G169" s="24" t="n"/>
      <c r="V169" s="24" t="n"/>
      <c r="Y169" s="24" t="n"/>
      <c r="Z169" s="24" t="n"/>
      <c r="AA169" s="24" t="n"/>
      <c r="AB169" s="24" t="n"/>
      <c r="AC169" s="24" t="n"/>
      <c r="AD169" s="24" t="n"/>
      <c r="AE169" s="24" t="n"/>
    </row>
    <row r="170">
      <c r="A170" s="114" t="n"/>
      <c r="B170" s="114" t="n"/>
      <c r="C170" s="114" t="n"/>
      <c r="D170" s="114" t="n"/>
      <c r="E170" s="114" t="n"/>
      <c r="F170" s="114" t="n"/>
      <c r="G170" s="24" t="n"/>
      <c r="V170" s="24" t="n"/>
      <c r="Y170" s="24" t="n"/>
      <c r="Z170" s="24" t="n"/>
      <c r="AA170" s="24" t="n"/>
      <c r="AB170" s="24" t="n"/>
      <c r="AC170" s="24" t="n"/>
      <c r="AD170" s="24" t="n"/>
      <c r="AE170" s="24" t="n"/>
    </row>
    <row r="171">
      <c r="A171" s="114" t="n"/>
      <c r="B171" s="114" t="n"/>
      <c r="C171" s="114" t="n"/>
      <c r="D171" s="114" t="n"/>
      <c r="E171" s="114" t="n"/>
      <c r="F171" s="114" t="n"/>
      <c r="G171" s="24" t="n"/>
      <c r="V171" s="24" t="n"/>
      <c r="Y171" s="24" t="n"/>
      <c r="Z171" s="24" t="n"/>
      <c r="AA171" s="24" t="n"/>
      <c r="AB171" s="24" t="n"/>
      <c r="AC171" s="24" t="n"/>
      <c r="AD171" s="24" t="n"/>
      <c r="AE171" s="24" t="n"/>
    </row>
    <row r="172">
      <c r="A172" s="114" t="n"/>
      <c r="B172" s="114" t="n"/>
      <c r="C172" s="114" t="n"/>
      <c r="D172" s="114" t="n"/>
      <c r="E172" s="114" t="n"/>
      <c r="F172" s="114" t="n"/>
      <c r="G172" s="24" t="n"/>
      <c r="V172" s="24" t="n"/>
      <c r="Y172" s="24" t="n"/>
      <c r="Z172" s="24" t="n"/>
      <c r="AA172" s="24" t="n"/>
      <c r="AB172" s="24" t="n"/>
      <c r="AC172" s="24" t="n"/>
      <c r="AD172" s="24" t="n"/>
      <c r="AE172" s="24" t="n"/>
    </row>
    <row r="173">
      <c r="A173" s="114" t="n"/>
      <c r="B173" s="114" t="n"/>
      <c r="C173" s="114" t="n"/>
      <c r="D173" s="114" t="n"/>
      <c r="E173" s="114" t="n"/>
      <c r="F173" s="114" t="n"/>
      <c r="G173" s="24" t="n"/>
      <c r="V173" s="24" t="n"/>
      <c r="Y173" s="24" t="n"/>
      <c r="Z173" s="24" t="n"/>
      <c r="AA173" s="24" t="n"/>
      <c r="AB173" s="24" t="n"/>
      <c r="AC173" s="24" t="n"/>
      <c r="AD173" s="24" t="n"/>
      <c r="AE173" s="24" t="n"/>
    </row>
    <row r="174">
      <c r="A174" s="114" t="n"/>
      <c r="B174" s="114" t="n"/>
      <c r="C174" s="114" t="n"/>
      <c r="D174" s="114" t="n"/>
      <c r="E174" s="114" t="n"/>
      <c r="F174" s="114" t="n"/>
      <c r="G174" s="24" t="n"/>
      <c r="V174" s="24" t="n"/>
      <c r="Y174" s="24" t="n"/>
      <c r="Z174" s="24" t="n"/>
      <c r="AA174" s="24" t="n"/>
      <c r="AB174" s="24" t="n"/>
      <c r="AC174" s="24" t="n"/>
      <c r="AD174" s="24" t="n"/>
      <c r="AE174" s="24" t="n"/>
    </row>
    <row r="175">
      <c r="A175" s="114" t="n"/>
      <c r="B175" s="114" t="n"/>
      <c r="C175" s="114" t="n"/>
      <c r="D175" s="114" t="n"/>
      <c r="E175" s="114" t="n"/>
      <c r="F175" s="114" t="n"/>
      <c r="G175" s="24" t="n"/>
      <c r="V175" s="24" t="n"/>
      <c r="Y175" s="24" t="n"/>
      <c r="Z175" s="24" t="n"/>
      <c r="AA175" s="24" t="n"/>
      <c r="AB175" s="24" t="n"/>
      <c r="AC175" s="24" t="n"/>
      <c r="AD175" s="24" t="n"/>
      <c r="AE175" s="24" t="n"/>
    </row>
    <row r="176">
      <c r="A176" s="114" t="n"/>
      <c r="B176" s="114" t="n"/>
      <c r="C176" s="114" t="n"/>
      <c r="D176" s="114" t="n"/>
      <c r="E176" s="114" t="n"/>
      <c r="F176" s="114" t="n"/>
      <c r="G176" s="24" t="n"/>
      <c r="V176" s="24" t="n"/>
      <c r="Y176" s="24" t="n"/>
      <c r="Z176" s="24" t="n"/>
      <c r="AA176" s="24" t="n"/>
      <c r="AB176" s="24" t="n"/>
      <c r="AC176" s="24" t="n"/>
      <c r="AD176" s="24" t="n"/>
      <c r="AE176" s="24" t="n"/>
    </row>
    <row r="177">
      <c r="A177" s="114" t="n"/>
      <c r="B177" s="114" t="n"/>
      <c r="C177" s="114" t="n"/>
      <c r="D177" s="114" t="n"/>
      <c r="E177" s="114" t="n"/>
      <c r="F177" s="114" t="n"/>
      <c r="G177" s="24" t="n"/>
      <c r="V177" s="24" t="n"/>
      <c r="Y177" s="24" t="n"/>
      <c r="Z177" s="24" t="n"/>
      <c r="AA177" s="24" t="n"/>
      <c r="AB177" s="24" t="n"/>
      <c r="AC177" s="24" t="n"/>
      <c r="AD177" s="24" t="n"/>
      <c r="AE177" s="24" t="n"/>
    </row>
    <row r="178">
      <c r="A178" s="114" t="n"/>
      <c r="B178" s="114" t="n"/>
      <c r="C178" s="114" t="n"/>
      <c r="D178" s="114" t="n"/>
      <c r="E178" s="114" t="n"/>
      <c r="F178" s="114" t="n"/>
      <c r="G178" s="24" t="n"/>
      <c r="V178" s="24" t="n"/>
      <c r="Y178" s="24" t="n"/>
      <c r="Z178" s="24" t="n"/>
      <c r="AA178" s="24" t="n"/>
      <c r="AB178" s="24" t="n"/>
      <c r="AC178" s="24" t="n"/>
      <c r="AD178" s="24" t="n"/>
      <c r="AE178" s="24" t="n"/>
    </row>
    <row r="179">
      <c r="A179" s="114" t="n"/>
      <c r="B179" s="114" t="n"/>
      <c r="C179" s="114" t="n"/>
      <c r="D179" s="114" t="n"/>
      <c r="E179" s="114" t="n"/>
      <c r="F179" s="114" t="n"/>
      <c r="G179" s="24" t="n"/>
      <c r="V179" s="24" t="n"/>
      <c r="Y179" s="24" t="n"/>
      <c r="Z179" s="24" t="n"/>
      <c r="AA179" s="24" t="n"/>
      <c r="AB179" s="24" t="n"/>
      <c r="AC179" s="24" t="n"/>
      <c r="AD179" s="24" t="n"/>
      <c r="AE179" s="24" t="n"/>
    </row>
    <row r="180">
      <c r="A180" s="114" t="n"/>
      <c r="B180" s="114" t="n"/>
      <c r="C180" s="114" t="n"/>
      <c r="D180" s="114" t="n"/>
      <c r="E180" s="114" t="n"/>
      <c r="F180" s="114" t="n"/>
      <c r="G180" s="24" t="n"/>
      <c r="V180" s="24" t="n"/>
      <c r="Y180" s="24" t="n"/>
      <c r="Z180" s="24" t="n"/>
      <c r="AA180" s="24" t="n"/>
      <c r="AB180" s="24" t="n"/>
      <c r="AC180" s="24" t="n"/>
      <c r="AD180" s="24" t="n"/>
      <c r="AE180" s="24" t="n"/>
    </row>
    <row r="181">
      <c r="A181" s="114" t="n"/>
      <c r="B181" s="114" t="n"/>
      <c r="C181" s="114" t="n"/>
      <c r="D181" s="114" t="n"/>
      <c r="E181" s="114" t="n"/>
      <c r="F181" s="114" t="n"/>
      <c r="G181" s="24" t="n"/>
      <c r="V181" s="24" t="n"/>
      <c r="Y181" s="24" t="n"/>
      <c r="Z181" s="24" t="n"/>
      <c r="AA181" s="24" t="n"/>
      <c r="AB181" s="24" t="n"/>
      <c r="AC181" s="24" t="n"/>
      <c r="AD181" s="24" t="n"/>
      <c r="AE181" s="24" t="n"/>
    </row>
    <row r="182">
      <c r="A182" s="114" t="n"/>
      <c r="B182" s="114" t="n"/>
      <c r="C182" s="114" t="n"/>
      <c r="D182" s="114" t="n"/>
      <c r="E182" s="114" t="n"/>
      <c r="F182" s="114" t="n"/>
      <c r="G182" s="24" t="n"/>
      <c r="V182" s="24" t="n"/>
      <c r="Y182" s="24" t="n"/>
      <c r="Z182" s="24" t="n"/>
      <c r="AA182" s="24" t="n"/>
      <c r="AB182" s="24" t="n"/>
      <c r="AC182" s="24" t="n"/>
      <c r="AD182" s="24" t="n"/>
      <c r="AE182" s="24" t="n"/>
    </row>
    <row r="183">
      <c r="A183" s="114" t="n"/>
      <c r="B183" s="114" t="n"/>
      <c r="C183" s="114" t="n"/>
      <c r="D183" s="114" t="n"/>
      <c r="E183" s="114" t="n"/>
      <c r="F183" s="114" t="n"/>
      <c r="G183" s="24" t="n"/>
      <c r="V183" s="24" t="n"/>
      <c r="Y183" s="24" t="n"/>
      <c r="Z183" s="24" t="n"/>
      <c r="AA183" s="24" t="n"/>
      <c r="AB183" s="24" t="n"/>
      <c r="AC183" s="24" t="n"/>
      <c r="AD183" s="24" t="n"/>
      <c r="AE183" s="24" t="n"/>
    </row>
    <row r="184">
      <c r="A184" s="114" t="n"/>
      <c r="B184" s="114" t="n"/>
      <c r="C184" s="114" t="n"/>
      <c r="D184" s="114" t="n"/>
      <c r="E184" s="114" t="n"/>
      <c r="F184" s="114" t="n"/>
      <c r="G184" s="24" t="n"/>
      <c r="V184" s="24" t="n"/>
      <c r="Y184" s="24" t="n"/>
      <c r="Z184" s="24" t="n"/>
      <c r="AA184" s="24" t="n"/>
      <c r="AB184" s="24" t="n"/>
      <c r="AC184" s="24" t="n"/>
      <c r="AD184" s="24" t="n"/>
      <c r="AE184" s="24" t="n"/>
    </row>
    <row r="185">
      <c r="A185" s="114" t="n"/>
      <c r="B185" s="114" t="n"/>
      <c r="C185" s="114" t="n"/>
      <c r="D185" s="114" t="n"/>
      <c r="E185" s="114" t="n"/>
      <c r="F185" s="114" t="n"/>
      <c r="G185" s="24" t="n"/>
      <c r="V185" s="24" t="n"/>
      <c r="Y185" s="24" t="n"/>
      <c r="Z185" s="24" t="n"/>
      <c r="AA185" s="24" t="n"/>
      <c r="AB185" s="24" t="n"/>
      <c r="AC185" s="24" t="n"/>
      <c r="AD185" s="24" t="n"/>
      <c r="AE185" s="24" t="n"/>
    </row>
    <row r="186">
      <c r="A186" s="114" t="n"/>
      <c r="B186" s="114" t="n"/>
      <c r="C186" s="114" t="n"/>
      <c r="D186" s="114" t="n"/>
      <c r="E186" s="114" t="n"/>
      <c r="F186" s="114" t="n"/>
      <c r="G186" s="24" t="n"/>
      <c r="V186" s="24" t="n"/>
      <c r="Y186" s="24" t="n"/>
      <c r="Z186" s="24" t="n"/>
      <c r="AA186" s="24" t="n"/>
      <c r="AB186" s="24" t="n"/>
      <c r="AC186" s="24" t="n"/>
      <c r="AD186" s="24" t="n"/>
      <c r="AE186" s="24" t="n"/>
    </row>
    <row r="187">
      <c r="A187" s="114" t="n"/>
      <c r="B187" s="114" t="n"/>
      <c r="C187" s="114" t="n"/>
      <c r="D187" s="114" t="n"/>
      <c r="E187" s="114" t="n"/>
      <c r="F187" s="114" t="n"/>
      <c r="G187" s="24" t="n"/>
      <c r="V187" s="24" t="n"/>
      <c r="Y187" s="24" t="n"/>
      <c r="Z187" s="24" t="n"/>
      <c r="AA187" s="24" t="n"/>
      <c r="AB187" s="24" t="n"/>
      <c r="AC187" s="24" t="n"/>
      <c r="AD187" s="24" t="n"/>
      <c r="AE187" s="24" t="n"/>
    </row>
    <row r="188">
      <c r="A188" s="114" t="n"/>
      <c r="B188" s="114" t="n"/>
      <c r="C188" s="114" t="n"/>
      <c r="D188" s="114" t="n"/>
      <c r="E188" s="114" t="n"/>
      <c r="F188" s="114" t="n"/>
      <c r="G188" s="24" t="n"/>
      <c r="V188" s="24" t="n"/>
      <c r="Y188" s="24" t="n"/>
      <c r="Z188" s="24" t="n"/>
      <c r="AA188" s="24" t="n"/>
      <c r="AB188" s="24" t="n"/>
      <c r="AC188" s="24" t="n"/>
      <c r="AD188" s="24" t="n"/>
      <c r="AE188" s="24" t="n"/>
    </row>
    <row r="189">
      <c r="A189" s="114" t="n"/>
      <c r="B189" s="114" t="n"/>
      <c r="C189" s="114" t="n"/>
      <c r="D189" s="114" t="n"/>
      <c r="E189" s="114" t="n"/>
      <c r="F189" s="114" t="n"/>
      <c r="G189" s="24" t="n"/>
      <c r="V189" s="24" t="n"/>
      <c r="Y189" s="24" t="n"/>
      <c r="Z189" s="24" t="n"/>
      <c r="AA189" s="24" t="n"/>
      <c r="AB189" s="24" t="n"/>
      <c r="AC189" s="24" t="n"/>
      <c r="AD189" s="24" t="n"/>
      <c r="AE189" s="24" t="n"/>
    </row>
    <row r="190">
      <c r="A190" s="114" t="n"/>
      <c r="B190" s="114" t="n"/>
      <c r="C190" s="114" t="n"/>
      <c r="D190" s="114" t="n"/>
      <c r="E190" s="114" t="n"/>
      <c r="F190" s="114" t="n"/>
      <c r="G190" s="24" t="n"/>
      <c r="V190" s="24" t="n"/>
      <c r="Y190" s="24" t="n"/>
      <c r="Z190" s="24" t="n"/>
      <c r="AA190" s="24" t="n"/>
      <c r="AB190" s="24" t="n"/>
      <c r="AC190" s="24" t="n"/>
      <c r="AD190" s="24" t="n"/>
      <c r="AE190" s="24" t="n"/>
    </row>
    <row r="191">
      <c r="A191" s="114" t="n"/>
      <c r="B191" s="114" t="n"/>
      <c r="C191" s="114" t="n"/>
      <c r="D191" s="114" t="n"/>
      <c r="E191" s="114" t="n"/>
      <c r="F191" s="114" t="n"/>
      <c r="G191" s="24" t="n"/>
      <c r="V191" s="24" t="n"/>
      <c r="Y191" s="24" t="n"/>
      <c r="Z191" s="24" t="n"/>
      <c r="AA191" s="24" t="n"/>
      <c r="AB191" s="24" t="n"/>
      <c r="AC191" s="24" t="n"/>
      <c r="AD191" s="24" t="n"/>
      <c r="AE191" s="24" t="n"/>
    </row>
    <row r="192">
      <c r="A192" s="114" t="n"/>
      <c r="B192" s="114" t="n"/>
      <c r="C192" s="114" t="n"/>
      <c r="D192" s="114" t="n"/>
      <c r="E192" s="114" t="n"/>
      <c r="F192" s="114" t="n"/>
      <c r="G192" s="24" t="n"/>
      <c r="V192" s="24" t="n"/>
      <c r="Y192" s="24" t="n"/>
      <c r="Z192" s="24" t="n"/>
      <c r="AA192" s="24" t="n"/>
      <c r="AB192" s="24" t="n"/>
      <c r="AC192" s="24" t="n"/>
      <c r="AD192" s="24" t="n"/>
      <c r="AE192" s="24" t="n"/>
    </row>
    <row r="193">
      <c r="A193" s="114" t="n"/>
      <c r="B193" s="114" t="n"/>
      <c r="C193" s="114" t="n"/>
      <c r="D193" s="114" t="n"/>
      <c r="E193" s="114" t="n"/>
      <c r="F193" s="114" t="n"/>
      <c r="G193" s="24" t="n"/>
      <c r="V193" s="24" t="n"/>
      <c r="Y193" s="24" t="n"/>
      <c r="Z193" s="24" t="n"/>
      <c r="AA193" s="24" t="n"/>
      <c r="AB193" s="24" t="n"/>
      <c r="AC193" s="24" t="n"/>
      <c r="AD193" s="24" t="n"/>
      <c r="AE193" s="24" t="n"/>
    </row>
    <row r="194">
      <c r="A194" s="114" t="n"/>
      <c r="B194" s="114" t="n"/>
      <c r="C194" s="114" t="n"/>
      <c r="D194" s="114" t="n"/>
      <c r="E194" s="114" t="n"/>
      <c r="F194" s="114" t="n"/>
      <c r="G194" s="24" t="n"/>
      <c r="V194" s="24" t="n"/>
      <c r="Y194" s="24" t="n"/>
      <c r="Z194" s="24" t="n"/>
      <c r="AA194" s="24" t="n"/>
      <c r="AB194" s="24" t="n"/>
      <c r="AC194" s="24" t="n"/>
      <c r="AD194" s="24" t="n"/>
      <c r="AE194" s="24" t="n"/>
    </row>
    <row r="195">
      <c r="A195" s="114" t="n"/>
      <c r="B195" s="114" t="n"/>
      <c r="C195" s="114" t="n"/>
      <c r="D195" s="114" t="n"/>
      <c r="E195" s="114" t="n"/>
      <c r="F195" s="114" t="n"/>
      <c r="G195" s="24" t="n"/>
      <c r="V195" s="24" t="n"/>
      <c r="Y195" s="24" t="n"/>
      <c r="Z195" s="24" t="n"/>
      <c r="AA195" s="24" t="n"/>
      <c r="AB195" s="24" t="n"/>
      <c r="AC195" s="24" t="n"/>
      <c r="AD195" s="24" t="n"/>
      <c r="AE195" s="24" t="n"/>
    </row>
    <row r="196">
      <c r="A196" s="114" t="n"/>
      <c r="B196" s="114" t="n"/>
      <c r="C196" s="114" t="n"/>
      <c r="D196" s="114" t="n"/>
      <c r="E196" s="114" t="n"/>
      <c r="F196" s="114" t="n"/>
      <c r="G196" s="24" t="n"/>
      <c r="V196" s="24" t="n"/>
      <c r="Y196" s="24" t="n"/>
      <c r="Z196" s="24" t="n"/>
      <c r="AA196" s="24" t="n"/>
      <c r="AB196" s="24" t="n"/>
      <c r="AC196" s="24" t="n"/>
      <c r="AD196" s="24" t="n"/>
      <c r="AE196" s="24" t="n"/>
    </row>
    <row r="197">
      <c r="A197" s="114" t="n"/>
      <c r="B197" s="114" t="n"/>
      <c r="C197" s="114" t="n"/>
      <c r="D197" s="114" t="n"/>
      <c r="E197" s="114" t="n"/>
      <c r="F197" s="114" t="n"/>
      <c r="G197" s="24" t="n"/>
      <c r="V197" s="24" t="n"/>
      <c r="Y197" s="24" t="n"/>
      <c r="Z197" s="24" t="n"/>
      <c r="AA197" s="24" t="n"/>
      <c r="AB197" s="24" t="n"/>
      <c r="AC197" s="24" t="n"/>
      <c r="AD197" s="24" t="n"/>
      <c r="AE197" s="24" t="n"/>
    </row>
    <row r="198">
      <c r="A198" s="114" t="n"/>
      <c r="B198" s="114" t="n"/>
      <c r="C198" s="114" t="n"/>
      <c r="D198" s="114" t="n"/>
      <c r="E198" s="114" t="n"/>
      <c r="F198" s="114" t="n"/>
      <c r="G198" s="24" t="n"/>
      <c r="V198" s="24" t="n"/>
      <c r="Y198" s="24" t="n"/>
      <c r="Z198" s="24" t="n"/>
      <c r="AA198" s="24" t="n"/>
      <c r="AB198" s="24" t="n"/>
      <c r="AC198" s="24" t="n"/>
      <c r="AD198" s="24" t="n"/>
      <c r="AE198" s="24" t="n"/>
    </row>
    <row r="199">
      <c r="A199" s="114" t="n"/>
      <c r="B199" s="114" t="n"/>
      <c r="C199" s="114" t="n"/>
      <c r="D199" s="114" t="n"/>
      <c r="E199" s="114" t="n"/>
      <c r="F199" s="114" t="n"/>
      <c r="G199" s="24" t="n"/>
      <c r="V199" s="24" t="n"/>
      <c r="Y199" s="24" t="n"/>
      <c r="Z199" s="24" t="n"/>
      <c r="AA199" s="24" t="n"/>
      <c r="AB199" s="24" t="n"/>
      <c r="AC199" s="24" t="n"/>
      <c r="AD199" s="24" t="n"/>
      <c r="AE199" s="24" t="n"/>
    </row>
    <row r="200">
      <c r="A200" s="114" t="n"/>
      <c r="B200" s="114" t="n"/>
      <c r="C200" s="114" t="n"/>
      <c r="D200" s="114" t="n"/>
      <c r="E200" s="114" t="n"/>
      <c r="F200" s="114" t="n"/>
      <c r="G200" s="24" t="n"/>
      <c r="V200" s="24" t="n"/>
      <c r="Y200" s="24" t="n"/>
      <c r="Z200" s="24" t="n"/>
      <c r="AA200" s="24" t="n"/>
      <c r="AB200" s="24" t="n"/>
      <c r="AC200" s="24" t="n"/>
      <c r="AD200" s="24" t="n"/>
      <c r="AE200" s="24" t="n"/>
    </row>
    <row r="201">
      <c r="A201" s="114" t="n"/>
      <c r="B201" s="114" t="n"/>
      <c r="C201" s="114" t="n"/>
      <c r="D201" s="114" t="n"/>
      <c r="E201" s="114" t="n"/>
      <c r="F201" s="114" t="n"/>
      <c r="G201" s="24" t="n"/>
      <c r="V201" s="24" t="n"/>
      <c r="Y201" s="24" t="n"/>
      <c r="Z201" s="24" t="n"/>
      <c r="AA201" s="24" t="n"/>
      <c r="AB201" s="24" t="n"/>
      <c r="AC201" s="24" t="n"/>
      <c r="AD201" s="24" t="n"/>
      <c r="AE201" s="24" t="n"/>
    </row>
    <row r="202">
      <c r="A202" s="114" t="n"/>
      <c r="B202" s="114" t="n"/>
      <c r="C202" s="114" t="n"/>
      <c r="D202" s="114" t="n"/>
      <c r="E202" s="114" t="n"/>
      <c r="F202" s="114" t="n"/>
      <c r="G202" s="24" t="n"/>
      <c r="V202" s="24" t="n"/>
      <c r="Y202" s="24" t="n"/>
      <c r="Z202" s="24" t="n"/>
      <c r="AA202" s="24" t="n"/>
      <c r="AB202" s="24" t="n"/>
      <c r="AC202" s="24" t="n"/>
      <c r="AD202" s="24" t="n"/>
      <c r="AE202" s="24" t="n"/>
    </row>
    <row r="203">
      <c r="A203" s="114" t="n"/>
      <c r="B203" s="114" t="n"/>
      <c r="C203" s="114" t="n"/>
      <c r="D203" s="114" t="n"/>
      <c r="E203" s="114" t="n"/>
      <c r="F203" s="114" t="n"/>
      <c r="G203" s="24" t="n"/>
      <c r="V203" s="24" t="n"/>
      <c r="Y203" s="24" t="n"/>
      <c r="Z203" s="24" t="n"/>
      <c r="AA203" s="24" t="n"/>
      <c r="AB203" s="24" t="n"/>
      <c r="AC203" s="24" t="n"/>
      <c r="AD203" s="24" t="n"/>
      <c r="AE203" s="24" t="n"/>
    </row>
    <row r="204">
      <c r="A204" s="114" t="n"/>
      <c r="B204" s="114" t="n"/>
      <c r="C204" s="114" t="n"/>
      <c r="D204" s="114" t="n"/>
      <c r="E204" s="114" t="n"/>
      <c r="F204" s="114" t="n"/>
      <c r="G204" s="24" t="n"/>
      <c r="V204" s="24" t="n"/>
      <c r="Y204" s="24" t="n"/>
      <c r="Z204" s="24" t="n"/>
      <c r="AA204" s="24" t="n"/>
      <c r="AB204" s="24" t="n"/>
      <c r="AC204" s="24" t="n"/>
      <c r="AD204" s="24" t="n"/>
      <c r="AE204" s="24" t="n"/>
    </row>
    <row r="205">
      <c r="A205" s="114" t="n"/>
      <c r="B205" s="114" t="n"/>
      <c r="C205" s="114" t="n"/>
      <c r="D205" s="114" t="n"/>
      <c r="E205" s="114" t="n"/>
      <c r="F205" s="114" t="n"/>
      <c r="G205" s="24" t="n"/>
      <c r="V205" s="24" t="n"/>
      <c r="Y205" s="24" t="n"/>
      <c r="Z205" s="24" t="n"/>
      <c r="AA205" s="24" t="n"/>
      <c r="AB205" s="24" t="n"/>
      <c r="AC205" s="24" t="n"/>
      <c r="AD205" s="24" t="n"/>
      <c r="AE205" s="24" t="n"/>
    </row>
    <row r="206">
      <c r="A206" s="114" t="n"/>
      <c r="B206" s="114" t="n"/>
      <c r="C206" s="114" t="n"/>
      <c r="D206" s="114" t="n"/>
      <c r="E206" s="114" t="n"/>
      <c r="F206" s="114" t="n"/>
      <c r="G206" s="24" t="n"/>
      <c r="V206" s="24" t="n"/>
      <c r="Y206" s="24" t="n"/>
      <c r="Z206" s="24" t="n"/>
      <c r="AA206" s="24" t="n"/>
      <c r="AB206" s="24" t="n"/>
      <c r="AC206" s="24" t="n"/>
      <c r="AD206" s="24" t="n"/>
      <c r="AE206" s="24" t="n"/>
    </row>
    <row r="207">
      <c r="A207" s="114" t="n"/>
      <c r="B207" s="114" t="n"/>
      <c r="C207" s="114" t="n"/>
      <c r="D207" s="114" t="n"/>
      <c r="E207" s="114" t="n"/>
      <c r="F207" s="114" t="n"/>
      <c r="G207" s="24" t="n"/>
      <c r="V207" s="24" t="n"/>
      <c r="Y207" s="24" t="n"/>
      <c r="Z207" s="24" t="n"/>
      <c r="AA207" s="24" t="n"/>
      <c r="AB207" s="24" t="n"/>
      <c r="AC207" s="24" t="n"/>
      <c r="AD207" s="24" t="n"/>
      <c r="AE207" s="24" t="n"/>
    </row>
    <row r="208">
      <c r="A208" s="114" t="n"/>
      <c r="B208" s="114" t="n"/>
      <c r="C208" s="114" t="n"/>
      <c r="D208" s="114" t="n"/>
      <c r="E208" s="114" t="n"/>
      <c r="F208" s="114" t="n"/>
      <c r="G208" s="24" t="n"/>
      <c r="V208" s="24" t="n"/>
      <c r="Y208" s="24" t="n"/>
      <c r="Z208" s="24" t="n"/>
      <c r="AA208" s="24" t="n"/>
      <c r="AB208" s="24" t="n"/>
      <c r="AC208" s="24" t="n"/>
      <c r="AD208" s="24" t="n"/>
      <c r="AE208" s="24" t="n"/>
    </row>
    <row r="209">
      <c r="A209" s="114" t="n"/>
      <c r="B209" s="114" t="n"/>
      <c r="C209" s="114" t="n"/>
      <c r="D209" s="114" t="n"/>
      <c r="E209" s="114" t="n"/>
      <c r="F209" s="114" t="n"/>
      <c r="G209" s="24" t="n"/>
      <c r="V209" s="24" t="n"/>
      <c r="Y209" s="24" t="n"/>
      <c r="Z209" s="24" t="n"/>
      <c r="AA209" s="24" t="n"/>
      <c r="AB209" s="24" t="n"/>
      <c r="AC209" s="24" t="n"/>
      <c r="AD209" s="24" t="n"/>
      <c r="AE209" s="24" t="n"/>
    </row>
    <row r="210">
      <c r="A210" s="114" t="n"/>
      <c r="B210" s="114" t="n"/>
      <c r="C210" s="114" t="n"/>
      <c r="D210" s="114" t="n"/>
      <c r="E210" s="114" t="n"/>
      <c r="F210" s="114" t="n"/>
      <c r="G210" s="24" t="n"/>
      <c r="V210" s="24" t="n"/>
      <c r="Y210" s="24" t="n"/>
      <c r="Z210" s="24" t="n"/>
      <c r="AA210" s="24" t="n"/>
      <c r="AB210" s="24" t="n"/>
      <c r="AC210" s="24" t="n"/>
      <c r="AD210" s="24" t="n"/>
      <c r="AE210" s="24" t="n"/>
    </row>
    <row r="211">
      <c r="A211" s="114" t="n"/>
      <c r="B211" s="114" t="n"/>
      <c r="C211" s="114" t="n"/>
      <c r="D211" s="114" t="n"/>
      <c r="E211" s="114" t="n"/>
      <c r="F211" s="114" t="n"/>
      <c r="G211" s="24" t="n"/>
      <c r="V211" s="24" t="n"/>
      <c r="Y211" s="24" t="n"/>
      <c r="Z211" s="24" t="n"/>
      <c r="AA211" s="24" t="n"/>
      <c r="AB211" s="24" t="n"/>
      <c r="AC211" s="24" t="n"/>
      <c r="AD211" s="24" t="n"/>
      <c r="AE211" s="24" t="n"/>
    </row>
    <row r="212">
      <c r="A212" s="114" t="n"/>
      <c r="B212" s="114" t="n"/>
      <c r="C212" s="114" t="n"/>
      <c r="D212" s="114" t="n"/>
      <c r="E212" s="114" t="n"/>
      <c r="F212" s="114" t="n"/>
      <c r="G212" s="24" t="n"/>
      <c r="V212" s="24" t="n"/>
      <c r="Y212" s="24" t="n"/>
      <c r="Z212" s="24" t="n"/>
      <c r="AA212" s="24" t="n"/>
      <c r="AB212" s="24" t="n"/>
      <c r="AC212" s="24" t="n"/>
      <c r="AD212" s="24" t="n"/>
      <c r="AE212" s="24" t="n"/>
    </row>
    <row r="213">
      <c r="A213" s="114" t="n"/>
      <c r="B213" s="114" t="n"/>
      <c r="C213" s="114" t="n"/>
      <c r="D213" s="114" t="n"/>
      <c r="E213" s="114" t="n"/>
      <c r="F213" s="114" t="n"/>
      <c r="G213" s="24" t="n"/>
      <c r="V213" s="24" t="n"/>
      <c r="Y213" s="24" t="n"/>
      <c r="Z213" s="24" t="n"/>
      <c r="AA213" s="24" t="n"/>
      <c r="AB213" s="24" t="n"/>
      <c r="AC213" s="24" t="n"/>
      <c r="AD213" s="24" t="n"/>
      <c r="AE213" s="24" t="n"/>
    </row>
    <row r="214">
      <c r="A214" s="114" t="n"/>
      <c r="B214" s="114" t="n"/>
      <c r="C214" s="114" t="n"/>
      <c r="D214" s="114" t="n"/>
      <c r="E214" s="114" t="n"/>
      <c r="F214" s="114" t="n"/>
      <c r="G214" s="24" t="n"/>
      <c r="V214" s="24" t="n"/>
      <c r="Y214" s="24" t="n"/>
      <c r="Z214" s="24" t="n"/>
      <c r="AA214" s="24" t="n"/>
      <c r="AB214" s="24" t="n"/>
      <c r="AC214" s="24" t="n"/>
      <c r="AD214" s="24" t="n"/>
      <c r="AE214" s="24" t="n"/>
    </row>
    <row r="215">
      <c r="A215" s="114" t="n"/>
      <c r="B215" s="114" t="n"/>
      <c r="C215" s="114" t="n"/>
      <c r="D215" s="114" t="n"/>
      <c r="E215" s="114" t="n"/>
      <c r="F215" s="114" t="n"/>
      <c r="G215" s="24" t="n"/>
      <c r="V215" s="24" t="n"/>
      <c r="Y215" s="24" t="n"/>
      <c r="Z215" s="24" t="n"/>
      <c r="AA215" s="24" t="n"/>
      <c r="AB215" s="24" t="n"/>
      <c r="AC215" s="24" t="n"/>
      <c r="AD215" s="24" t="n"/>
      <c r="AE215" s="24" t="n"/>
    </row>
    <row r="216">
      <c r="A216" s="114" t="n"/>
      <c r="B216" s="114" t="n"/>
      <c r="C216" s="114" t="n"/>
      <c r="D216" s="114" t="n"/>
      <c r="E216" s="114" t="n"/>
      <c r="F216" s="114" t="n"/>
      <c r="G216" s="24" t="n"/>
      <c r="V216" s="24" t="n"/>
      <c r="Y216" s="24" t="n"/>
      <c r="Z216" s="24" t="n"/>
      <c r="AA216" s="24" t="n"/>
      <c r="AB216" s="24" t="n"/>
      <c r="AC216" s="24" t="n"/>
      <c r="AD216" s="24" t="n"/>
      <c r="AE216" s="24" t="n"/>
    </row>
    <row r="217">
      <c r="A217" s="114" t="n"/>
      <c r="B217" s="114" t="n"/>
      <c r="C217" s="114" t="n"/>
      <c r="D217" s="114" t="n"/>
      <c r="E217" s="114" t="n"/>
      <c r="F217" s="114" t="n"/>
      <c r="G217" s="24" t="n"/>
      <c r="V217" s="24" t="n"/>
      <c r="Y217" s="24" t="n"/>
      <c r="Z217" s="24" t="n"/>
      <c r="AA217" s="24" t="n"/>
      <c r="AB217" s="24" t="n"/>
      <c r="AC217" s="24" t="n"/>
      <c r="AD217" s="24" t="n"/>
      <c r="AE217" s="24" t="n"/>
    </row>
    <row r="218">
      <c r="A218" s="114" t="n"/>
      <c r="B218" s="114" t="n"/>
      <c r="C218" s="114" t="n"/>
      <c r="D218" s="114" t="n"/>
      <c r="E218" s="114" t="n"/>
      <c r="F218" s="114" t="n"/>
      <c r="G218" s="24" t="n"/>
      <c r="V218" s="24" t="n"/>
      <c r="Y218" s="24" t="n"/>
      <c r="Z218" s="24" t="n"/>
      <c r="AA218" s="24" t="n"/>
      <c r="AB218" s="24" t="n"/>
      <c r="AC218" s="24" t="n"/>
      <c r="AD218" s="24" t="n"/>
      <c r="AE218" s="24" t="n"/>
    </row>
    <row r="219">
      <c r="A219" s="114" t="n"/>
      <c r="B219" s="114" t="n"/>
      <c r="C219" s="114" t="n"/>
      <c r="D219" s="114" t="n"/>
      <c r="E219" s="114" t="n"/>
      <c r="F219" s="114" t="n"/>
      <c r="G219" s="24" t="n"/>
      <c r="V219" s="24" t="n"/>
      <c r="Y219" s="24" t="n"/>
      <c r="Z219" s="24" t="n"/>
      <c r="AA219" s="24" t="n"/>
      <c r="AB219" s="24" t="n"/>
      <c r="AC219" s="24" t="n"/>
      <c r="AD219" s="24" t="n"/>
      <c r="AE219" s="24" t="n"/>
    </row>
    <row r="220">
      <c r="A220" s="114" t="n"/>
      <c r="B220" s="114" t="n"/>
      <c r="C220" s="114" t="n"/>
      <c r="D220" s="114" t="n"/>
      <c r="E220" s="114" t="n"/>
      <c r="F220" s="114" t="n"/>
      <c r="G220" s="24" t="n"/>
      <c r="V220" s="24" t="n"/>
      <c r="Y220" s="24" t="n"/>
      <c r="Z220" s="24" t="n"/>
      <c r="AA220" s="24" t="n"/>
      <c r="AB220" s="24" t="n"/>
      <c r="AC220" s="24" t="n"/>
      <c r="AD220" s="24" t="n"/>
      <c r="AE220" s="24" t="n"/>
    </row>
    <row r="221">
      <c r="A221" s="114" t="n"/>
      <c r="B221" s="114" t="n"/>
      <c r="C221" s="114" t="n"/>
      <c r="D221" s="114" t="n"/>
      <c r="E221" s="114" t="n"/>
      <c r="F221" s="114" t="n"/>
      <c r="G221" s="24" t="n"/>
      <c r="V221" s="24" t="n"/>
      <c r="Y221" s="24" t="n"/>
      <c r="Z221" s="24" t="n"/>
      <c r="AA221" s="24" t="n"/>
      <c r="AB221" s="24" t="n"/>
      <c r="AC221" s="24" t="n"/>
      <c r="AD221" s="24" t="n"/>
      <c r="AE221" s="24" t="n"/>
    </row>
    <row r="222">
      <c r="A222" s="114" t="n"/>
      <c r="B222" s="114" t="n"/>
      <c r="C222" s="114" t="n"/>
      <c r="D222" s="114" t="n"/>
      <c r="E222" s="114" t="n"/>
      <c r="F222" s="114" t="n"/>
      <c r="G222" s="24" t="n"/>
      <c r="V222" s="24" t="n"/>
      <c r="Y222" s="24" t="n"/>
      <c r="Z222" s="24" t="n"/>
      <c r="AA222" s="24" t="n"/>
      <c r="AB222" s="24" t="n"/>
      <c r="AC222" s="24" t="n"/>
      <c r="AD222" s="24" t="n"/>
      <c r="AE222" s="24" t="n"/>
    </row>
    <row r="223">
      <c r="A223" s="114" t="n"/>
      <c r="B223" s="114" t="n"/>
      <c r="C223" s="114" t="n"/>
      <c r="D223" s="114" t="n"/>
      <c r="E223" s="114" t="n"/>
      <c r="F223" s="114" t="n"/>
      <c r="G223" s="24" t="n"/>
      <c r="V223" s="24" t="n"/>
      <c r="Y223" s="24" t="n"/>
      <c r="Z223" s="24" t="n"/>
      <c r="AA223" s="24" t="n"/>
      <c r="AB223" s="24" t="n"/>
      <c r="AC223" s="24" t="n"/>
      <c r="AD223" s="24" t="n"/>
      <c r="AE223" s="24" t="n"/>
    </row>
    <row r="224">
      <c r="A224" s="114" t="n"/>
      <c r="B224" s="114" t="n"/>
      <c r="C224" s="114" t="n"/>
      <c r="D224" s="114" t="n"/>
      <c r="E224" s="114" t="n"/>
      <c r="F224" s="114" t="n"/>
      <c r="G224" s="24" t="n"/>
      <c r="V224" s="24" t="n"/>
      <c r="Y224" s="24" t="n"/>
      <c r="Z224" s="24" t="n"/>
      <c r="AA224" s="24" t="n"/>
      <c r="AB224" s="24" t="n"/>
      <c r="AC224" s="24" t="n"/>
      <c r="AD224" s="24" t="n"/>
      <c r="AE224" s="24" t="n"/>
    </row>
    <row r="225">
      <c r="A225" s="114" t="n"/>
      <c r="B225" s="114" t="n"/>
      <c r="C225" s="114" t="n"/>
      <c r="D225" s="114" t="n"/>
      <c r="E225" s="114" t="n"/>
      <c r="F225" s="114" t="n"/>
      <c r="G225" s="24" t="n"/>
      <c r="V225" s="24" t="n"/>
      <c r="Y225" s="24" t="n"/>
      <c r="Z225" s="24" t="n"/>
      <c r="AA225" s="24" t="n"/>
      <c r="AB225" s="24" t="n"/>
      <c r="AC225" s="24" t="n"/>
      <c r="AD225" s="24" t="n"/>
      <c r="AE225" s="24" t="n"/>
    </row>
    <row r="226">
      <c r="A226" s="114" t="n"/>
      <c r="B226" s="114" t="n"/>
      <c r="C226" s="114" t="n"/>
      <c r="D226" s="114" t="n"/>
      <c r="E226" s="114" t="n"/>
      <c r="F226" s="114" t="n"/>
      <c r="G226" s="24" t="n"/>
      <c r="V226" s="24" t="n"/>
      <c r="Y226" s="24" t="n"/>
      <c r="Z226" s="24" t="n"/>
      <c r="AA226" s="24" t="n"/>
      <c r="AB226" s="24" t="n"/>
      <c r="AC226" s="24" t="n"/>
      <c r="AD226" s="24" t="n"/>
      <c r="AE226" s="24" t="n"/>
    </row>
    <row r="227">
      <c r="A227" s="114" t="n"/>
      <c r="B227" s="114" t="n"/>
      <c r="C227" s="114" t="n"/>
      <c r="D227" s="114" t="n"/>
      <c r="E227" s="114" t="n"/>
      <c r="F227" s="114" t="n"/>
      <c r="G227" s="24" t="n"/>
      <c r="V227" s="24" t="n"/>
      <c r="Y227" s="24" t="n"/>
      <c r="Z227" s="24" t="n"/>
      <c r="AA227" s="24" t="n"/>
      <c r="AB227" s="24" t="n"/>
      <c r="AC227" s="24" t="n"/>
      <c r="AD227" s="24" t="n"/>
      <c r="AE227" s="24" t="n"/>
    </row>
    <row r="228">
      <c r="A228" s="114" t="n"/>
      <c r="B228" s="114" t="n"/>
      <c r="C228" s="114" t="n"/>
      <c r="D228" s="114" t="n"/>
      <c r="E228" s="114" t="n"/>
      <c r="F228" s="114" t="n"/>
      <c r="G228" s="24" t="n"/>
      <c r="V228" s="24" t="n"/>
      <c r="Y228" s="24" t="n"/>
      <c r="Z228" s="24" t="n"/>
      <c r="AA228" s="24" t="n"/>
      <c r="AB228" s="24" t="n"/>
      <c r="AC228" s="24" t="n"/>
      <c r="AD228" s="24" t="n"/>
      <c r="AE228" s="24" t="n"/>
    </row>
    <row r="229">
      <c r="A229" s="114" t="n"/>
      <c r="B229" s="114" t="n"/>
      <c r="C229" s="114" t="n"/>
      <c r="D229" s="114" t="n"/>
      <c r="E229" s="114" t="n"/>
      <c r="F229" s="114" t="n"/>
      <c r="G229" s="24" t="n"/>
      <c r="V229" s="24" t="n"/>
      <c r="Y229" s="24" t="n"/>
      <c r="Z229" s="24" t="n"/>
      <c r="AA229" s="24" t="n"/>
      <c r="AB229" s="24" t="n"/>
      <c r="AC229" s="24" t="n"/>
      <c r="AD229" s="24" t="n"/>
      <c r="AE229" s="24" t="n"/>
    </row>
    <row r="230">
      <c r="A230" s="114" t="n"/>
      <c r="B230" s="114" t="n"/>
      <c r="C230" s="114" t="n"/>
      <c r="D230" s="114" t="n"/>
      <c r="E230" s="114" t="n"/>
      <c r="F230" s="114" t="n"/>
      <c r="G230" s="24" t="n"/>
      <c r="V230" s="24" t="n"/>
      <c r="Y230" s="24" t="n"/>
      <c r="Z230" s="24" t="n"/>
      <c r="AA230" s="24" t="n"/>
      <c r="AB230" s="24" t="n"/>
      <c r="AC230" s="24" t="n"/>
      <c r="AD230" s="24" t="n"/>
      <c r="AE230" s="24" t="n"/>
    </row>
    <row r="231">
      <c r="A231" s="114" t="n"/>
      <c r="B231" s="114" t="n"/>
      <c r="C231" s="114" t="n"/>
      <c r="D231" s="114" t="n"/>
      <c r="E231" s="114" t="n"/>
      <c r="F231" s="114" t="n"/>
      <c r="G231" s="24" t="n"/>
      <c r="V231" s="24" t="n"/>
      <c r="Y231" s="24" t="n"/>
      <c r="Z231" s="24" t="n"/>
      <c r="AA231" s="24" t="n"/>
      <c r="AB231" s="24" t="n"/>
      <c r="AC231" s="24" t="n"/>
      <c r="AD231" s="24" t="n"/>
      <c r="AE231" s="24" t="n"/>
    </row>
    <row r="232">
      <c r="A232" s="114" t="n"/>
      <c r="B232" s="114" t="n"/>
      <c r="C232" s="114" t="n"/>
      <c r="D232" s="114" t="n"/>
      <c r="E232" s="114" t="n"/>
      <c r="F232" s="114" t="n"/>
      <c r="G232" s="24" t="n"/>
      <c r="V232" s="24" t="n"/>
      <c r="Y232" s="24" t="n"/>
      <c r="Z232" s="24" t="n"/>
      <c r="AA232" s="24" t="n"/>
      <c r="AB232" s="24" t="n"/>
      <c r="AC232" s="24" t="n"/>
      <c r="AD232" s="24" t="n"/>
      <c r="AE232" s="24" t="n"/>
    </row>
    <row r="233">
      <c r="A233" s="114" t="n"/>
      <c r="B233" s="114" t="n"/>
      <c r="C233" s="114" t="n"/>
      <c r="D233" s="114" t="n"/>
      <c r="E233" s="114" t="n"/>
      <c r="F233" s="114" t="n"/>
      <c r="G233" s="24" t="n"/>
      <c r="V233" s="24" t="n"/>
      <c r="Y233" s="24" t="n"/>
      <c r="Z233" s="24" t="n"/>
      <c r="AA233" s="24" t="n"/>
      <c r="AB233" s="24" t="n"/>
      <c r="AC233" s="24" t="n"/>
      <c r="AD233" s="24" t="n"/>
      <c r="AE233" s="24" t="n"/>
    </row>
    <row r="234">
      <c r="A234" s="114" t="n"/>
      <c r="B234" s="114" t="n"/>
      <c r="C234" s="114" t="n"/>
      <c r="D234" s="114" t="n"/>
      <c r="E234" s="114" t="n"/>
      <c r="F234" s="114" t="n"/>
      <c r="G234" s="24" t="n"/>
      <c r="V234" s="24" t="n"/>
      <c r="Y234" s="24" t="n"/>
      <c r="Z234" s="24" t="n"/>
      <c r="AA234" s="24" t="n"/>
      <c r="AB234" s="24" t="n"/>
      <c r="AC234" s="24" t="n"/>
      <c r="AD234" s="24" t="n"/>
      <c r="AE234" s="24" t="n"/>
    </row>
    <row r="235">
      <c r="A235" s="114" t="n"/>
      <c r="B235" s="114" t="n"/>
      <c r="C235" s="114" t="n"/>
      <c r="D235" s="114" t="n"/>
      <c r="E235" s="114" t="n"/>
      <c r="F235" s="114" t="n"/>
      <c r="G235" s="24" t="n"/>
      <c r="V235" s="24" t="n"/>
      <c r="Y235" s="24" t="n"/>
      <c r="Z235" s="24" t="n"/>
      <c r="AA235" s="24" t="n"/>
      <c r="AB235" s="24" t="n"/>
      <c r="AC235" s="24" t="n"/>
      <c r="AD235" s="24" t="n"/>
      <c r="AE235" s="24" t="n"/>
    </row>
    <row r="236">
      <c r="A236" s="114" t="n"/>
      <c r="B236" s="114" t="n"/>
      <c r="C236" s="114" t="n"/>
      <c r="D236" s="114" t="n"/>
      <c r="E236" s="114" t="n"/>
      <c r="F236" s="114" t="n"/>
      <c r="G236" s="24" t="n"/>
      <c r="V236" s="24" t="n"/>
      <c r="Y236" s="24" t="n"/>
      <c r="Z236" s="24" t="n"/>
      <c r="AA236" s="24" t="n"/>
      <c r="AB236" s="24" t="n"/>
      <c r="AC236" s="24" t="n"/>
      <c r="AD236" s="24" t="n"/>
      <c r="AE236" s="24" t="n"/>
    </row>
    <row r="237">
      <c r="A237" s="114" t="n"/>
      <c r="B237" s="114" t="n"/>
      <c r="C237" s="114" t="n"/>
      <c r="D237" s="114" t="n"/>
      <c r="E237" s="114" t="n"/>
      <c r="F237" s="114" t="n"/>
      <c r="G237" s="24" t="n"/>
      <c r="V237" s="24" t="n"/>
      <c r="Y237" s="24" t="n"/>
      <c r="Z237" s="24" t="n"/>
      <c r="AA237" s="24" t="n"/>
      <c r="AB237" s="24" t="n"/>
      <c r="AC237" s="24" t="n"/>
      <c r="AD237" s="24" t="n"/>
      <c r="AE237" s="24" t="n"/>
    </row>
    <row r="238">
      <c r="A238" s="114" t="n"/>
      <c r="B238" s="114" t="n"/>
      <c r="C238" s="114" t="n"/>
      <c r="D238" s="114" t="n"/>
      <c r="E238" s="114" t="n"/>
      <c r="F238" s="114" t="n"/>
      <c r="G238" s="24" t="n"/>
      <c r="V238" s="24" t="n"/>
      <c r="Y238" s="24" t="n"/>
      <c r="Z238" s="24" t="n"/>
      <c r="AA238" s="24" t="n"/>
      <c r="AB238" s="24" t="n"/>
      <c r="AC238" s="24" t="n"/>
      <c r="AD238" s="24" t="n"/>
      <c r="AE238" s="24" t="n"/>
    </row>
    <row r="239">
      <c r="A239" s="114" t="n"/>
      <c r="B239" s="114" t="n"/>
      <c r="C239" s="114" t="n"/>
      <c r="D239" s="114" t="n"/>
      <c r="E239" s="114" t="n"/>
      <c r="F239" s="114" t="n"/>
      <c r="G239" s="24" t="n"/>
      <c r="V239" s="24" t="n"/>
      <c r="Y239" s="24" t="n"/>
      <c r="Z239" s="24" t="n"/>
      <c r="AA239" s="24" t="n"/>
      <c r="AB239" s="24" t="n"/>
      <c r="AC239" s="24" t="n"/>
      <c r="AD239" s="24" t="n"/>
      <c r="AE239" s="24" t="n"/>
    </row>
    <row r="240">
      <c r="A240" s="114" t="n"/>
      <c r="B240" s="114" t="n"/>
      <c r="C240" s="114" t="n"/>
      <c r="D240" s="114" t="n"/>
      <c r="E240" s="114" t="n"/>
      <c r="F240" s="114" t="n"/>
      <c r="G240" s="24" t="n"/>
      <c r="V240" s="24" t="n"/>
      <c r="Y240" s="24" t="n"/>
      <c r="Z240" s="24" t="n"/>
      <c r="AA240" s="24" t="n"/>
      <c r="AB240" s="24" t="n"/>
      <c r="AC240" s="24" t="n"/>
      <c r="AD240" s="24" t="n"/>
      <c r="AE240" s="24" t="n"/>
    </row>
    <row r="241">
      <c r="A241" s="114" t="n"/>
      <c r="B241" s="114" t="n"/>
      <c r="C241" s="114" t="n"/>
      <c r="D241" s="114" t="n"/>
      <c r="E241" s="114" t="n"/>
      <c r="F241" s="114" t="n"/>
      <c r="G241" s="24" t="n"/>
      <c r="V241" s="24" t="n"/>
      <c r="Y241" s="24" t="n"/>
      <c r="Z241" s="24" t="n"/>
      <c r="AA241" s="24" t="n"/>
      <c r="AB241" s="24" t="n"/>
      <c r="AC241" s="24" t="n"/>
      <c r="AD241" s="24" t="n"/>
      <c r="AE241" s="24" t="n"/>
    </row>
    <row r="242">
      <c r="A242" s="114" t="n"/>
      <c r="B242" s="114" t="n"/>
      <c r="C242" s="114" t="n"/>
      <c r="D242" s="114" t="n"/>
      <c r="E242" s="114" t="n"/>
      <c r="F242" s="114" t="n"/>
      <c r="G242" s="24" t="n"/>
      <c r="V242" s="24" t="n"/>
      <c r="Y242" s="24" t="n"/>
      <c r="Z242" s="24" t="n"/>
      <c r="AA242" s="24" t="n"/>
      <c r="AB242" s="24" t="n"/>
      <c r="AC242" s="24" t="n"/>
      <c r="AD242" s="24" t="n"/>
      <c r="AE242" s="24" t="n"/>
    </row>
    <row r="243">
      <c r="A243" s="114" t="n"/>
      <c r="B243" s="114" t="n"/>
      <c r="C243" s="114" t="n"/>
      <c r="D243" s="114" t="n"/>
      <c r="E243" s="114" t="n"/>
      <c r="F243" s="114" t="n"/>
      <c r="G243" s="24" t="n"/>
      <c r="V243" s="24" t="n"/>
      <c r="Y243" s="24" t="n"/>
      <c r="Z243" s="24" t="n"/>
      <c r="AA243" s="24" t="n"/>
      <c r="AB243" s="24" t="n"/>
      <c r="AC243" s="24" t="n"/>
      <c r="AD243" s="24" t="n"/>
      <c r="AE243" s="24" t="n"/>
    </row>
    <row r="244">
      <c r="A244" s="114" t="n"/>
      <c r="B244" s="114" t="n"/>
      <c r="C244" s="114" t="n"/>
      <c r="D244" s="114" t="n"/>
      <c r="E244" s="114" t="n"/>
      <c r="F244" s="114" t="n"/>
      <c r="G244" s="24" t="n"/>
      <c r="V244" s="24" t="n"/>
      <c r="Y244" s="24" t="n"/>
      <c r="Z244" s="24" t="n"/>
      <c r="AA244" s="24" t="n"/>
      <c r="AB244" s="24" t="n"/>
      <c r="AC244" s="24" t="n"/>
      <c r="AD244" s="24" t="n"/>
      <c r="AE244" s="24" t="n"/>
    </row>
    <row r="245">
      <c r="A245" s="114" t="n"/>
      <c r="B245" s="114" t="n"/>
      <c r="C245" s="114" t="n"/>
      <c r="D245" s="114" t="n"/>
      <c r="E245" s="114" t="n"/>
      <c r="F245" s="114" t="n"/>
      <c r="G245" s="24" t="n"/>
      <c r="V245" s="24" t="n"/>
      <c r="Y245" s="24" t="n"/>
      <c r="Z245" s="24" t="n"/>
      <c r="AA245" s="24" t="n"/>
      <c r="AB245" s="24" t="n"/>
      <c r="AC245" s="24" t="n"/>
      <c r="AD245" s="24" t="n"/>
      <c r="AE245" s="24" t="n"/>
    </row>
    <row r="246">
      <c r="A246" s="114" t="n"/>
      <c r="B246" s="114" t="n"/>
      <c r="C246" s="114" t="n"/>
      <c r="D246" s="114" t="n"/>
      <c r="E246" s="114" t="n"/>
      <c r="F246" s="114" t="n"/>
      <c r="G246" s="24" t="n"/>
      <c r="V246" s="24" t="n"/>
      <c r="Y246" s="24" t="n"/>
      <c r="Z246" s="24" t="n"/>
      <c r="AA246" s="24" t="n"/>
      <c r="AB246" s="24" t="n"/>
      <c r="AC246" s="24" t="n"/>
      <c r="AD246" s="24" t="n"/>
      <c r="AE246" s="24" t="n"/>
    </row>
    <row r="247">
      <c r="A247" s="114" t="n"/>
      <c r="B247" s="114" t="n"/>
      <c r="C247" s="114" t="n"/>
      <c r="D247" s="114" t="n"/>
      <c r="E247" s="114" t="n"/>
      <c r="F247" s="114" t="n"/>
      <c r="G247" s="24" t="n"/>
      <c r="V247" s="24" t="n"/>
      <c r="Y247" s="24" t="n"/>
      <c r="Z247" s="24" t="n"/>
      <c r="AA247" s="24" t="n"/>
      <c r="AB247" s="24" t="n"/>
      <c r="AC247" s="24" t="n"/>
      <c r="AD247" s="24" t="n"/>
      <c r="AE247" s="24" t="n"/>
    </row>
    <row r="248">
      <c r="A248" s="114" t="n"/>
      <c r="B248" s="114" t="n"/>
      <c r="C248" s="114" t="n"/>
      <c r="D248" s="114" t="n"/>
      <c r="E248" s="114" t="n"/>
      <c r="F248" s="114" t="n"/>
      <c r="G248" s="24" t="n"/>
      <c r="V248" s="24" t="n"/>
      <c r="Y248" s="24" t="n"/>
      <c r="Z248" s="24" t="n"/>
      <c r="AA248" s="24" t="n"/>
      <c r="AB248" s="24" t="n"/>
      <c r="AC248" s="24" t="n"/>
      <c r="AD248" s="24" t="n"/>
      <c r="AE248" s="24" t="n"/>
    </row>
    <row r="249">
      <c r="A249" s="114" t="n"/>
      <c r="B249" s="114" t="n"/>
      <c r="C249" s="114" t="n"/>
      <c r="D249" s="114" t="n"/>
      <c r="E249" s="114" t="n"/>
      <c r="F249" s="114" t="n"/>
      <c r="G249" s="24" t="n"/>
      <c r="V249" s="24" t="n"/>
      <c r="Y249" s="24" t="n"/>
      <c r="Z249" s="24" t="n"/>
      <c r="AA249" s="24" t="n"/>
      <c r="AB249" s="24" t="n"/>
      <c r="AC249" s="24" t="n"/>
      <c r="AD249" s="24" t="n"/>
      <c r="AE249" s="24" t="n"/>
    </row>
    <row r="250">
      <c r="A250" s="114" t="n"/>
      <c r="B250" s="114" t="n"/>
      <c r="C250" s="114" t="n"/>
      <c r="D250" s="114" t="n"/>
      <c r="E250" s="114" t="n"/>
      <c r="F250" s="114" t="n"/>
      <c r="G250" s="24" t="n"/>
      <c r="V250" s="24" t="n"/>
      <c r="Y250" s="24" t="n"/>
      <c r="Z250" s="24" t="n"/>
      <c r="AA250" s="24" t="n"/>
      <c r="AB250" s="24" t="n"/>
      <c r="AC250" s="24" t="n"/>
      <c r="AD250" s="24" t="n"/>
      <c r="AE250" s="24" t="n"/>
    </row>
    <row r="251">
      <c r="A251" s="114" t="n"/>
      <c r="B251" s="114" t="n"/>
      <c r="C251" s="114" t="n"/>
      <c r="D251" s="114" t="n"/>
      <c r="E251" s="114" t="n"/>
      <c r="F251" s="114" t="n"/>
      <c r="G251" s="24" t="n"/>
      <c r="V251" s="24" t="n"/>
      <c r="Y251" s="24" t="n"/>
      <c r="Z251" s="24" t="n"/>
      <c r="AA251" s="24" t="n"/>
      <c r="AB251" s="24" t="n"/>
      <c r="AC251" s="24" t="n"/>
      <c r="AD251" s="24" t="n"/>
      <c r="AE251" s="24" t="n"/>
    </row>
    <row r="252">
      <c r="A252" s="114" t="n"/>
      <c r="B252" s="114" t="n"/>
      <c r="C252" s="114" t="n"/>
      <c r="D252" s="114" t="n"/>
      <c r="E252" s="114" t="n"/>
      <c r="F252" s="114" t="n"/>
      <c r="G252" s="24" t="n"/>
      <c r="V252" s="24" t="n"/>
      <c r="Y252" s="24" t="n"/>
      <c r="Z252" s="24" t="n"/>
      <c r="AA252" s="24" t="n"/>
      <c r="AB252" s="24" t="n"/>
      <c r="AC252" s="24" t="n"/>
      <c r="AD252" s="24" t="n"/>
      <c r="AE252" s="24" t="n"/>
    </row>
    <row r="253">
      <c r="A253" s="114" t="n"/>
      <c r="B253" s="114" t="n"/>
      <c r="C253" s="114" t="n"/>
      <c r="D253" s="114" t="n"/>
      <c r="E253" s="114" t="n"/>
      <c r="F253" s="114" t="n"/>
      <c r="G253" s="24" t="n"/>
      <c r="V253" s="24" t="n"/>
      <c r="Y253" s="24" t="n"/>
      <c r="Z253" s="24" t="n"/>
      <c r="AA253" s="24" t="n"/>
      <c r="AB253" s="24" t="n"/>
      <c r="AC253" s="24" t="n"/>
      <c r="AD253" s="24" t="n"/>
      <c r="AE253" s="24" t="n"/>
    </row>
    <row r="254">
      <c r="A254" s="114" t="n"/>
      <c r="B254" s="114" t="n"/>
      <c r="C254" s="114" t="n"/>
      <c r="D254" s="114" t="n"/>
      <c r="E254" s="114" t="n"/>
      <c r="F254" s="114" t="n"/>
      <c r="G254" s="24" t="n"/>
      <c r="V254" s="24" t="n"/>
      <c r="Y254" s="24" t="n"/>
      <c r="Z254" s="24" t="n"/>
      <c r="AA254" s="24" t="n"/>
      <c r="AB254" s="24" t="n"/>
      <c r="AC254" s="24" t="n"/>
      <c r="AD254" s="24" t="n"/>
      <c r="AE254" s="24" t="n"/>
    </row>
    <row r="255">
      <c r="A255" s="114" t="n"/>
      <c r="B255" s="114" t="n"/>
      <c r="C255" s="114" t="n"/>
      <c r="D255" s="114" t="n"/>
      <c r="E255" s="114" t="n"/>
      <c r="F255" s="114" t="n"/>
      <c r="G255" s="24" t="n"/>
      <c r="V255" s="24" t="n"/>
      <c r="Y255" s="24" t="n"/>
      <c r="Z255" s="24" t="n"/>
      <c r="AA255" s="24" t="n"/>
      <c r="AB255" s="24" t="n"/>
      <c r="AC255" s="24" t="n"/>
      <c r="AD255" s="24" t="n"/>
      <c r="AE255" s="24" t="n"/>
    </row>
    <row r="256">
      <c r="A256" s="114" t="n"/>
      <c r="B256" s="114" t="n"/>
      <c r="C256" s="114" t="n"/>
      <c r="D256" s="114" t="n"/>
      <c r="E256" s="114" t="n"/>
      <c r="F256" s="114" t="n"/>
      <c r="G256" s="24" t="n"/>
      <c r="V256" s="24" t="n"/>
      <c r="Y256" s="24" t="n"/>
      <c r="Z256" s="24" t="n"/>
      <c r="AA256" s="24" t="n"/>
      <c r="AB256" s="24" t="n"/>
      <c r="AC256" s="24" t="n"/>
      <c r="AD256" s="24" t="n"/>
      <c r="AE256" s="24" t="n"/>
    </row>
    <row r="257">
      <c r="A257" s="114" t="n"/>
      <c r="B257" s="114" t="n"/>
      <c r="C257" s="114" t="n"/>
      <c r="D257" s="114" t="n"/>
      <c r="E257" s="114" t="n"/>
      <c r="F257" s="114" t="n"/>
      <c r="G257" s="24" t="n"/>
      <c r="V257" s="24" t="n"/>
      <c r="Y257" s="24" t="n"/>
      <c r="Z257" s="24" t="n"/>
      <c r="AA257" s="24" t="n"/>
      <c r="AB257" s="24" t="n"/>
      <c r="AC257" s="24" t="n"/>
      <c r="AD257" s="24" t="n"/>
      <c r="AE257" s="24" t="n"/>
    </row>
    <row r="258">
      <c r="A258" s="114" t="n"/>
      <c r="B258" s="114" t="n"/>
      <c r="C258" s="114" t="n"/>
      <c r="D258" s="114" t="n"/>
      <c r="E258" s="114" t="n"/>
      <c r="F258" s="114" t="n"/>
      <c r="G258" s="24" t="n"/>
      <c r="V258" s="24" t="n"/>
      <c r="Y258" s="24" t="n"/>
      <c r="Z258" s="24" t="n"/>
      <c r="AA258" s="24" t="n"/>
      <c r="AB258" s="24" t="n"/>
      <c r="AC258" s="24" t="n"/>
      <c r="AD258" s="24" t="n"/>
      <c r="AE258" s="24" t="n"/>
    </row>
    <row r="259">
      <c r="A259" s="114" t="n"/>
      <c r="B259" s="114" t="n"/>
      <c r="C259" s="114" t="n"/>
      <c r="D259" s="114" t="n"/>
      <c r="E259" s="114" t="n"/>
      <c r="F259" s="114" t="n"/>
      <c r="G259" s="24" t="n"/>
      <c r="V259" s="24" t="n"/>
      <c r="Y259" s="24" t="n"/>
      <c r="Z259" s="24" t="n"/>
      <c r="AA259" s="24" t="n"/>
      <c r="AB259" s="24" t="n"/>
      <c r="AC259" s="24" t="n"/>
      <c r="AD259" s="24" t="n"/>
      <c r="AE259" s="24" t="n"/>
    </row>
    <row r="260">
      <c r="A260" s="114" t="n"/>
      <c r="B260" s="114" t="n"/>
      <c r="C260" s="114" t="n"/>
      <c r="D260" s="114" t="n"/>
      <c r="E260" s="114" t="n"/>
      <c r="F260" s="114" t="n"/>
      <c r="G260" s="24" t="n"/>
      <c r="V260" s="24" t="n"/>
      <c r="Y260" s="24" t="n"/>
      <c r="Z260" s="24" t="n"/>
      <c r="AA260" s="24" t="n"/>
      <c r="AB260" s="24" t="n"/>
      <c r="AC260" s="24" t="n"/>
      <c r="AD260" s="24" t="n"/>
      <c r="AE260" s="24" t="n"/>
    </row>
    <row r="261">
      <c r="A261" s="114" t="n"/>
      <c r="B261" s="114" t="n"/>
      <c r="C261" s="114" t="n"/>
      <c r="D261" s="114" t="n"/>
      <c r="E261" s="114" t="n"/>
      <c r="F261" s="114" t="n"/>
      <c r="G261" s="24" t="n"/>
      <c r="V261" s="24" t="n"/>
      <c r="Y261" s="24" t="n"/>
      <c r="Z261" s="24" t="n"/>
      <c r="AA261" s="24" t="n"/>
      <c r="AB261" s="24" t="n"/>
      <c r="AC261" s="24" t="n"/>
      <c r="AD261" s="24" t="n"/>
      <c r="AE261" s="24" t="n"/>
    </row>
    <row r="262">
      <c r="A262" s="114" t="n"/>
      <c r="B262" s="114" t="n"/>
      <c r="C262" s="114" t="n"/>
      <c r="D262" s="114" t="n"/>
      <c r="E262" s="114" t="n"/>
      <c r="F262" s="114" t="n"/>
      <c r="G262" s="24" t="n"/>
      <c r="V262" s="24" t="n"/>
      <c r="Y262" s="24" t="n"/>
      <c r="Z262" s="24" t="n"/>
      <c r="AA262" s="24" t="n"/>
      <c r="AB262" s="24" t="n"/>
      <c r="AC262" s="24" t="n"/>
      <c r="AD262" s="24" t="n"/>
      <c r="AE262" s="24" t="n"/>
    </row>
    <row r="263">
      <c r="A263" s="114" t="n"/>
      <c r="B263" s="114" t="n"/>
      <c r="C263" s="114" t="n"/>
      <c r="D263" s="114" t="n"/>
      <c r="E263" s="114" t="n"/>
      <c r="F263" s="114" t="n"/>
      <c r="G263" s="24" t="n"/>
      <c r="V263" s="24" t="n"/>
      <c r="Y263" s="24" t="n"/>
      <c r="Z263" s="24" t="n"/>
      <c r="AA263" s="24" t="n"/>
      <c r="AB263" s="24" t="n"/>
      <c r="AC263" s="24" t="n"/>
      <c r="AD263" s="24" t="n"/>
      <c r="AE263" s="24" t="n"/>
    </row>
    <row r="264">
      <c r="A264" s="114" t="n"/>
      <c r="B264" s="114" t="n"/>
      <c r="C264" s="114" t="n"/>
      <c r="D264" s="114" t="n"/>
      <c r="E264" s="114" t="n"/>
      <c r="F264" s="114" t="n"/>
      <c r="G264" s="24" t="n"/>
      <c r="V264" s="24" t="n"/>
      <c r="Y264" s="24" t="n"/>
      <c r="Z264" s="24" t="n"/>
      <c r="AA264" s="24" t="n"/>
      <c r="AB264" s="24" t="n"/>
      <c r="AC264" s="24" t="n"/>
      <c r="AD264" s="24" t="n"/>
      <c r="AE264" s="24" t="n"/>
    </row>
    <row r="265">
      <c r="A265" s="114" t="n"/>
      <c r="B265" s="114" t="n"/>
      <c r="C265" s="114" t="n"/>
      <c r="D265" s="114" t="n"/>
      <c r="E265" s="114" t="n"/>
      <c r="F265" s="114" t="n"/>
      <c r="G265" s="24" t="n"/>
      <c r="V265" s="24" t="n"/>
      <c r="Y265" s="24" t="n"/>
      <c r="Z265" s="24" t="n"/>
      <c r="AA265" s="24" t="n"/>
      <c r="AB265" s="24" t="n"/>
      <c r="AC265" s="24" t="n"/>
      <c r="AD265" s="24" t="n"/>
      <c r="AE265" s="24" t="n"/>
    </row>
    <row r="266">
      <c r="A266" s="114" t="n"/>
      <c r="B266" s="114" t="n"/>
      <c r="C266" s="114" t="n"/>
      <c r="D266" s="114" t="n"/>
      <c r="E266" s="114" t="n"/>
      <c r="F266" s="114" t="n"/>
      <c r="G266" s="24" t="n"/>
      <c r="V266" s="24" t="n"/>
      <c r="Y266" s="24" t="n"/>
      <c r="Z266" s="24" t="n"/>
      <c r="AA266" s="24" t="n"/>
      <c r="AB266" s="24" t="n"/>
      <c r="AC266" s="24" t="n"/>
      <c r="AD266" s="24" t="n"/>
      <c r="AE266" s="24" t="n"/>
    </row>
    <row r="267">
      <c r="A267" s="114" t="n"/>
      <c r="B267" s="114" t="n"/>
      <c r="C267" s="114" t="n"/>
      <c r="D267" s="114" t="n"/>
      <c r="E267" s="114" t="n"/>
      <c r="F267" s="114" t="n"/>
      <c r="G267" s="24" t="n"/>
      <c r="V267" s="24" t="n"/>
      <c r="Y267" s="24" t="n"/>
      <c r="Z267" s="24" t="n"/>
      <c r="AA267" s="24" t="n"/>
      <c r="AB267" s="24" t="n"/>
      <c r="AC267" s="24" t="n"/>
      <c r="AD267" s="24" t="n"/>
      <c r="AE267" s="24" t="n"/>
    </row>
    <row r="268">
      <c r="A268" s="114" t="n"/>
      <c r="B268" s="114" t="n"/>
      <c r="C268" s="114" t="n"/>
      <c r="D268" s="114" t="n"/>
      <c r="E268" s="114" t="n"/>
      <c r="F268" s="114" t="n"/>
      <c r="G268" s="24" t="n"/>
      <c r="V268" s="24" t="n"/>
      <c r="Y268" s="24" t="n"/>
      <c r="Z268" s="24" t="n"/>
      <c r="AA268" s="24" t="n"/>
      <c r="AB268" s="24" t="n"/>
      <c r="AC268" s="24" t="n"/>
      <c r="AD268" s="24" t="n"/>
      <c r="AE268" s="24" t="n"/>
    </row>
    <row r="269">
      <c r="A269" s="114" t="n"/>
      <c r="B269" s="114" t="n"/>
      <c r="C269" s="114" t="n"/>
      <c r="D269" s="114" t="n"/>
      <c r="E269" s="114" t="n"/>
      <c r="F269" s="114" t="n"/>
      <c r="G269" s="24" t="n"/>
      <c r="V269" s="24" t="n"/>
      <c r="Y269" s="24" t="n"/>
      <c r="Z269" s="24" t="n"/>
      <c r="AA269" s="24" t="n"/>
      <c r="AB269" s="24" t="n"/>
      <c r="AC269" s="24" t="n"/>
      <c r="AD269" s="24" t="n"/>
      <c r="AE269" s="24" t="n"/>
    </row>
    <row r="270">
      <c r="A270" s="114" t="n"/>
      <c r="B270" s="114" t="n"/>
      <c r="C270" s="114" t="n"/>
      <c r="D270" s="114" t="n"/>
      <c r="E270" s="114" t="n"/>
      <c r="F270" s="114" t="n"/>
      <c r="G270" s="24" t="n"/>
      <c r="V270" s="24" t="n"/>
      <c r="Y270" s="24" t="n"/>
      <c r="Z270" s="24" t="n"/>
      <c r="AA270" s="24" t="n"/>
      <c r="AB270" s="24" t="n"/>
      <c r="AC270" s="24" t="n"/>
      <c r="AD270" s="24" t="n"/>
      <c r="AE270" s="24" t="n"/>
    </row>
    <row r="271">
      <c r="A271" s="114" t="n"/>
      <c r="B271" s="114" t="n"/>
      <c r="C271" s="114" t="n"/>
      <c r="D271" s="114" t="n"/>
      <c r="E271" s="114" t="n"/>
      <c r="F271" s="114" t="n"/>
      <c r="G271" s="24" t="n"/>
      <c r="V271" s="24" t="n"/>
      <c r="Y271" s="24" t="n"/>
      <c r="Z271" s="24" t="n"/>
      <c r="AA271" s="24" t="n"/>
      <c r="AB271" s="24" t="n"/>
      <c r="AC271" s="24" t="n"/>
      <c r="AD271" s="24" t="n"/>
      <c r="AE271" s="24" t="n"/>
    </row>
    <row r="272">
      <c r="A272" s="114" t="n"/>
      <c r="B272" s="114" t="n"/>
      <c r="C272" s="114" t="n"/>
      <c r="D272" s="114" t="n"/>
      <c r="E272" s="114" t="n"/>
      <c r="F272" s="114" t="n"/>
      <c r="G272" s="24" t="n"/>
      <c r="V272" s="24" t="n"/>
      <c r="Y272" s="24" t="n"/>
      <c r="Z272" s="24" t="n"/>
      <c r="AA272" s="24" t="n"/>
      <c r="AB272" s="24" t="n"/>
      <c r="AC272" s="24" t="n"/>
      <c r="AD272" s="24" t="n"/>
      <c r="AE272" s="24" t="n"/>
    </row>
    <row r="273">
      <c r="A273" s="114" t="n"/>
      <c r="B273" s="114" t="n"/>
      <c r="C273" s="114" t="n"/>
      <c r="D273" s="114" t="n"/>
      <c r="E273" s="114" t="n"/>
      <c r="F273" s="114" t="n"/>
      <c r="G273" s="24" t="n"/>
      <c r="V273" s="24" t="n"/>
      <c r="Y273" s="24" t="n"/>
      <c r="Z273" s="24" t="n"/>
      <c r="AA273" s="24" t="n"/>
      <c r="AB273" s="24" t="n"/>
      <c r="AC273" s="24" t="n"/>
      <c r="AD273" s="24" t="n"/>
      <c r="AE273" s="24" t="n"/>
    </row>
    <row r="274">
      <c r="A274" s="114" t="n"/>
      <c r="B274" s="114" t="n"/>
      <c r="C274" s="114" t="n"/>
      <c r="D274" s="114" t="n"/>
      <c r="E274" s="114" t="n"/>
      <c r="F274" s="114" t="n"/>
      <c r="G274" s="24" t="n"/>
      <c r="V274" s="24" t="n"/>
      <c r="Y274" s="24" t="n"/>
      <c r="Z274" s="24" t="n"/>
      <c r="AA274" s="24" t="n"/>
      <c r="AB274" s="24" t="n"/>
      <c r="AC274" s="24" t="n"/>
      <c r="AD274" s="24" t="n"/>
      <c r="AE274" s="24" t="n"/>
    </row>
    <row r="275">
      <c r="A275" s="114" t="n"/>
      <c r="B275" s="114" t="n"/>
      <c r="C275" s="114" t="n"/>
      <c r="D275" s="114" t="n"/>
      <c r="E275" s="114" t="n"/>
      <c r="F275" s="114" t="n"/>
      <c r="G275" s="24" t="n"/>
      <c r="V275" s="24" t="n"/>
      <c r="Y275" s="24" t="n"/>
      <c r="Z275" s="24" t="n"/>
      <c r="AA275" s="24" t="n"/>
      <c r="AB275" s="24" t="n"/>
      <c r="AC275" s="24" t="n"/>
      <c r="AD275" s="24" t="n"/>
      <c r="AE275" s="24" t="n"/>
    </row>
    <row r="276">
      <c r="A276" s="114" t="n"/>
      <c r="B276" s="114" t="n"/>
      <c r="C276" s="114" t="n"/>
      <c r="D276" s="114" t="n"/>
      <c r="E276" s="114" t="n"/>
      <c r="F276" s="114" t="n"/>
      <c r="G276" s="24" t="n"/>
      <c r="V276" s="24" t="n"/>
      <c r="Y276" s="24" t="n"/>
      <c r="Z276" s="24" t="n"/>
      <c r="AA276" s="24" t="n"/>
      <c r="AB276" s="24" t="n"/>
      <c r="AC276" s="24" t="n"/>
      <c r="AD276" s="24" t="n"/>
      <c r="AE276" s="24" t="n"/>
    </row>
    <row r="277">
      <c r="A277" s="114" t="n"/>
      <c r="B277" s="114" t="n"/>
      <c r="C277" s="114" t="n"/>
      <c r="D277" s="114" t="n"/>
      <c r="E277" s="114" t="n"/>
      <c r="F277" s="114" t="n"/>
      <c r="G277" s="24" t="n"/>
      <c r="V277" s="24" t="n"/>
      <c r="Y277" s="24" t="n"/>
      <c r="Z277" s="24" t="n"/>
      <c r="AA277" s="24" t="n"/>
      <c r="AB277" s="24" t="n"/>
      <c r="AC277" s="24" t="n"/>
      <c r="AD277" s="24" t="n"/>
      <c r="AE277" s="24" t="n"/>
    </row>
    <row r="278">
      <c r="A278" s="114" t="n"/>
      <c r="B278" s="114" t="n"/>
      <c r="C278" s="114" t="n"/>
      <c r="D278" s="114" t="n"/>
      <c r="E278" s="114" t="n"/>
      <c r="F278" s="114" t="n"/>
      <c r="G278" s="24" t="n"/>
      <c r="V278" s="24" t="n"/>
      <c r="Y278" s="24" t="n"/>
      <c r="Z278" s="24" t="n"/>
      <c r="AA278" s="24" t="n"/>
      <c r="AB278" s="24" t="n"/>
      <c r="AC278" s="24" t="n"/>
      <c r="AD278" s="24" t="n"/>
      <c r="AE278" s="24" t="n"/>
    </row>
    <row r="279">
      <c r="A279" s="114" t="n"/>
      <c r="B279" s="114" t="n"/>
      <c r="C279" s="114" t="n"/>
      <c r="D279" s="114" t="n"/>
      <c r="E279" s="114" t="n"/>
      <c r="F279" s="114" t="n"/>
      <c r="G279" s="24" t="n"/>
      <c r="V279" s="24" t="n"/>
      <c r="Y279" s="24" t="n"/>
      <c r="Z279" s="24" t="n"/>
      <c r="AA279" s="24" t="n"/>
      <c r="AB279" s="24" t="n"/>
      <c r="AC279" s="24" t="n"/>
      <c r="AD279" s="24" t="n"/>
      <c r="AE279" s="24" t="n"/>
    </row>
    <row r="280">
      <c r="A280" s="114" t="n"/>
      <c r="B280" s="114" t="n"/>
      <c r="C280" s="114" t="n"/>
      <c r="D280" s="114" t="n"/>
      <c r="E280" s="114" t="n"/>
      <c r="F280" s="114" t="n"/>
      <c r="G280" s="24" t="n"/>
      <c r="V280" s="24" t="n"/>
      <c r="Y280" s="24" t="n"/>
      <c r="Z280" s="24" t="n"/>
      <c r="AA280" s="24" t="n"/>
      <c r="AB280" s="24" t="n"/>
      <c r="AC280" s="24" t="n"/>
      <c r="AD280" s="24" t="n"/>
      <c r="AE280" s="24" t="n"/>
    </row>
    <row r="281">
      <c r="A281" s="114" t="n"/>
      <c r="B281" s="114" t="n"/>
      <c r="C281" s="114" t="n"/>
      <c r="D281" s="114" t="n"/>
      <c r="E281" s="114" t="n"/>
      <c r="F281" s="114" t="n"/>
      <c r="G281" s="24" t="n"/>
      <c r="V281" s="24" t="n"/>
      <c r="Y281" s="24" t="n"/>
      <c r="Z281" s="24" t="n"/>
      <c r="AA281" s="24" t="n"/>
      <c r="AB281" s="24" t="n"/>
      <c r="AC281" s="24" t="n"/>
      <c r="AD281" s="24" t="n"/>
      <c r="AE281" s="24" t="n"/>
    </row>
    <row r="282">
      <c r="A282" s="114" t="n"/>
      <c r="B282" s="114" t="n"/>
      <c r="C282" s="114" t="n"/>
      <c r="D282" s="114" t="n"/>
      <c r="E282" s="114" t="n"/>
      <c r="F282" s="114" t="n"/>
      <c r="G282" s="24" t="n"/>
      <c r="V282" s="24" t="n"/>
      <c r="Y282" s="24" t="n"/>
      <c r="Z282" s="24" t="n"/>
      <c r="AA282" s="24" t="n"/>
      <c r="AB282" s="24" t="n"/>
      <c r="AC282" s="24" t="n"/>
      <c r="AD282" s="24" t="n"/>
      <c r="AE282" s="24" t="n"/>
    </row>
    <row r="283">
      <c r="A283" s="114" t="n"/>
      <c r="B283" s="114" t="n"/>
      <c r="C283" s="114" t="n"/>
      <c r="D283" s="114" t="n"/>
      <c r="E283" s="114" t="n"/>
      <c r="F283" s="114" t="n"/>
      <c r="G283" s="24" t="n"/>
      <c r="V283" s="24" t="n"/>
      <c r="Y283" s="24" t="n"/>
      <c r="Z283" s="24" t="n"/>
      <c r="AA283" s="24" t="n"/>
      <c r="AB283" s="24" t="n"/>
      <c r="AC283" s="24" t="n"/>
      <c r="AD283" s="24" t="n"/>
      <c r="AE283" s="24" t="n"/>
    </row>
    <row r="284">
      <c r="A284" s="114" t="n"/>
      <c r="B284" s="114" t="n"/>
      <c r="C284" s="114" t="n"/>
      <c r="D284" s="114" t="n"/>
      <c r="E284" s="114" t="n"/>
      <c r="F284" s="114" t="n"/>
      <c r="G284" s="24" t="n"/>
      <c r="V284" s="24" t="n"/>
      <c r="Y284" s="24" t="n"/>
      <c r="Z284" s="24" t="n"/>
      <c r="AA284" s="24" t="n"/>
      <c r="AB284" s="24" t="n"/>
      <c r="AC284" s="24" t="n"/>
      <c r="AD284" s="24" t="n"/>
      <c r="AE284" s="24" t="n"/>
    </row>
    <row r="285">
      <c r="A285" s="114" t="n"/>
      <c r="B285" s="114" t="n"/>
      <c r="C285" s="114" t="n"/>
      <c r="D285" s="114" t="n"/>
      <c r="E285" s="114" t="n"/>
      <c r="F285" s="114" t="n"/>
      <c r="G285" s="24" t="n"/>
      <c r="V285" s="24" t="n"/>
      <c r="Y285" s="24" t="n"/>
      <c r="Z285" s="24" t="n"/>
      <c r="AA285" s="24" t="n"/>
      <c r="AB285" s="24" t="n"/>
      <c r="AC285" s="24" t="n"/>
      <c r="AD285" s="24" t="n"/>
      <c r="AE285" s="24" t="n"/>
    </row>
    <row r="286">
      <c r="A286" s="114" t="n"/>
      <c r="B286" s="114" t="n"/>
      <c r="C286" s="114" t="n"/>
      <c r="D286" s="114" t="n"/>
      <c r="E286" s="114" t="n"/>
      <c r="F286" s="114" t="n"/>
      <c r="G286" s="24" t="n"/>
      <c r="V286" s="24" t="n"/>
      <c r="Y286" s="24" t="n"/>
      <c r="Z286" s="24" t="n"/>
      <c r="AA286" s="24" t="n"/>
      <c r="AB286" s="24" t="n"/>
      <c r="AC286" s="24" t="n"/>
      <c r="AD286" s="24" t="n"/>
      <c r="AE286" s="24" t="n"/>
    </row>
    <row r="287">
      <c r="A287" s="114" t="n"/>
      <c r="B287" s="114" t="n"/>
      <c r="C287" s="114" t="n"/>
      <c r="D287" s="114" t="n"/>
      <c r="E287" s="114" t="n"/>
      <c r="F287" s="114" t="n"/>
      <c r="G287" s="24" t="n"/>
      <c r="V287" s="24" t="n"/>
      <c r="Y287" s="24" t="n"/>
      <c r="Z287" s="24" t="n"/>
      <c r="AA287" s="24" t="n"/>
      <c r="AB287" s="24" t="n"/>
      <c r="AC287" s="24" t="n"/>
      <c r="AD287" s="24" t="n"/>
      <c r="AE287" s="24" t="n"/>
    </row>
    <row r="288">
      <c r="A288" s="114" t="n"/>
      <c r="B288" s="114" t="n"/>
      <c r="C288" s="114" t="n"/>
      <c r="D288" s="114" t="n"/>
      <c r="E288" s="114" t="n"/>
      <c r="F288" s="114" t="n"/>
      <c r="G288" s="24" t="n"/>
      <c r="V288" s="24" t="n"/>
      <c r="Y288" s="24" t="n"/>
      <c r="Z288" s="24" t="n"/>
      <c r="AA288" s="24" t="n"/>
      <c r="AB288" s="24" t="n"/>
      <c r="AC288" s="24" t="n"/>
      <c r="AD288" s="24" t="n"/>
      <c r="AE288" s="24" t="n"/>
    </row>
    <row r="289">
      <c r="A289" s="114" t="n"/>
      <c r="B289" s="114" t="n"/>
      <c r="C289" s="114" t="n"/>
      <c r="D289" s="114" t="n"/>
      <c r="E289" s="114" t="n"/>
      <c r="F289" s="114" t="n"/>
      <c r="G289" s="24" t="n"/>
      <c r="V289" s="24" t="n"/>
      <c r="Y289" s="24" t="n"/>
      <c r="Z289" s="24" t="n"/>
      <c r="AA289" s="24" t="n"/>
      <c r="AB289" s="24" t="n"/>
      <c r="AC289" s="24" t="n"/>
      <c r="AD289" s="24" t="n"/>
      <c r="AE289" s="24" t="n"/>
    </row>
    <row r="290">
      <c r="A290" s="114" t="n"/>
      <c r="B290" s="114" t="n"/>
      <c r="C290" s="114" t="n"/>
      <c r="D290" s="114" t="n"/>
      <c r="E290" s="114" t="n"/>
      <c r="F290" s="114" t="n"/>
      <c r="G290" s="24" t="n"/>
      <c r="V290" s="24" t="n"/>
      <c r="Y290" s="24" t="n"/>
      <c r="Z290" s="24" t="n"/>
      <c r="AA290" s="24" t="n"/>
      <c r="AB290" s="24" t="n"/>
      <c r="AC290" s="24" t="n"/>
      <c r="AD290" s="24" t="n"/>
      <c r="AE290" s="24" t="n"/>
    </row>
    <row r="291">
      <c r="A291" s="114" t="n"/>
      <c r="B291" s="114" t="n"/>
      <c r="C291" s="114" t="n"/>
      <c r="D291" s="114" t="n"/>
      <c r="E291" s="114" t="n"/>
      <c r="F291" s="114" t="n"/>
      <c r="G291" s="24" t="n"/>
      <c r="V291" s="24" t="n"/>
      <c r="Y291" s="24" t="n"/>
      <c r="Z291" s="24" t="n"/>
      <c r="AA291" s="24" t="n"/>
      <c r="AB291" s="24" t="n"/>
      <c r="AC291" s="24" t="n"/>
      <c r="AD291" s="24" t="n"/>
      <c r="AE291" s="24" t="n"/>
    </row>
    <row r="292">
      <c r="A292" s="114" t="n"/>
      <c r="B292" s="114" t="n"/>
      <c r="C292" s="114" t="n"/>
      <c r="D292" s="114" t="n"/>
      <c r="E292" s="114" t="n"/>
      <c r="F292" s="114" t="n"/>
      <c r="G292" s="24" t="n"/>
      <c r="V292" s="24" t="n"/>
      <c r="Y292" s="24" t="n"/>
      <c r="Z292" s="24" t="n"/>
      <c r="AA292" s="24" t="n"/>
      <c r="AB292" s="24" t="n"/>
      <c r="AC292" s="24" t="n"/>
      <c r="AD292" s="24" t="n"/>
      <c r="AE292" s="24" t="n"/>
    </row>
    <row r="293">
      <c r="A293" s="114" t="n"/>
      <c r="B293" s="114" t="n"/>
      <c r="C293" s="114" t="n"/>
      <c r="D293" s="114" t="n"/>
      <c r="E293" s="114" t="n"/>
      <c r="F293" s="114" t="n"/>
      <c r="G293" s="24" t="n"/>
      <c r="V293" s="24" t="n"/>
      <c r="Y293" s="24" t="n"/>
      <c r="Z293" s="24" t="n"/>
      <c r="AA293" s="24" t="n"/>
      <c r="AB293" s="24" t="n"/>
      <c r="AC293" s="24" t="n"/>
      <c r="AD293" s="24" t="n"/>
      <c r="AE293" s="24" t="n"/>
    </row>
    <row r="294">
      <c r="A294" s="114" t="n"/>
      <c r="B294" s="114" t="n"/>
      <c r="C294" s="114" t="n"/>
      <c r="D294" s="114" t="n"/>
      <c r="E294" s="114" t="n"/>
      <c r="F294" s="114" t="n"/>
      <c r="G294" s="24" t="n"/>
      <c r="V294" s="24" t="n"/>
      <c r="Y294" s="24" t="n"/>
      <c r="Z294" s="24" t="n"/>
      <c r="AA294" s="24" t="n"/>
      <c r="AB294" s="24" t="n"/>
      <c r="AC294" s="24" t="n"/>
      <c r="AD294" s="24" t="n"/>
      <c r="AE294" s="24" t="n"/>
    </row>
    <row r="295">
      <c r="A295" s="114" t="n"/>
      <c r="B295" s="114" t="n"/>
      <c r="C295" s="114" t="n"/>
      <c r="D295" s="114" t="n"/>
      <c r="E295" s="114" t="n"/>
      <c r="F295" s="114" t="n"/>
      <c r="G295" s="24" t="n"/>
      <c r="V295" s="24" t="n"/>
      <c r="Y295" s="24" t="n"/>
      <c r="Z295" s="24" t="n"/>
      <c r="AA295" s="24" t="n"/>
      <c r="AB295" s="24" t="n"/>
      <c r="AC295" s="24" t="n"/>
      <c r="AD295" s="24" t="n"/>
      <c r="AE295" s="24" t="n"/>
    </row>
    <row r="296">
      <c r="A296" s="114" t="n"/>
      <c r="B296" s="114" t="n"/>
      <c r="C296" s="114" t="n"/>
      <c r="D296" s="114" t="n"/>
      <c r="E296" s="114" t="n"/>
      <c r="F296" s="114" t="n"/>
      <c r="G296" s="24" t="n"/>
      <c r="V296" s="24" t="n"/>
      <c r="Y296" s="24" t="n"/>
      <c r="Z296" s="24" t="n"/>
      <c r="AA296" s="24" t="n"/>
      <c r="AB296" s="24" t="n"/>
      <c r="AC296" s="24" t="n"/>
      <c r="AD296" s="24" t="n"/>
      <c r="AE296" s="24" t="n"/>
    </row>
    <row r="297">
      <c r="A297" s="114" t="n"/>
      <c r="B297" s="114" t="n"/>
      <c r="C297" s="114" t="n"/>
      <c r="D297" s="114" t="n"/>
      <c r="E297" s="114" t="n"/>
      <c r="F297" s="114" t="n"/>
      <c r="G297" s="24" t="n"/>
      <c r="V297" s="24" t="n"/>
      <c r="Y297" s="24" t="n"/>
      <c r="Z297" s="24" t="n"/>
      <c r="AA297" s="24" t="n"/>
      <c r="AB297" s="24" t="n"/>
      <c r="AC297" s="24" t="n"/>
      <c r="AD297" s="24" t="n"/>
      <c r="AE297" s="24" t="n"/>
    </row>
    <row r="298">
      <c r="A298" s="114" t="n"/>
      <c r="B298" s="114" t="n"/>
      <c r="C298" s="114" t="n"/>
      <c r="D298" s="114" t="n"/>
      <c r="E298" s="114" t="n"/>
      <c r="F298" s="114" t="n"/>
      <c r="G298" s="24" t="n"/>
      <c r="V298" s="24" t="n"/>
      <c r="Y298" s="24" t="n"/>
      <c r="Z298" s="24" t="n"/>
      <c r="AA298" s="24" t="n"/>
      <c r="AB298" s="24" t="n"/>
      <c r="AC298" s="24" t="n"/>
      <c r="AD298" s="24" t="n"/>
      <c r="AE298" s="24" t="n"/>
    </row>
    <row r="299">
      <c r="A299" s="114" t="n"/>
      <c r="B299" s="114" t="n"/>
      <c r="C299" s="114" t="n"/>
      <c r="D299" s="114" t="n"/>
      <c r="E299" s="114" t="n"/>
      <c r="F299" s="114" t="n"/>
      <c r="G299" s="24" t="n"/>
      <c r="V299" s="24" t="n"/>
      <c r="Y299" s="24" t="n"/>
      <c r="Z299" s="24" t="n"/>
      <c r="AA299" s="24" t="n"/>
      <c r="AB299" s="24" t="n"/>
      <c r="AC299" s="24" t="n"/>
      <c r="AD299" s="24" t="n"/>
      <c r="AE299" s="24" t="n"/>
    </row>
    <row r="300">
      <c r="A300" s="114" t="n"/>
      <c r="B300" s="114" t="n"/>
      <c r="C300" s="114" t="n"/>
      <c r="D300" s="114" t="n"/>
      <c r="E300" s="114" t="n"/>
      <c r="F300" s="114" t="n"/>
      <c r="G300" s="24" t="n"/>
      <c r="V300" s="24" t="n"/>
      <c r="Y300" s="24" t="n"/>
      <c r="Z300" s="24" t="n"/>
      <c r="AA300" s="24" t="n"/>
      <c r="AB300" s="24" t="n"/>
      <c r="AC300" s="24" t="n"/>
      <c r="AD300" s="24" t="n"/>
      <c r="AE300" s="24" t="n"/>
    </row>
    <row r="301">
      <c r="A301" s="114" t="n"/>
      <c r="B301" s="114" t="n"/>
      <c r="C301" s="114" t="n"/>
      <c r="D301" s="114" t="n"/>
      <c r="E301" s="114" t="n"/>
      <c r="F301" s="114" t="n"/>
      <c r="G301" s="24" t="n"/>
      <c r="V301" s="24" t="n"/>
      <c r="Y301" s="24" t="n"/>
      <c r="Z301" s="24" t="n"/>
      <c r="AA301" s="24" t="n"/>
      <c r="AB301" s="24" t="n"/>
      <c r="AC301" s="24" t="n"/>
      <c r="AD301" s="24" t="n"/>
      <c r="AE301" s="24" t="n"/>
    </row>
    <row r="302">
      <c r="A302" s="114" t="n"/>
      <c r="B302" s="114" t="n"/>
      <c r="C302" s="114" t="n"/>
      <c r="D302" s="114" t="n"/>
      <c r="E302" s="114" t="n"/>
      <c r="F302" s="114" t="n"/>
      <c r="G302" s="24" t="n"/>
      <c r="V302" s="24" t="n"/>
      <c r="Y302" s="24" t="n"/>
      <c r="Z302" s="24" t="n"/>
      <c r="AA302" s="24" t="n"/>
      <c r="AB302" s="24" t="n"/>
      <c r="AC302" s="24" t="n"/>
      <c r="AD302" s="24" t="n"/>
      <c r="AE302" s="24" t="n"/>
    </row>
    <row r="303">
      <c r="A303" s="114" t="n"/>
      <c r="B303" s="114" t="n"/>
      <c r="C303" s="114" t="n"/>
      <c r="D303" s="114" t="n"/>
      <c r="E303" s="114" t="n"/>
      <c r="F303" s="114" t="n"/>
      <c r="G303" s="24" t="n"/>
      <c r="V303" s="24" t="n"/>
      <c r="Y303" s="24" t="n"/>
      <c r="Z303" s="24" t="n"/>
      <c r="AA303" s="24" t="n"/>
      <c r="AB303" s="24" t="n"/>
      <c r="AC303" s="24" t="n"/>
      <c r="AD303" s="24" t="n"/>
      <c r="AE303" s="24" t="n"/>
    </row>
    <row r="304">
      <c r="A304" s="114" t="n"/>
      <c r="B304" s="114" t="n"/>
      <c r="C304" s="114" t="n"/>
      <c r="D304" s="114" t="n"/>
      <c r="E304" s="114" t="n"/>
      <c r="F304" s="114" t="n"/>
      <c r="G304" s="24" t="n"/>
      <c r="V304" s="24" t="n"/>
      <c r="Y304" s="24" t="n"/>
      <c r="Z304" s="24" t="n"/>
      <c r="AA304" s="24" t="n"/>
      <c r="AB304" s="24" t="n"/>
      <c r="AC304" s="24" t="n"/>
      <c r="AD304" s="24" t="n"/>
      <c r="AE304" s="24" t="n"/>
    </row>
    <row r="305">
      <c r="A305" s="114" t="n"/>
      <c r="B305" s="114" t="n"/>
      <c r="C305" s="114" t="n"/>
      <c r="D305" s="114" t="n"/>
      <c r="E305" s="114" t="n"/>
      <c r="F305" s="114" t="n"/>
      <c r="G305" s="24" t="n"/>
      <c r="V305" s="24" t="n"/>
      <c r="Y305" s="24" t="n"/>
      <c r="Z305" s="24" t="n"/>
      <c r="AA305" s="24" t="n"/>
      <c r="AB305" s="24" t="n"/>
      <c r="AC305" s="24" t="n"/>
      <c r="AD305" s="24" t="n"/>
      <c r="AE305" s="24" t="n"/>
    </row>
    <row r="306">
      <c r="A306" s="114" t="n"/>
      <c r="B306" s="114" t="n"/>
      <c r="C306" s="114" t="n"/>
      <c r="D306" s="114" t="n"/>
      <c r="E306" s="114" t="n"/>
      <c r="F306" s="114" t="n"/>
      <c r="G306" s="24" t="n"/>
      <c r="V306" s="24" t="n"/>
      <c r="Y306" s="24" t="n"/>
      <c r="Z306" s="24" t="n"/>
      <c r="AA306" s="24" t="n"/>
      <c r="AB306" s="24" t="n"/>
      <c r="AC306" s="24" t="n"/>
      <c r="AD306" s="24" t="n"/>
      <c r="AE306" s="24" t="n"/>
    </row>
    <row r="307">
      <c r="A307" s="114" t="n"/>
      <c r="B307" s="114" t="n"/>
      <c r="C307" s="114" t="n"/>
      <c r="D307" s="114" t="n"/>
      <c r="E307" s="114" t="n"/>
      <c r="F307" s="114" t="n"/>
      <c r="G307" s="24" t="n"/>
      <c r="V307" s="24" t="n"/>
      <c r="Y307" s="24" t="n"/>
      <c r="Z307" s="24" t="n"/>
      <c r="AA307" s="24" t="n"/>
      <c r="AB307" s="24" t="n"/>
      <c r="AC307" s="24" t="n"/>
      <c r="AD307" s="24" t="n"/>
      <c r="AE307" s="24" t="n"/>
    </row>
    <row r="308">
      <c r="A308" s="114" t="n"/>
      <c r="B308" s="114" t="n"/>
      <c r="C308" s="114" t="n"/>
      <c r="D308" s="114" t="n"/>
      <c r="E308" s="114" t="n"/>
      <c r="F308" s="114" t="n"/>
      <c r="G308" s="24" t="n"/>
      <c r="V308" s="24" t="n"/>
      <c r="Y308" s="24" t="n"/>
      <c r="Z308" s="24" t="n"/>
      <c r="AA308" s="24" t="n"/>
      <c r="AB308" s="24" t="n"/>
      <c r="AC308" s="24" t="n"/>
      <c r="AD308" s="24" t="n"/>
      <c r="AE308" s="24" t="n"/>
    </row>
    <row r="309">
      <c r="A309" s="114" t="n"/>
      <c r="B309" s="114" t="n"/>
      <c r="C309" s="114" t="n"/>
      <c r="D309" s="114" t="n"/>
      <c r="E309" s="114" t="n"/>
      <c r="F309" s="114" t="n"/>
      <c r="G309" s="24" t="n"/>
      <c r="V309" s="24" t="n"/>
      <c r="Y309" s="24" t="n"/>
      <c r="Z309" s="24" t="n"/>
      <c r="AA309" s="24" t="n"/>
      <c r="AB309" s="24" t="n"/>
      <c r="AC309" s="24" t="n"/>
      <c r="AD309" s="24" t="n"/>
      <c r="AE309" s="24" t="n"/>
    </row>
    <row r="310">
      <c r="A310" s="114" t="n"/>
      <c r="B310" s="114" t="n"/>
      <c r="C310" s="114" t="n"/>
      <c r="D310" s="114" t="n"/>
      <c r="E310" s="114" t="n"/>
      <c r="F310" s="114" t="n"/>
      <c r="G310" s="24" t="n"/>
      <c r="V310" s="24" t="n"/>
      <c r="Y310" s="24" t="n"/>
      <c r="Z310" s="24" t="n"/>
      <c r="AA310" s="24" t="n"/>
      <c r="AB310" s="24" t="n"/>
      <c r="AC310" s="24" t="n"/>
      <c r="AD310" s="24" t="n"/>
      <c r="AE310" s="24" t="n"/>
    </row>
    <row r="311">
      <c r="A311" s="114" t="n"/>
      <c r="B311" s="114" t="n"/>
      <c r="C311" s="114" t="n"/>
      <c r="D311" s="114" t="n"/>
      <c r="E311" s="114" t="n"/>
      <c r="F311" s="114" t="n"/>
      <c r="G311" s="24" t="n"/>
      <c r="V311" s="24" t="n"/>
      <c r="Y311" s="24" t="n"/>
      <c r="Z311" s="24" t="n"/>
      <c r="AA311" s="24" t="n"/>
      <c r="AB311" s="24" t="n"/>
      <c r="AC311" s="24" t="n"/>
      <c r="AD311" s="24" t="n"/>
      <c r="AE311" s="24" t="n"/>
    </row>
    <row r="312">
      <c r="A312" s="114" t="n"/>
      <c r="B312" s="114" t="n"/>
      <c r="C312" s="114" t="n"/>
      <c r="D312" s="114" t="n"/>
      <c r="E312" s="114" t="n"/>
      <c r="F312" s="114" t="n"/>
      <c r="G312" s="24" t="n"/>
      <c r="V312" s="24" t="n"/>
      <c r="Y312" s="24" t="n"/>
      <c r="Z312" s="24" t="n"/>
      <c r="AA312" s="24" t="n"/>
      <c r="AB312" s="24" t="n"/>
      <c r="AC312" s="24" t="n"/>
      <c r="AD312" s="24" t="n"/>
      <c r="AE312" s="24" t="n"/>
    </row>
    <row r="313">
      <c r="A313" s="114" t="n"/>
      <c r="B313" s="114" t="n"/>
      <c r="C313" s="114" t="n"/>
      <c r="D313" s="114" t="n"/>
      <c r="E313" s="114" t="n"/>
      <c r="F313" s="114" t="n"/>
      <c r="G313" s="24" t="n"/>
      <c r="V313" s="24" t="n"/>
      <c r="Y313" s="24" t="n"/>
      <c r="Z313" s="24" t="n"/>
      <c r="AA313" s="24" t="n"/>
      <c r="AB313" s="24" t="n"/>
      <c r="AC313" s="24" t="n"/>
      <c r="AD313" s="24" t="n"/>
      <c r="AE313" s="24" t="n"/>
    </row>
    <row r="314">
      <c r="A314" s="114" t="n"/>
      <c r="B314" s="114" t="n"/>
      <c r="C314" s="114" t="n"/>
      <c r="D314" s="114" t="n"/>
      <c r="E314" s="114" t="n"/>
      <c r="F314" s="114" t="n"/>
      <c r="G314" s="24" t="n"/>
      <c r="V314" s="24" t="n"/>
      <c r="Y314" s="24" t="n"/>
      <c r="Z314" s="24" t="n"/>
      <c r="AA314" s="24" t="n"/>
      <c r="AB314" s="24" t="n"/>
      <c r="AC314" s="24" t="n"/>
      <c r="AD314" s="24" t="n"/>
      <c r="AE314" s="24" t="n"/>
    </row>
    <row r="315">
      <c r="A315" s="114" t="n"/>
      <c r="B315" s="114" t="n"/>
      <c r="C315" s="114" t="n"/>
      <c r="D315" s="114" t="n"/>
      <c r="E315" s="114" t="n"/>
      <c r="F315" s="114" t="n"/>
      <c r="G315" s="24" t="n"/>
      <c r="V315" s="24" t="n"/>
      <c r="Y315" s="24" t="n"/>
      <c r="Z315" s="24" t="n"/>
      <c r="AA315" s="24" t="n"/>
      <c r="AB315" s="24" t="n"/>
      <c r="AC315" s="24" t="n"/>
      <c r="AD315" s="24" t="n"/>
      <c r="AE315" s="24" t="n"/>
    </row>
    <row r="316">
      <c r="A316" s="114" t="n"/>
      <c r="B316" s="114" t="n"/>
      <c r="C316" s="114" t="n"/>
      <c r="D316" s="114" t="n"/>
      <c r="E316" s="114" t="n"/>
      <c r="F316" s="114" t="n"/>
      <c r="G316" s="24" t="n"/>
      <c r="V316" s="24" t="n"/>
      <c r="Y316" s="24" t="n"/>
      <c r="Z316" s="24" t="n"/>
      <c r="AA316" s="24" t="n"/>
      <c r="AB316" s="24" t="n"/>
      <c r="AC316" s="24" t="n"/>
      <c r="AD316" s="24" t="n"/>
      <c r="AE316" s="24" t="n"/>
    </row>
    <row r="317">
      <c r="A317" s="114" t="n"/>
      <c r="B317" s="114" t="n"/>
      <c r="C317" s="114" t="n"/>
      <c r="D317" s="114" t="n"/>
      <c r="E317" s="114" t="n"/>
      <c r="F317" s="114" t="n"/>
      <c r="G317" s="24" t="n"/>
      <c r="V317" s="24" t="n"/>
      <c r="Y317" s="24" t="n"/>
      <c r="Z317" s="24" t="n"/>
      <c r="AA317" s="24" t="n"/>
      <c r="AB317" s="24" t="n"/>
      <c r="AC317" s="24" t="n"/>
      <c r="AD317" s="24" t="n"/>
      <c r="AE317" s="24" t="n"/>
    </row>
    <row r="318">
      <c r="A318" s="114" t="n"/>
      <c r="B318" s="114" t="n"/>
      <c r="C318" s="114" t="n"/>
      <c r="D318" s="114" t="n"/>
      <c r="E318" s="114" t="n"/>
      <c r="F318" s="114" t="n"/>
      <c r="G318" s="24" t="n"/>
      <c r="V318" s="24" t="n"/>
      <c r="Y318" s="24" t="n"/>
      <c r="Z318" s="24" t="n"/>
      <c r="AA318" s="24" t="n"/>
      <c r="AB318" s="24" t="n"/>
      <c r="AC318" s="24" t="n"/>
      <c r="AD318" s="24" t="n"/>
      <c r="AE318" s="24" t="n"/>
    </row>
    <row r="319">
      <c r="A319" s="114" t="n"/>
      <c r="B319" s="114" t="n"/>
      <c r="C319" s="114" t="n"/>
      <c r="D319" s="114" t="n"/>
      <c r="E319" s="114" t="n"/>
      <c r="F319" s="114" t="n"/>
      <c r="G319" s="24" t="n"/>
      <c r="V319" s="24" t="n"/>
      <c r="Y319" s="24" t="n"/>
      <c r="Z319" s="24" t="n"/>
      <c r="AA319" s="24" t="n"/>
      <c r="AB319" s="24" t="n"/>
      <c r="AC319" s="24" t="n"/>
      <c r="AD319" s="24" t="n"/>
      <c r="AE319" s="24" t="n"/>
    </row>
    <row r="320">
      <c r="A320" s="114" t="n"/>
      <c r="B320" s="114" t="n"/>
      <c r="C320" s="114" t="n"/>
      <c r="D320" s="114" t="n"/>
      <c r="E320" s="114" t="n"/>
      <c r="F320" s="114" t="n"/>
      <c r="G320" s="24" t="n"/>
      <c r="V320" s="24" t="n"/>
      <c r="Y320" s="24" t="n"/>
      <c r="Z320" s="24" t="n"/>
      <c r="AA320" s="24" t="n"/>
      <c r="AB320" s="24" t="n"/>
      <c r="AC320" s="24" t="n"/>
      <c r="AD320" s="24" t="n"/>
      <c r="AE320" s="24" t="n"/>
    </row>
    <row r="321">
      <c r="A321" s="114" t="n"/>
      <c r="B321" s="114" t="n"/>
      <c r="C321" s="114" t="n"/>
      <c r="D321" s="114" t="n"/>
      <c r="E321" s="114" t="n"/>
      <c r="F321" s="114" t="n"/>
      <c r="G321" s="24" t="n"/>
      <c r="V321" s="24" t="n"/>
      <c r="Y321" s="24" t="n"/>
      <c r="Z321" s="24" t="n"/>
      <c r="AA321" s="24" t="n"/>
      <c r="AB321" s="24" t="n"/>
      <c r="AC321" s="24" t="n"/>
      <c r="AD321" s="24" t="n"/>
      <c r="AE321" s="24" t="n"/>
    </row>
    <row r="322">
      <c r="A322" s="114" t="n"/>
      <c r="B322" s="114" t="n"/>
      <c r="C322" s="114" t="n"/>
      <c r="D322" s="114" t="n"/>
      <c r="E322" s="114" t="n"/>
      <c r="F322" s="114" t="n"/>
      <c r="G322" s="24" t="n"/>
      <c r="V322" s="24" t="n"/>
      <c r="Y322" s="24" t="n"/>
      <c r="Z322" s="24" t="n"/>
      <c r="AA322" s="24" t="n"/>
      <c r="AB322" s="24" t="n"/>
      <c r="AC322" s="24" t="n"/>
      <c r="AD322" s="24" t="n"/>
      <c r="AE322" s="24" t="n"/>
    </row>
    <row r="323">
      <c r="A323" s="114" t="n"/>
      <c r="B323" s="114" t="n"/>
      <c r="C323" s="114" t="n"/>
      <c r="D323" s="114" t="n"/>
      <c r="E323" s="114" t="n"/>
      <c r="F323" s="114" t="n"/>
      <c r="G323" s="24" t="n"/>
      <c r="V323" s="24" t="n"/>
      <c r="Y323" s="24" t="n"/>
      <c r="Z323" s="24" t="n"/>
      <c r="AA323" s="24" t="n"/>
      <c r="AB323" s="24" t="n"/>
      <c r="AC323" s="24" t="n"/>
      <c r="AD323" s="24" t="n"/>
      <c r="AE323" s="24" t="n"/>
    </row>
    <row r="324">
      <c r="A324" s="114" t="n"/>
      <c r="B324" s="114" t="n"/>
      <c r="C324" s="114" t="n"/>
      <c r="D324" s="114" t="n"/>
      <c r="E324" s="114" t="n"/>
      <c r="F324" s="114" t="n"/>
      <c r="G324" s="24" t="n"/>
      <c r="V324" s="24" t="n"/>
      <c r="Y324" s="24" t="n"/>
      <c r="Z324" s="24" t="n"/>
      <c r="AA324" s="24" t="n"/>
      <c r="AB324" s="24" t="n"/>
      <c r="AC324" s="24" t="n"/>
      <c r="AD324" s="24" t="n"/>
      <c r="AE324" s="24" t="n"/>
    </row>
    <row r="325">
      <c r="A325" s="114" t="n"/>
      <c r="B325" s="114" t="n"/>
      <c r="C325" s="114" t="n"/>
      <c r="D325" s="114" t="n"/>
      <c r="E325" s="114" t="n"/>
      <c r="F325" s="114" t="n"/>
      <c r="G325" s="24" t="n"/>
      <c r="V325" s="24" t="n"/>
      <c r="Y325" s="24" t="n"/>
      <c r="Z325" s="24" t="n"/>
      <c r="AA325" s="24" t="n"/>
      <c r="AB325" s="24" t="n"/>
      <c r="AC325" s="24" t="n"/>
      <c r="AD325" s="24" t="n"/>
      <c r="AE325" s="24" t="n"/>
    </row>
    <row r="326">
      <c r="A326" s="114" t="n"/>
      <c r="B326" s="114" t="n"/>
      <c r="C326" s="114" t="n"/>
      <c r="D326" s="114" t="n"/>
      <c r="E326" s="114" t="n"/>
      <c r="F326" s="114" t="n"/>
      <c r="G326" s="24" t="n"/>
      <c r="V326" s="24" t="n"/>
      <c r="Y326" s="24" t="n"/>
      <c r="Z326" s="24" t="n"/>
      <c r="AA326" s="24" t="n"/>
      <c r="AB326" s="24" t="n"/>
      <c r="AC326" s="24" t="n"/>
      <c r="AD326" s="24" t="n"/>
      <c r="AE326" s="24" t="n"/>
    </row>
    <row r="327">
      <c r="A327" s="114" t="n"/>
      <c r="B327" s="114" t="n"/>
      <c r="C327" s="114" t="n"/>
      <c r="D327" s="114" t="n"/>
      <c r="E327" s="114" t="n"/>
      <c r="F327" s="114" t="n"/>
      <c r="G327" s="24" t="n"/>
      <c r="V327" s="24" t="n"/>
      <c r="Y327" s="24" t="n"/>
      <c r="Z327" s="24" t="n"/>
      <c r="AA327" s="24" t="n"/>
      <c r="AB327" s="24" t="n"/>
      <c r="AC327" s="24" t="n"/>
      <c r="AD327" s="24" t="n"/>
      <c r="AE327" s="24" t="n"/>
    </row>
    <row r="328">
      <c r="A328" s="114" t="n"/>
      <c r="B328" s="114" t="n"/>
      <c r="C328" s="114" t="n"/>
      <c r="D328" s="114" t="n"/>
      <c r="E328" s="114" t="n"/>
      <c r="F328" s="114" t="n"/>
      <c r="G328" s="24" t="n"/>
      <c r="V328" s="24" t="n"/>
      <c r="Y328" s="24" t="n"/>
      <c r="Z328" s="24" t="n"/>
      <c r="AA328" s="24" t="n"/>
      <c r="AB328" s="24" t="n"/>
      <c r="AC328" s="24" t="n"/>
      <c r="AD328" s="24" t="n"/>
      <c r="AE328" s="24" t="n"/>
    </row>
    <row r="329">
      <c r="A329" s="114" t="n"/>
      <c r="B329" s="114" t="n"/>
      <c r="C329" s="114" t="n"/>
      <c r="D329" s="114" t="n"/>
      <c r="E329" s="114" t="n"/>
      <c r="F329" s="114" t="n"/>
      <c r="G329" s="24" t="n"/>
      <c r="V329" s="24" t="n"/>
      <c r="Y329" s="24" t="n"/>
      <c r="Z329" s="24" t="n"/>
      <c r="AA329" s="24" t="n"/>
      <c r="AB329" s="24" t="n"/>
      <c r="AC329" s="24" t="n"/>
      <c r="AD329" s="24" t="n"/>
      <c r="AE329" s="24" t="n"/>
    </row>
    <row r="330">
      <c r="A330" s="114" t="n"/>
      <c r="B330" s="114" t="n"/>
      <c r="C330" s="114" t="n"/>
      <c r="D330" s="114" t="n"/>
      <c r="E330" s="114" t="n"/>
      <c r="F330" s="114" t="n"/>
      <c r="G330" s="24" t="n"/>
      <c r="V330" s="24" t="n"/>
      <c r="Y330" s="24" t="n"/>
      <c r="Z330" s="24" t="n"/>
      <c r="AA330" s="24" t="n"/>
      <c r="AB330" s="24" t="n"/>
      <c r="AC330" s="24" t="n"/>
      <c r="AD330" s="24" t="n"/>
      <c r="AE330" s="24" t="n"/>
    </row>
    <row r="331">
      <c r="A331" s="114" t="n"/>
      <c r="B331" s="114" t="n"/>
      <c r="C331" s="114" t="n"/>
      <c r="D331" s="114" t="n"/>
      <c r="E331" s="114" t="n"/>
      <c r="F331" s="114" t="n"/>
      <c r="G331" s="24" t="n"/>
      <c r="V331" s="24" t="n"/>
      <c r="Y331" s="24" t="n"/>
      <c r="Z331" s="24" t="n"/>
      <c r="AA331" s="24" t="n"/>
      <c r="AB331" s="24" t="n"/>
      <c r="AC331" s="24" t="n"/>
      <c r="AD331" s="24" t="n"/>
      <c r="AE331" s="24" t="n"/>
    </row>
    <row r="332">
      <c r="A332" s="114" t="n"/>
      <c r="B332" s="114" t="n"/>
      <c r="C332" s="114" t="n"/>
      <c r="D332" s="114" t="n"/>
      <c r="E332" s="114" t="n"/>
      <c r="F332" s="114" t="n"/>
      <c r="G332" s="24" t="n"/>
      <c r="V332" s="24" t="n"/>
      <c r="Y332" s="24" t="n"/>
      <c r="Z332" s="24" t="n"/>
      <c r="AA332" s="24" t="n"/>
      <c r="AB332" s="24" t="n"/>
      <c r="AC332" s="24" t="n"/>
      <c r="AD332" s="24" t="n"/>
      <c r="AE332" s="24" t="n"/>
    </row>
    <row r="333">
      <c r="A333" s="114" t="n"/>
      <c r="B333" s="114" t="n"/>
      <c r="C333" s="114" t="n"/>
      <c r="D333" s="114" t="n"/>
      <c r="E333" s="114" t="n"/>
      <c r="F333" s="114" t="n"/>
      <c r="G333" s="24" t="n"/>
      <c r="V333" s="24" t="n"/>
      <c r="Y333" s="24" t="n"/>
      <c r="Z333" s="24" t="n"/>
      <c r="AA333" s="24" t="n"/>
      <c r="AB333" s="24" t="n"/>
      <c r="AC333" s="24" t="n"/>
      <c r="AD333" s="24" t="n"/>
      <c r="AE333" s="24" t="n"/>
    </row>
    <row r="334">
      <c r="A334" s="114" t="n"/>
      <c r="B334" s="114" t="n"/>
      <c r="C334" s="114" t="n"/>
      <c r="D334" s="114" t="n"/>
      <c r="E334" s="114" t="n"/>
      <c r="F334" s="114" t="n"/>
      <c r="G334" s="24" t="n"/>
      <c r="V334" s="24" t="n"/>
      <c r="Y334" s="24" t="n"/>
      <c r="Z334" s="24" t="n"/>
      <c r="AA334" s="24" t="n"/>
      <c r="AB334" s="24" t="n"/>
      <c r="AC334" s="24" t="n"/>
      <c r="AD334" s="24" t="n"/>
      <c r="AE334" s="24" t="n"/>
    </row>
    <row r="335">
      <c r="A335" s="114" t="n"/>
      <c r="B335" s="114" t="n"/>
      <c r="C335" s="114" t="n"/>
      <c r="D335" s="114" t="n"/>
      <c r="E335" s="114" t="n"/>
      <c r="F335" s="114" t="n"/>
      <c r="G335" s="24" t="n"/>
      <c r="V335" s="24" t="n"/>
      <c r="Y335" s="24" t="n"/>
      <c r="Z335" s="24" t="n"/>
      <c r="AA335" s="24" t="n"/>
      <c r="AB335" s="24" t="n"/>
      <c r="AC335" s="24" t="n"/>
      <c r="AD335" s="24" t="n"/>
      <c r="AE335" s="24" t="n"/>
    </row>
    <row r="336">
      <c r="A336" s="114" t="n"/>
      <c r="B336" s="114" t="n"/>
      <c r="C336" s="114" t="n"/>
      <c r="D336" s="114" t="n"/>
      <c r="E336" s="114" t="n"/>
      <c r="F336" s="114" t="n"/>
      <c r="G336" s="24" t="n"/>
      <c r="V336" s="24" t="n"/>
      <c r="Y336" s="24" t="n"/>
      <c r="Z336" s="24" t="n"/>
      <c r="AA336" s="24" t="n"/>
      <c r="AB336" s="24" t="n"/>
      <c r="AC336" s="24" t="n"/>
      <c r="AD336" s="24" t="n"/>
      <c r="AE336" s="24" t="n"/>
    </row>
    <row r="337">
      <c r="A337" s="114" t="n"/>
      <c r="B337" s="114" t="n"/>
      <c r="C337" s="114" t="n"/>
      <c r="D337" s="114" t="n"/>
      <c r="E337" s="114" t="n"/>
      <c r="F337" s="114" t="n"/>
      <c r="G337" s="24" t="n"/>
      <c r="V337" s="24" t="n"/>
      <c r="Y337" s="24" t="n"/>
      <c r="Z337" s="24" t="n"/>
      <c r="AA337" s="24" t="n"/>
      <c r="AB337" s="24" t="n"/>
      <c r="AC337" s="24" t="n"/>
      <c r="AD337" s="24" t="n"/>
      <c r="AE337" s="24" t="n"/>
    </row>
    <row r="338">
      <c r="A338" s="114" t="n"/>
      <c r="B338" s="114" t="n"/>
      <c r="C338" s="114" t="n"/>
      <c r="D338" s="114" t="n"/>
      <c r="E338" s="114" t="n"/>
      <c r="F338" s="114" t="n"/>
      <c r="G338" s="24" t="n"/>
      <c r="V338" s="24" t="n"/>
      <c r="Y338" s="24" t="n"/>
      <c r="Z338" s="24" t="n"/>
      <c r="AA338" s="24" t="n"/>
      <c r="AB338" s="24" t="n"/>
      <c r="AC338" s="24" t="n"/>
      <c r="AD338" s="24" t="n"/>
      <c r="AE338" s="24" t="n"/>
    </row>
    <row r="339">
      <c r="A339" s="114" t="n"/>
      <c r="B339" s="114" t="n"/>
      <c r="C339" s="114" t="n"/>
      <c r="D339" s="114" t="n"/>
      <c r="E339" s="114" t="n"/>
      <c r="F339" s="114" t="n"/>
      <c r="G339" s="24" t="n"/>
      <c r="V339" s="24" t="n"/>
      <c r="Y339" s="24" t="n"/>
      <c r="Z339" s="24" t="n"/>
      <c r="AA339" s="24" t="n"/>
      <c r="AB339" s="24" t="n"/>
      <c r="AC339" s="24" t="n"/>
      <c r="AD339" s="24" t="n"/>
      <c r="AE339" s="24" t="n"/>
    </row>
    <row r="340">
      <c r="A340" s="114" t="n"/>
      <c r="B340" s="114" t="n"/>
      <c r="C340" s="114" t="n"/>
      <c r="D340" s="114" t="n"/>
      <c r="E340" s="114" t="n"/>
      <c r="F340" s="114" t="n"/>
      <c r="G340" s="24" t="n"/>
      <c r="V340" s="24" t="n"/>
      <c r="Y340" s="24" t="n"/>
      <c r="Z340" s="24" t="n"/>
      <c r="AA340" s="24" t="n"/>
      <c r="AB340" s="24" t="n"/>
      <c r="AC340" s="24" t="n"/>
      <c r="AD340" s="24" t="n"/>
      <c r="AE340" s="24" t="n"/>
    </row>
    <row r="341">
      <c r="A341" s="114" t="n"/>
      <c r="B341" s="114" t="n"/>
      <c r="C341" s="114" t="n"/>
      <c r="D341" s="114" t="n"/>
      <c r="E341" s="114" t="n"/>
      <c r="F341" s="114" t="n"/>
      <c r="G341" s="24" t="n"/>
      <c r="V341" s="24" t="n"/>
      <c r="Y341" s="24" t="n"/>
      <c r="Z341" s="24" t="n"/>
      <c r="AA341" s="24" t="n"/>
      <c r="AB341" s="24" t="n"/>
      <c r="AC341" s="24" t="n"/>
      <c r="AD341" s="24" t="n"/>
      <c r="AE341" s="24" t="n"/>
    </row>
    <row r="342">
      <c r="A342" s="114" t="n"/>
      <c r="B342" s="114" t="n"/>
      <c r="C342" s="114" t="n"/>
      <c r="D342" s="114" t="n"/>
      <c r="E342" s="114" t="n"/>
      <c r="F342" s="114" t="n"/>
      <c r="G342" s="24" t="n"/>
      <c r="V342" s="24" t="n"/>
      <c r="Y342" s="24" t="n"/>
      <c r="Z342" s="24" t="n"/>
      <c r="AA342" s="24" t="n"/>
      <c r="AB342" s="24" t="n"/>
      <c r="AC342" s="24" t="n"/>
      <c r="AD342" s="24" t="n"/>
      <c r="AE342" s="24" t="n"/>
    </row>
    <row r="343">
      <c r="A343" s="114" t="n"/>
      <c r="B343" s="114" t="n"/>
      <c r="C343" s="114" t="n"/>
      <c r="D343" s="114" t="n"/>
      <c r="E343" s="114" t="n"/>
      <c r="F343" s="114" t="n"/>
      <c r="G343" s="24" t="n"/>
      <c r="V343" s="24" t="n"/>
      <c r="Y343" s="24" t="n"/>
      <c r="Z343" s="24" t="n"/>
      <c r="AA343" s="24" t="n"/>
      <c r="AB343" s="24" t="n"/>
      <c r="AC343" s="24" t="n"/>
      <c r="AD343" s="24" t="n"/>
      <c r="AE343" s="24" t="n"/>
    </row>
    <row r="344">
      <c r="A344" s="114" t="n"/>
      <c r="B344" s="114" t="n"/>
      <c r="C344" s="114" t="n"/>
      <c r="D344" s="114" t="n"/>
      <c r="E344" s="114" t="n"/>
      <c r="F344" s="114" t="n"/>
      <c r="G344" s="24" t="n"/>
      <c r="V344" s="24" t="n"/>
      <c r="Y344" s="24" t="n"/>
      <c r="Z344" s="24" t="n"/>
      <c r="AA344" s="24" t="n"/>
      <c r="AB344" s="24" t="n"/>
      <c r="AC344" s="24" t="n"/>
      <c r="AD344" s="24" t="n"/>
      <c r="AE344" s="24" t="n"/>
    </row>
    <row r="345">
      <c r="A345" s="114" t="n"/>
      <c r="B345" s="114" t="n"/>
      <c r="C345" s="114" t="n"/>
      <c r="D345" s="114" t="n"/>
      <c r="E345" s="114" t="n"/>
      <c r="F345" s="114" t="n"/>
      <c r="G345" s="24" t="n"/>
      <c r="V345" s="24" t="n"/>
      <c r="Y345" s="24" t="n"/>
      <c r="Z345" s="24" t="n"/>
      <c r="AA345" s="24" t="n"/>
      <c r="AB345" s="24" t="n"/>
      <c r="AC345" s="24" t="n"/>
      <c r="AD345" s="24" t="n"/>
      <c r="AE345" s="24" t="n"/>
    </row>
    <row r="346">
      <c r="A346" s="114" t="n"/>
      <c r="B346" s="114" t="n"/>
      <c r="C346" s="114" t="n"/>
      <c r="D346" s="114" t="n"/>
      <c r="E346" s="114" t="n"/>
      <c r="F346" s="114" t="n"/>
      <c r="G346" s="24" t="n"/>
      <c r="V346" s="24" t="n"/>
      <c r="Y346" s="24" t="n"/>
      <c r="Z346" s="24" t="n"/>
      <c r="AA346" s="24" t="n"/>
      <c r="AB346" s="24" t="n"/>
      <c r="AC346" s="24" t="n"/>
      <c r="AD346" s="24" t="n"/>
      <c r="AE346" s="24" t="n"/>
    </row>
    <row r="347">
      <c r="A347" s="114" t="n"/>
      <c r="B347" s="114" t="n"/>
      <c r="C347" s="114" t="n"/>
      <c r="D347" s="114" t="n"/>
      <c r="E347" s="114" t="n"/>
      <c r="F347" s="114" t="n"/>
      <c r="G347" s="24" t="n"/>
      <c r="V347" s="24" t="n"/>
      <c r="Y347" s="24" t="n"/>
      <c r="Z347" s="24" t="n"/>
      <c r="AA347" s="24" t="n"/>
      <c r="AB347" s="24" t="n"/>
      <c r="AC347" s="24" t="n"/>
      <c r="AD347" s="24" t="n"/>
      <c r="AE347" s="24" t="n"/>
    </row>
    <row r="348">
      <c r="A348" s="114" t="n"/>
      <c r="B348" s="114" t="n"/>
      <c r="C348" s="114" t="n"/>
      <c r="D348" s="114" t="n"/>
      <c r="E348" s="114" t="n"/>
      <c r="F348" s="114" t="n"/>
      <c r="G348" s="24" t="n"/>
      <c r="V348" s="24" t="n"/>
      <c r="Y348" s="24" t="n"/>
      <c r="Z348" s="24" t="n"/>
      <c r="AA348" s="24" t="n"/>
      <c r="AB348" s="24" t="n"/>
      <c r="AC348" s="24" t="n"/>
      <c r="AD348" s="24" t="n"/>
      <c r="AE348" s="24" t="n"/>
    </row>
    <row r="349">
      <c r="A349" s="114" t="n"/>
      <c r="B349" s="114" t="n"/>
      <c r="C349" s="114" t="n"/>
      <c r="D349" s="114" t="n"/>
      <c r="E349" s="114" t="n"/>
      <c r="F349" s="114" t="n"/>
      <c r="G349" s="24" t="n"/>
      <c r="V349" s="24" t="n"/>
      <c r="Y349" s="24" t="n"/>
      <c r="Z349" s="24" t="n"/>
      <c r="AA349" s="24" t="n"/>
      <c r="AB349" s="24" t="n"/>
      <c r="AC349" s="24" t="n"/>
      <c r="AD349" s="24" t="n"/>
      <c r="AE349" s="24" t="n"/>
    </row>
    <row r="350">
      <c r="A350" s="114" t="n"/>
      <c r="B350" s="114" t="n"/>
      <c r="C350" s="114" t="n"/>
      <c r="D350" s="114" t="n"/>
      <c r="E350" s="114" t="n"/>
      <c r="F350" s="114" t="n"/>
      <c r="G350" s="24" t="n"/>
      <c r="V350" s="24" t="n"/>
      <c r="Y350" s="24" t="n"/>
      <c r="Z350" s="24" t="n"/>
      <c r="AA350" s="24" t="n"/>
      <c r="AB350" s="24" t="n"/>
      <c r="AC350" s="24" t="n"/>
      <c r="AD350" s="24" t="n"/>
      <c r="AE350" s="24" t="n"/>
    </row>
    <row r="351">
      <c r="A351" s="114" t="n"/>
      <c r="B351" s="114" t="n"/>
      <c r="C351" s="114" t="n"/>
      <c r="D351" s="114" t="n"/>
      <c r="E351" s="114" t="n"/>
      <c r="F351" s="114" t="n"/>
      <c r="G351" s="24" t="n"/>
      <c r="V351" s="24" t="n"/>
      <c r="Y351" s="24" t="n"/>
      <c r="Z351" s="24" t="n"/>
      <c r="AA351" s="24" t="n"/>
      <c r="AB351" s="24" t="n"/>
      <c r="AC351" s="24" t="n"/>
      <c r="AD351" s="24" t="n"/>
      <c r="AE351" s="24" t="n"/>
    </row>
    <row r="352">
      <c r="A352" s="114" t="n"/>
      <c r="B352" s="114" t="n"/>
      <c r="C352" s="114" t="n"/>
      <c r="D352" s="114" t="n"/>
      <c r="E352" s="114" t="n"/>
      <c r="F352" s="114" t="n"/>
      <c r="G352" s="24" t="n"/>
      <c r="V352" s="24" t="n"/>
      <c r="Y352" s="24" t="n"/>
      <c r="Z352" s="24" t="n"/>
      <c r="AA352" s="24" t="n"/>
      <c r="AB352" s="24" t="n"/>
      <c r="AC352" s="24" t="n"/>
      <c r="AD352" s="24" t="n"/>
      <c r="AE352" s="24" t="n"/>
    </row>
    <row r="353">
      <c r="A353" s="114" t="n"/>
      <c r="B353" s="114" t="n"/>
      <c r="C353" s="114" t="n"/>
      <c r="D353" s="114" t="n"/>
      <c r="E353" s="114" t="n"/>
      <c r="F353" s="114" t="n"/>
      <c r="G353" s="24" t="n"/>
      <c r="V353" s="24" t="n"/>
      <c r="Y353" s="24" t="n"/>
      <c r="Z353" s="24" t="n"/>
      <c r="AA353" s="24" t="n"/>
      <c r="AB353" s="24" t="n"/>
      <c r="AC353" s="24" t="n"/>
      <c r="AD353" s="24" t="n"/>
      <c r="AE353" s="24" t="n"/>
    </row>
    <row r="354">
      <c r="A354" s="114" t="n"/>
      <c r="B354" s="114" t="n"/>
      <c r="C354" s="114" t="n"/>
      <c r="D354" s="114" t="n"/>
      <c r="E354" s="114" t="n"/>
      <c r="F354" s="114" t="n"/>
      <c r="G354" s="24" t="n"/>
      <c r="V354" s="24" t="n"/>
      <c r="Y354" s="24" t="n"/>
      <c r="Z354" s="24" t="n"/>
      <c r="AA354" s="24" t="n"/>
      <c r="AB354" s="24" t="n"/>
      <c r="AC354" s="24" t="n"/>
      <c r="AD354" s="24" t="n"/>
      <c r="AE354" s="24" t="n"/>
    </row>
    <row r="355">
      <c r="A355" s="114" t="n"/>
      <c r="B355" s="114" t="n"/>
      <c r="C355" s="114" t="n"/>
      <c r="D355" s="114" t="n"/>
      <c r="E355" s="114" t="n"/>
      <c r="F355" s="114" t="n"/>
      <c r="G355" s="24" t="n"/>
      <c r="V355" s="24" t="n"/>
      <c r="Y355" s="24" t="n"/>
      <c r="Z355" s="24" t="n"/>
      <c r="AA355" s="24" t="n"/>
      <c r="AB355" s="24" t="n"/>
      <c r="AC355" s="24" t="n"/>
      <c r="AD355" s="24" t="n"/>
      <c r="AE355" s="24" t="n"/>
    </row>
    <row r="356">
      <c r="A356" s="114" t="n"/>
      <c r="B356" s="114" t="n"/>
      <c r="C356" s="114" t="n"/>
      <c r="D356" s="114" t="n"/>
      <c r="E356" s="114" t="n"/>
      <c r="F356" s="114" t="n"/>
      <c r="G356" s="24" t="n"/>
      <c r="V356" s="24" t="n"/>
      <c r="Y356" s="24" t="n"/>
      <c r="Z356" s="24" t="n"/>
      <c r="AA356" s="24" t="n"/>
      <c r="AB356" s="24" t="n"/>
      <c r="AC356" s="24" t="n"/>
      <c r="AD356" s="24" t="n"/>
      <c r="AE356" s="24" t="n"/>
    </row>
    <row r="357">
      <c r="A357" s="114" t="n"/>
      <c r="B357" s="114" t="n"/>
      <c r="C357" s="114" t="n"/>
      <c r="D357" s="114" t="n"/>
      <c r="E357" s="114" t="n"/>
      <c r="F357" s="114" t="n"/>
      <c r="G357" s="24" t="n"/>
      <c r="V357" s="24" t="n"/>
      <c r="Y357" s="24" t="n"/>
      <c r="Z357" s="24" t="n"/>
      <c r="AA357" s="24" t="n"/>
      <c r="AB357" s="24" t="n"/>
      <c r="AC357" s="24" t="n"/>
      <c r="AD357" s="24" t="n"/>
      <c r="AE357" s="24" t="n"/>
    </row>
    <row r="358">
      <c r="A358" s="114" t="n"/>
      <c r="B358" s="114" t="n"/>
      <c r="C358" s="114" t="n"/>
      <c r="D358" s="114" t="n"/>
      <c r="E358" s="114" t="n"/>
      <c r="F358" s="114" t="n"/>
      <c r="G358" s="24" t="n"/>
      <c r="V358" s="24" t="n"/>
      <c r="Y358" s="24" t="n"/>
      <c r="Z358" s="24" t="n"/>
      <c r="AA358" s="24" t="n"/>
      <c r="AB358" s="24" t="n"/>
      <c r="AC358" s="24" t="n"/>
      <c r="AD358" s="24" t="n"/>
      <c r="AE358" s="24" t="n"/>
    </row>
    <row r="359">
      <c r="A359" s="114" t="n"/>
      <c r="B359" s="114" t="n"/>
      <c r="C359" s="114" t="n"/>
      <c r="D359" s="114" t="n"/>
      <c r="E359" s="114" t="n"/>
      <c r="F359" s="114" t="n"/>
      <c r="G359" s="24" t="n"/>
      <c r="V359" s="24" t="n"/>
      <c r="Y359" s="24" t="n"/>
      <c r="Z359" s="24" t="n"/>
      <c r="AA359" s="24" t="n"/>
      <c r="AB359" s="24" t="n"/>
      <c r="AC359" s="24" t="n"/>
      <c r="AD359" s="24" t="n"/>
      <c r="AE359" s="24" t="n"/>
    </row>
    <row r="360">
      <c r="A360" s="114" t="n"/>
      <c r="B360" s="114" t="n"/>
      <c r="C360" s="114" t="n"/>
      <c r="D360" s="114" t="n"/>
      <c r="E360" s="114" t="n"/>
      <c r="F360" s="114" t="n"/>
      <c r="G360" s="24" t="n"/>
      <c r="V360" s="24" t="n"/>
      <c r="Y360" s="24" t="n"/>
      <c r="Z360" s="24" t="n"/>
      <c r="AA360" s="24" t="n"/>
      <c r="AB360" s="24" t="n"/>
      <c r="AC360" s="24" t="n"/>
      <c r="AD360" s="24" t="n"/>
      <c r="AE360" s="24" t="n"/>
    </row>
    <row r="361">
      <c r="A361" s="114" t="n"/>
      <c r="B361" s="114" t="n"/>
      <c r="C361" s="114" t="n"/>
      <c r="D361" s="114" t="n"/>
      <c r="E361" s="114" t="n"/>
      <c r="F361" s="114" t="n"/>
      <c r="G361" s="24" t="n"/>
      <c r="V361" s="24" t="n"/>
      <c r="Y361" s="24" t="n"/>
      <c r="Z361" s="24" t="n"/>
      <c r="AA361" s="24" t="n"/>
      <c r="AB361" s="24" t="n"/>
      <c r="AC361" s="24" t="n"/>
      <c r="AD361" s="24" t="n"/>
      <c r="AE361" s="24" t="n"/>
    </row>
    <row r="362">
      <c r="A362" s="114" t="n"/>
      <c r="B362" s="114" t="n"/>
      <c r="C362" s="114" t="n"/>
      <c r="D362" s="114" t="n"/>
      <c r="E362" s="114" t="n"/>
      <c r="F362" s="114" t="n"/>
      <c r="G362" s="24" t="n"/>
      <c r="V362" s="24" t="n"/>
      <c r="Y362" s="24" t="n"/>
      <c r="Z362" s="24" t="n"/>
      <c r="AA362" s="24" t="n"/>
      <c r="AB362" s="24" t="n"/>
      <c r="AC362" s="24" t="n"/>
      <c r="AD362" s="24" t="n"/>
      <c r="AE362" s="24" t="n"/>
    </row>
    <row r="363">
      <c r="A363" s="114" t="n"/>
      <c r="B363" s="114" t="n"/>
      <c r="C363" s="114" t="n"/>
      <c r="D363" s="114" t="n"/>
      <c r="E363" s="114" t="n"/>
      <c r="F363" s="114" t="n"/>
      <c r="G363" s="24" t="n"/>
      <c r="V363" s="24" t="n"/>
      <c r="Y363" s="24" t="n"/>
      <c r="Z363" s="24" t="n"/>
      <c r="AA363" s="24" t="n"/>
      <c r="AB363" s="24" t="n"/>
      <c r="AC363" s="24" t="n"/>
      <c r="AD363" s="24" t="n"/>
      <c r="AE363" s="24" t="n"/>
    </row>
    <row r="364">
      <c r="A364" s="114" t="n"/>
      <c r="B364" s="114" t="n"/>
      <c r="C364" s="114" t="n"/>
      <c r="D364" s="114" t="n"/>
      <c r="E364" s="114" t="n"/>
      <c r="F364" s="114" t="n"/>
      <c r="G364" s="24" t="n"/>
      <c r="V364" s="24" t="n"/>
      <c r="Y364" s="24" t="n"/>
      <c r="Z364" s="24" t="n"/>
      <c r="AA364" s="24" t="n"/>
      <c r="AB364" s="24" t="n"/>
      <c r="AC364" s="24" t="n"/>
      <c r="AD364" s="24" t="n"/>
      <c r="AE364" s="24" t="n"/>
    </row>
    <row r="365">
      <c r="A365" s="114" t="n"/>
      <c r="B365" s="114" t="n"/>
      <c r="C365" s="114" t="n"/>
      <c r="D365" s="114" t="n"/>
      <c r="E365" s="114" t="n"/>
      <c r="F365" s="114" t="n"/>
      <c r="G365" s="24" t="n"/>
      <c r="V365" s="24" t="n"/>
      <c r="Y365" s="24" t="n"/>
      <c r="Z365" s="24" t="n"/>
      <c r="AA365" s="24" t="n"/>
      <c r="AB365" s="24" t="n"/>
      <c r="AC365" s="24" t="n"/>
      <c r="AD365" s="24" t="n"/>
      <c r="AE365" s="24" t="n"/>
    </row>
    <row r="366">
      <c r="A366" s="114" t="n"/>
      <c r="B366" s="114" t="n"/>
      <c r="C366" s="114" t="n"/>
      <c r="D366" s="114" t="n"/>
      <c r="E366" s="114" t="n"/>
      <c r="F366" s="114" t="n"/>
      <c r="G366" s="24" t="n"/>
      <c r="V366" s="24" t="n"/>
      <c r="Y366" s="24" t="n"/>
      <c r="Z366" s="24" t="n"/>
      <c r="AA366" s="24" t="n"/>
      <c r="AB366" s="24" t="n"/>
      <c r="AC366" s="24" t="n"/>
      <c r="AD366" s="24" t="n"/>
      <c r="AE366" s="24" t="n"/>
    </row>
    <row r="367">
      <c r="A367" s="114" t="n"/>
      <c r="B367" s="114" t="n"/>
      <c r="C367" s="114" t="n"/>
      <c r="D367" s="114" t="n"/>
      <c r="E367" s="114" t="n"/>
      <c r="F367" s="114" t="n"/>
      <c r="G367" s="24" t="n"/>
      <c r="V367" s="24" t="n"/>
      <c r="Y367" s="24" t="n"/>
      <c r="Z367" s="24" t="n"/>
      <c r="AA367" s="24" t="n"/>
      <c r="AB367" s="24" t="n"/>
      <c r="AC367" s="24" t="n"/>
      <c r="AD367" s="24" t="n"/>
      <c r="AE367" s="24" t="n"/>
    </row>
    <row r="368">
      <c r="A368" s="114" t="n"/>
      <c r="B368" s="114" t="n"/>
      <c r="C368" s="114" t="n"/>
      <c r="D368" s="114" t="n"/>
      <c r="E368" s="114" t="n"/>
      <c r="F368" s="114" t="n"/>
      <c r="G368" s="24" t="n"/>
      <c r="V368" s="24" t="n"/>
      <c r="Y368" s="24" t="n"/>
      <c r="Z368" s="24" t="n"/>
      <c r="AA368" s="24" t="n"/>
      <c r="AB368" s="24" t="n"/>
      <c r="AC368" s="24" t="n"/>
      <c r="AD368" s="24" t="n"/>
      <c r="AE368" s="24" t="n"/>
    </row>
    <row r="369">
      <c r="A369" s="114" t="n"/>
      <c r="B369" s="114" t="n"/>
      <c r="C369" s="114" t="n"/>
      <c r="D369" s="114" t="n"/>
      <c r="E369" s="114" t="n"/>
      <c r="F369" s="114" t="n"/>
      <c r="G369" s="24" t="n"/>
      <c r="V369" s="24" t="n"/>
      <c r="Y369" s="24" t="n"/>
      <c r="Z369" s="24" t="n"/>
      <c r="AA369" s="24" t="n"/>
      <c r="AB369" s="24" t="n"/>
      <c r="AC369" s="24" t="n"/>
      <c r="AD369" s="24" t="n"/>
      <c r="AE369" s="24" t="n"/>
    </row>
    <row r="370">
      <c r="A370" s="114" t="n"/>
      <c r="B370" s="114" t="n"/>
      <c r="C370" s="114" t="n"/>
      <c r="D370" s="114" t="n"/>
      <c r="E370" s="114" t="n"/>
      <c r="F370" s="114" t="n"/>
      <c r="G370" s="24" t="n"/>
      <c r="V370" s="24" t="n"/>
      <c r="Y370" s="24" t="n"/>
      <c r="Z370" s="24" t="n"/>
      <c r="AA370" s="24" t="n"/>
      <c r="AB370" s="24" t="n"/>
      <c r="AC370" s="24" t="n"/>
      <c r="AD370" s="24" t="n"/>
      <c r="AE370" s="24" t="n"/>
    </row>
    <row r="371">
      <c r="A371" s="114" t="n"/>
      <c r="B371" s="114" t="n"/>
      <c r="C371" s="114" t="n"/>
      <c r="D371" s="114" t="n"/>
      <c r="E371" s="114" t="n"/>
      <c r="F371" s="114" t="n"/>
      <c r="G371" s="24" t="n"/>
      <c r="V371" s="24" t="n"/>
      <c r="Y371" s="24" t="n"/>
      <c r="Z371" s="24" t="n"/>
      <c r="AA371" s="24" t="n"/>
      <c r="AB371" s="24" t="n"/>
      <c r="AC371" s="24" t="n"/>
      <c r="AD371" s="24" t="n"/>
      <c r="AE371" s="24" t="n"/>
    </row>
    <row r="372">
      <c r="A372" s="114" t="n"/>
      <c r="B372" s="114" t="n"/>
      <c r="C372" s="114" t="n"/>
      <c r="D372" s="114" t="n"/>
      <c r="E372" s="114" t="n"/>
      <c r="F372" s="114" t="n"/>
      <c r="G372" s="24" t="n"/>
      <c r="V372" s="24" t="n"/>
      <c r="Y372" s="24" t="n"/>
      <c r="Z372" s="24" t="n"/>
      <c r="AA372" s="24" t="n"/>
      <c r="AB372" s="24" t="n"/>
      <c r="AC372" s="24" t="n"/>
      <c r="AD372" s="24" t="n"/>
      <c r="AE372" s="24" t="n"/>
    </row>
    <row r="373">
      <c r="A373" s="114" t="n"/>
      <c r="B373" s="114" t="n"/>
      <c r="C373" s="114" t="n"/>
      <c r="D373" s="114" t="n"/>
      <c r="E373" s="114" t="n"/>
      <c r="F373" s="114" t="n"/>
      <c r="G373" s="24" t="n"/>
      <c r="V373" s="24" t="n"/>
      <c r="Y373" s="24" t="n"/>
      <c r="Z373" s="24" t="n"/>
      <c r="AA373" s="24" t="n"/>
      <c r="AB373" s="24" t="n"/>
      <c r="AC373" s="24" t="n"/>
      <c r="AD373" s="24" t="n"/>
      <c r="AE373" s="24" t="n"/>
    </row>
    <row r="374">
      <c r="A374" s="114" t="n"/>
      <c r="B374" s="114" t="n"/>
      <c r="C374" s="114" t="n"/>
      <c r="D374" s="114" t="n"/>
      <c r="E374" s="114" t="n"/>
      <c r="F374" s="114" t="n"/>
      <c r="G374" s="24" t="n"/>
      <c r="V374" s="24" t="n"/>
      <c r="Y374" s="24" t="n"/>
      <c r="Z374" s="24" t="n"/>
      <c r="AA374" s="24" t="n"/>
      <c r="AB374" s="24" t="n"/>
      <c r="AC374" s="24" t="n"/>
      <c r="AD374" s="24" t="n"/>
      <c r="AE374" s="24" t="n"/>
    </row>
    <row r="375">
      <c r="A375" s="114" t="n"/>
      <c r="B375" s="114" t="n"/>
      <c r="C375" s="114" t="n"/>
      <c r="D375" s="114" t="n"/>
      <c r="E375" s="114" t="n"/>
      <c r="F375" s="114" t="n"/>
      <c r="G375" s="24" t="n"/>
      <c r="V375" s="24" t="n"/>
      <c r="Y375" s="24" t="n"/>
      <c r="Z375" s="24" t="n"/>
      <c r="AA375" s="24" t="n"/>
      <c r="AB375" s="24" t="n"/>
      <c r="AC375" s="24" t="n"/>
      <c r="AD375" s="24" t="n"/>
      <c r="AE375" s="24" t="n"/>
    </row>
    <row r="376">
      <c r="A376" s="114" t="n"/>
      <c r="B376" s="114" t="n"/>
      <c r="C376" s="114" t="n"/>
      <c r="D376" s="114" t="n"/>
      <c r="E376" s="114" t="n"/>
      <c r="F376" s="114" t="n"/>
      <c r="G376" s="24" t="n"/>
      <c r="V376" s="24" t="n"/>
      <c r="Y376" s="24" t="n"/>
      <c r="Z376" s="24" t="n"/>
      <c r="AA376" s="24" t="n"/>
      <c r="AB376" s="24" t="n"/>
      <c r="AC376" s="24" t="n"/>
      <c r="AD376" s="24" t="n"/>
      <c r="AE376" s="24" t="n"/>
    </row>
    <row r="377">
      <c r="A377" s="114" t="n"/>
      <c r="B377" s="114" t="n"/>
      <c r="C377" s="114" t="n"/>
      <c r="D377" s="114" t="n"/>
      <c r="E377" s="114" t="n"/>
      <c r="F377" s="114" t="n"/>
      <c r="G377" s="24" t="n"/>
      <c r="V377" s="24" t="n"/>
      <c r="Y377" s="24" t="n"/>
      <c r="Z377" s="24" t="n"/>
      <c r="AA377" s="24" t="n"/>
      <c r="AB377" s="24" t="n"/>
      <c r="AC377" s="24" t="n"/>
      <c r="AD377" s="24" t="n"/>
      <c r="AE377" s="24" t="n"/>
    </row>
    <row r="378">
      <c r="A378" s="114" t="n"/>
      <c r="B378" s="114" t="n"/>
      <c r="C378" s="114" t="n"/>
      <c r="D378" s="114" t="n"/>
      <c r="E378" s="114" t="n"/>
      <c r="F378" s="114" t="n"/>
      <c r="G378" s="24" t="n"/>
      <c r="V378" s="24" t="n"/>
      <c r="Y378" s="24" t="n"/>
      <c r="Z378" s="24" t="n"/>
      <c r="AA378" s="24" t="n"/>
      <c r="AB378" s="24" t="n"/>
      <c r="AC378" s="24" t="n"/>
      <c r="AD378" s="24" t="n"/>
      <c r="AE378" s="24" t="n"/>
    </row>
    <row r="379">
      <c r="A379" s="114" t="n"/>
      <c r="B379" s="114" t="n"/>
      <c r="C379" s="114" t="n"/>
      <c r="D379" s="114" t="n"/>
      <c r="E379" s="114" t="n"/>
      <c r="F379" s="114" t="n"/>
      <c r="G379" s="24" t="n"/>
      <c r="V379" s="24" t="n"/>
      <c r="Y379" s="24" t="n"/>
      <c r="Z379" s="24" t="n"/>
      <c r="AA379" s="24" t="n"/>
      <c r="AB379" s="24" t="n"/>
      <c r="AC379" s="24" t="n"/>
      <c r="AD379" s="24" t="n"/>
      <c r="AE379" s="24" t="n"/>
    </row>
    <row r="380">
      <c r="A380" s="114" t="n"/>
      <c r="B380" s="114" t="n"/>
      <c r="C380" s="114" t="n"/>
      <c r="D380" s="114" t="n"/>
      <c r="E380" s="114" t="n"/>
      <c r="F380" s="114" t="n"/>
      <c r="G380" s="24" t="n"/>
      <c r="V380" s="24" t="n"/>
      <c r="Y380" s="24" t="n"/>
      <c r="Z380" s="24" t="n"/>
      <c r="AA380" s="24" t="n"/>
      <c r="AB380" s="24" t="n"/>
      <c r="AC380" s="24" t="n"/>
      <c r="AD380" s="24" t="n"/>
      <c r="AE380" s="24" t="n"/>
    </row>
    <row r="381">
      <c r="A381" s="114" t="n"/>
      <c r="B381" s="114" t="n"/>
      <c r="C381" s="114" t="n"/>
      <c r="D381" s="114" t="n"/>
      <c r="E381" s="114" t="n"/>
      <c r="F381" s="114" t="n"/>
      <c r="G381" s="24" t="n"/>
      <c r="V381" s="24" t="n"/>
      <c r="Y381" s="24" t="n"/>
      <c r="Z381" s="24" t="n"/>
      <c r="AA381" s="24" t="n"/>
      <c r="AB381" s="24" t="n"/>
      <c r="AC381" s="24" t="n"/>
      <c r="AD381" s="24" t="n"/>
      <c r="AE381" s="24" t="n"/>
    </row>
    <row r="382">
      <c r="A382" s="114" t="n"/>
      <c r="B382" s="114" t="n"/>
      <c r="C382" s="114" t="n"/>
      <c r="D382" s="114" t="n"/>
      <c r="E382" s="114" t="n"/>
      <c r="F382" s="114" t="n"/>
      <c r="G382" s="24" t="n"/>
      <c r="V382" s="24" t="n"/>
      <c r="Y382" s="24" t="n"/>
      <c r="Z382" s="24" t="n"/>
      <c r="AA382" s="24" t="n"/>
      <c r="AB382" s="24" t="n"/>
      <c r="AC382" s="24" t="n"/>
      <c r="AD382" s="24" t="n"/>
      <c r="AE382" s="24" t="n"/>
    </row>
    <row r="383">
      <c r="A383" s="114" t="n"/>
      <c r="B383" s="114" t="n"/>
      <c r="C383" s="114" t="n"/>
      <c r="D383" s="114" t="n"/>
      <c r="E383" s="114" t="n"/>
      <c r="F383" s="114" t="n"/>
      <c r="G383" s="24" t="n"/>
      <c r="V383" s="24" t="n"/>
      <c r="Y383" s="24" t="n"/>
      <c r="Z383" s="24" t="n"/>
      <c r="AA383" s="24" t="n"/>
      <c r="AB383" s="24" t="n"/>
      <c r="AC383" s="24" t="n"/>
      <c r="AD383" s="24" t="n"/>
      <c r="AE383" s="24" t="n"/>
    </row>
    <row r="384">
      <c r="A384" s="114" t="n"/>
      <c r="B384" s="114" t="n"/>
      <c r="C384" s="114" t="n"/>
      <c r="D384" s="114" t="n"/>
      <c r="E384" s="114" t="n"/>
      <c r="F384" s="114" t="n"/>
      <c r="G384" s="24" t="n"/>
      <c r="V384" s="24" t="n"/>
      <c r="Y384" s="24" t="n"/>
      <c r="Z384" s="24" t="n"/>
      <c r="AA384" s="24" t="n"/>
      <c r="AB384" s="24" t="n"/>
      <c r="AC384" s="24" t="n"/>
      <c r="AD384" s="24" t="n"/>
      <c r="AE384" s="24" t="n"/>
    </row>
    <row r="385">
      <c r="A385" s="114" t="n"/>
      <c r="B385" s="114" t="n"/>
      <c r="C385" s="114" t="n"/>
      <c r="D385" s="114" t="n"/>
      <c r="E385" s="114" t="n"/>
      <c r="F385" s="114" t="n"/>
      <c r="G385" s="24" t="n"/>
      <c r="V385" s="24" t="n"/>
      <c r="Y385" s="24" t="n"/>
      <c r="Z385" s="24" t="n"/>
      <c r="AA385" s="24" t="n"/>
      <c r="AB385" s="24" t="n"/>
      <c r="AC385" s="24" t="n"/>
      <c r="AD385" s="24" t="n"/>
      <c r="AE385" s="24" t="n"/>
    </row>
    <row r="386">
      <c r="A386" s="114" t="n"/>
      <c r="B386" s="114" t="n"/>
      <c r="C386" s="114" t="n"/>
      <c r="D386" s="114" t="n"/>
      <c r="E386" s="114" t="n"/>
      <c r="F386" s="114" t="n"/>
      <c r="G386" s="24" t="n"/>
      <c r="V386" s="24" t="n"/>
      <c r="Y386" s="24" t="n"/>
      <c r="Z386" s="24" t="n"/>
      <c r="AA386" s="24" t="n"/>
      <c r="AB386" s="24" t="n"/>
      <c r="AC386" s="24" t="n"/>
      <c r="AD386" s="24" t="n"/>
      <c r="AE386" s="24" t="n"/>
    </row>
    <row r="387">
      <c r="A387" s="114" t="n"/>
      <c r="B387" s="114" t="n"/>
      <c r="C387" s="114" t="n"/>
      <c r="D387" s="114" t="n"/>
      <c r="E387" s="114" t="n"/>
      <c r="F387" s="114" t="n"/>
      <c r="G387" s="24" t="n"/>
      <c r="V387" s="24" t="n"/>
      <c r="Y387" s="24" t="n"/>
      <c r="Z387" s="24" t="n"/>
      <c r="AA387" s="24" t="n"/>
      <c r="AB387" s="24" t="n"/>
      <c r="AC387" s="24" t="n"/>
      <c r="AD387" s="24" t="n"/>
      <c r="AE387" s="24" t="n"/>
    </row>
    <row r="388">
      <c r="A388" s="114" t="n"/>
      <c r="B388" s="114" t="n"/>
      <c r="C388" s="114" t="n"/>
      <c r="D388" s="114" t="n"/>
      <c r="E388" s="114" t="n"/>
      <c r="F388" s="114" t="n"/>
      <c r="G388" s="24" t="n"/>
      <c r="V388" s="24" t="n"/>
      <c r="Y388" s="24" t="n"/>
      <c r="Z388" s="24" t="n"/>
      <c r="AA388" s="24" t="n"/>
      <c r="AB388" s="24" t="n"/>
      <c r="AC388" s="24" t="n"/>
      <c r="AD388" s="24" t="n"/>
      <c r="AE388" s="24" t="n"/>
    </row>
    <row r="389">
      <c r="A389" s="114" t="n"/>
      <c r="B389" s="114" t="n"/>
      <c r="C389" s="114" t="n"/>
      <c r="D389" s="114" t="n"/>
      <c r="E389" s="114" t="n"/>
      <c r="F389" s="114" t="n"/>
      <c r="G389" s="24" t="n"/>
      <c r="V389" s="24" t="n"/>
      <c r="Y389" s="24" t="n"/>
      <c r="Z389" s="24" t="n"/>
      <c r="AA389" s="24" t="n"/>
      <c r="AB389" s="24" t="n"/>
      <c r="AC389" s="24" t="n"/>
      <c r="AD389" s="24" t="n"/>
      <c r="AE389" s="24" t="n"/>
    </row>
    <row r="390">
      <c r="A390" s="114" t="n"/>
      <c r="B390" s="114" t="n"/>
      <c r="C390" s="114" t="n"/>
      <c r="D390" s="114" t="n"/>
      <c r="E390" s="114" t="n"/>
      <c r="F390" s="114" t="n"/>
      <c r="G390" s="24" t="n"/>
      <c r="V390" s="24" t="n"/>
      <c r="Y390" s="24" t="n"/>
      <c r="Z390" s="24" t="n"/>
      <c r="AA390" s="24" t="n"/>
      <c r="AB390" s="24" t="n"/>
      <c r="AC390" s="24" t="n"/>
      <c r="AD390" s="24" t="n"/>
      <c r="AE390" s="24" t="n"/>
    </row>
    <row r="391">
      <c r="A391" s="114" t="n"/>
      <c r="B391" s="114" t="n"/>
      <c r="C391" s="114" t="n"/>
      <c r="D391" s="114" t="n"/>
      <c r="E391" s="114" t="n"/>
      <c r="F391" s="114" t="n"/>
      <c r="G391" s="24" t="n"/>
      <c r="V391" s="24" t="n"/>
      <c r="Y391" s="24" t="n"/>
      <c r="Z391" s="24" t="n"/>
      <c r="AA391" s="24" t="n"/>
      <c r="AB391" s="24" t="n"/>
      <c r="AC391" s="24" t="n"/>
      <c r="AD391" s="24" t="n"/>
      <c r="AE391" s="24" t="n"/>
    </row>
    <row r="392">
      <c r="A392" s="114" t="n"/>
      <c r="B392" s="114" t="n"/>
      <c r="C392" s="114" t="n"/>
      <c r="D392" s="114" t="n"/>
      <c r="E392" s="114" t="n"/>
      <c r="F392" s="114" t="n"/>
      <c r="G392" s="24" t="n"/>
      <c r="V392" s="24" t="n"/>
      <c r="Y392" s="24" t="n"/>
      <c r="Z392" s="24" t="n"/>
      <c r="AA392" s="24" t="n"/>
      <c r="AB392" s="24" t="n"/>
      <c r="AC392" s="24" t="n"/>
      <c r="AD392" s="24" t="n"/>
      <c r="AE392" s="24" t="n"/>
    </row>
    <row r="393">
      <c r="A393" s="114" t="n"/>
      <c r="B393" s="114" t="n"/>
      <c r="C393" s="114" t="n"/>
      <c r="D393" s="114" t="n"/>
      <c r="E393" s="114" t="n"/>
      <c r="F393" s="114" t="n"/>
      <c r="G393" s="24" t="n"/>
      <c r="V393" s="24" t="n"/>
      <c r="Y393" s="24" t="n"/>
      <c r="Z393" s="24" t="n"/>
      <c r="AA393" s="24" t="n"/>
      <c r="AB393" s="24" t="n"/>
      <c r="AC393" s="24" t="n"/>
      <c r="AD393" s="24" t="n"/>
      <c r="AE393" s="24" t="n"/>
    </row>
    <row r="394">
      <c r="A394" s="114" t="n"/>
      <c r="B394" s="114" t="n"/>
      <c r="C394" s="114" t="n"/>
      <c r="D394" s="114" t="n"/>
      <c r="E394" s="114" t="n"/>
      <c r="F394" s="114" t="n"/>
      <c r="G394" s="24" t="n"/>
      <c r="V394" s="24" t="n"/>
      <c r="Y394" s="24" t="n"/>
      <c r="Z394" s="24" t="n"/>
      <c r="AA394" s="24" t="n"/>
      <c r="AB394" s="24" t="n"/>
      <c r="AC394" s="24" t="n"/>
      <c r="AD394" s="24" t="n"/>
      <c r="AE394" s="24" t="n"/>
    </row>
    <row r="395">
      <c r="A395" s="114" t="n"/>
      <c r="B395" s="114" t="n"/>
      <c r="C395" s="114" t="n"/>
      <c r="D395" s="114" t="n"/>
      <c r="E395" s="114" t="n"/>
      <c r="F395" s="114" t="n"/>
      <c r="G395" s="24" t="n"/>
      <c r="V395" s="24" t="n"/>
      <c r="Y395" s="24" t="n"/>
      <c r="Z395" s="24" t="n"/>
      <c r="AA395" s="24" t="n"/>
      <c r="AB395" s="24" t="n"/>
      <c r="AC395" s="24" t="n"/>
      <c r="AD395" s="24" t="n"/>
      <c r="AE395" s="24" t="n"/>
    </row>
    <row r="396">
      <c r="A396" s="114" t="n"/>
      <c r="B396" s="114" t="n"/>
      <c r="C396" s="114" t="n"/>
      <c r="D396" s="114" t="n"/>
      <c r="E396" s="114" t="n"/>
      <c r="F396" s="114" t="n"/>
      <c r="G396" s="24" t="n"/>
      <c r="V396" s="24" t="n"/>
      <c r="Y396" s="24" t="n"/>
      <c r="Z396" s="24" t="n"/>
      <c r="AA396" s="24" t="n"/>
      <c r="AB396" s="24" t="n"/>
      <c r="AC396" s="24" t="n"/>
      <c r="AD396" s="24" t="n"/>
      <c r="AE396" s="24" t="n"/>
    </row>
    <row r="397">
      <c r="A397" s="114" t="n"/>
      <c r="B397" s="114" t="n"/>
      <c r="C397" s="114" t="n"/>
      <c r="D397" s="114" t="n"/>
      <c r="E397" s="114" t="n"/>
      <c r="F397" s="114" t="n"/>
      <c r="G397" s="24" t="n"/>
      <c r="V397" s="24" t="n"/>
      <c r="Y397" s="24" t="n"/>
      <c r="Z397" s="24" t="n"/>
      <c r="AA397" s="24" t="n"/>
      <c r="AB397" s="24" t="n"/>
      <c r="AC397" s="24" t="n"/>
      <c r="AD397" s="24" t="n"/>
      <c r="AE397" s="24" t="n"/>
    </row>
    <row r="398">
      <c r="A398" s="114" t="n"/>
      <c r="B398" s="114" t="n"/>
      <c r="C398" s="114" t="n"/>
      <c r="D398" s="114" t="n"/>
      <c r="E398" s="114" t="n"/>
      <c r="F398" s="114" t="n"/>
      <c r="G398" s="24" t="n"/>
      <c r="V398" s="24" t="n"/>
      <c r="Y398" s="24" t="n"/>
      <c r="Z398" s="24" t="n"/>
      <c r="AA398" s="24" t="n"/>
      <c r="AB398" s="24" t="n"/>
      <c r="AC398" s="24" t="n"/>
      <c r="AD398" s="24" t="n"/>
      <c r="AE398" s="24" t="n"/>
    </row>
    <row r="399">
      <c r="A399" s="114" t="n"/>
      <c r="B399" s="114" t="n"/>
      <c r="C399" s="114" t="n"/>
      <c r="D399" s="114" t="n"/>
      <c r="E399" s="114" t="n"/>
      <c r="F399" s="114" t="n"/>
      <c r="G399" s="24" t="n"/>
      <c r="V399" s="24" t="n"/>
      <c r="Y399" s="24" t="n"/>
      <c r="Z399" s="24" t="n"/>
      <c r="AA399" s="24" t="n"/>
      <c r="AB399" s="24" t="n"/>
      <c r="AC399" s="24" t="n"/>
      <c r="AD399" s="24" t="n"/>
      <c r="AE399" s="24" t="n"/>
    </row>
    <row r="400">
      <c r="A400" s="114" t="n"/>
      <c r="B400" s="114" t="n"/>
      <c r="C400" s="114" t="n"/>
      <c r="D400" s="114" t="n"/>
      <c r="E400" s="114" t="n"/>
      <c r="F400" s="114" t="n"/>
      <c r="G400" s="24" t="n"/>
      <c r="V400" s="24" t="n"/>
      <c r="Y400" s="24" t="n"/>
      <c r="Z400" s="24" t="n"/>
      <c r="AA400" s="24" t="n"/>
      <c r="AB400" s="24" t="n"/>
      <c r="AC400" s="24" t="n"/>
      <c r="AD400" s="24" t="n"/>
      <c r="AE400" s="24" t="n"/>
    </row>
    <row r="401">
      <c r="A401" s="114" t="n"/>
      <c r="B401" s="114" t="n"/>
      <c r="C401" s="114" t="n"/>
      <c r="D401" s="114" t="n"/>
      <c r="E401" s="114" t="n"/>
      <c r="F401" s="114" t="n"/>
      <c r="G401" s="24" t="n"/>
      <c r="V401" s="24" t="n"/>
      <c r="Y401" s="24" t="n"/>
      <c r="Z401" s="24" t="n"/>
      <c r="AA401" s="24" t="n"/>
      <c r="AB401" s="24" t="n"/>
      <c r="AC401" s="24" t="n"/>
      <c r="AD401" s="24" t="n"/>
      <c r="AE401" s="24" t="n"/>
    </row>
    <row r="402">
      <c r="A402" s="114" t="n"/>
      <c r="B402" s="114" t="n"/>
      <c r="C402" s="114" t="n"/>
      <c r="D402" s="114" t="n"/>
      <c r="E402" s="114" t="n"/>
      <c r="F402" s="114" t="n"/>
      <c r="G402" s="24" t="n"/>
      <c r="V402" s="24" t="n"/>
      <c r="Y402" s="24" t="n"/>
      <c r="Z402" s="24" t="n"/>
      <c r="AA402" s="24" t="n"/>
      <c r="AB402" s="24" t="n"/>
      <c r="AC402" s="24" t="n"/>
      <c r="AD402" s="24" t="n"/>
      <c r="AE402" s="24" t="n"/>
    </row>
    <row r="403">
      <c r="A403" s="114" t="n"/>
      <c r="B403" s="114" t="n"/>
      <c r="C403" s="114" t="n"/>
      <c r="D403" s="114" t="n"/>
      <c r="E403" s="114" t="n"/>
      <c r="F403" s="114" t="n"/>
      <c r="G403" s="24" t="n"/>
      <c r="V403" s="24" t="n"/>
      <c r="Y403" s="24" t="n"/>
      <c r="Z403" s="24" t="n"/>
      <c r="AA403" s="24" t="n"/>
      <c r="AB403" s="24" t="n"/>
      <c r="AC403" s="24" t="n"/>
      <c r="AD403" s="24" t="n"/>
      <c r="AE403" s="24" t="n"/>
    </row>
    <row r="404">
      <c r="A404" s="114" t="n"/>
      <c r="B404" s="114" t="n"/>
      <c r="C404" s="114" t="n"/>
      <c r="D404" s="114" t="n"/>
      <c r="E404" s="114" t="n"/>
      <c r="F404" s="114" t="n"/>
      <c r="G404" s="24" t="n"/>
      <c r="V404" s="24" t="n"/>
      <c r="Y404" s="24" t="n"/>
      <c r="Z404" s="24" t="n"/>
      <c r="AA404" s="24" t="n"/>
      <c r="AB404" s="24" t="n"/>
      <c r="AC404" s="24" t="n"/>
      <c r="AD404" s="24" t="n"/>
      <c r="AE404" s="24" t="n"/>
    </row>
    <row r="405">
      <c r="A405" s="114" t="n"/>
      <c r="B405" s="114" t="n"/>
      <c r="C405" s="114" t="n"/>
      <c r="D405" s="114" t="n"/>
      <c r="E405" s="114" t="n"/>
      <c r="F405" s="114" t="n"/>
      <c r="G405" s="24" t="n"/>
      <c r="V405" s="24" t="n"/>
      <c r="Y405" s="24" t="n"/>
      <c r="Z405" s="24" t="n"/>
      <c r="AA405" s="24" t="n"/>
      <c r="AB405" s="24" t="n"/>
      <c r="AC405" s="24" t="n"/>
      <c r="AD405" s="24" t="n"/>
      <c r="AE405" s="24" t="n"/>
    </row>
    <row r="406">
      <c r="A406" s="114" t="n"/>
      <c r="B406" s="114" t="n"/>
      <c r="C406" s="114" t="n"/>
      <c r="D406" s="114" t="n"/>
      <c r="E406" s="114" t="n"/>
      <c r="F406" s="114" t="n"/>
      <c r="G406" s="24" t="n"/>
      <c r="V406" s="24" t="n"/>
      <c r="Y406" s="24" t="n"/>
      <c r="Z406" s="24" t="n"/>
      <c r="AA406" s="24" t="n"/>
      <c r="AB406" s="24" t="n"/>
      <c r="AC406" s="24" t="n"/>
      <c r="AD406" s="24" t="n"/>
      <c r="AE406" s="24" t="n"/>
    </row>
    <row r="407">
      <c r="A407" s="114" t="n"/>
      <c r="B407" s="114" t="n"/>
      <c r="C407" s="114" t="n"/>
      <c r="D407" s="114" t="n"/>
      <c r="E407" s="114" t="n"/>
      <c r="F407" s="114" t="n"/>
      <c r="G407" s="24" t="n"/>
      <c r="V407" s="24" t="n"/>
      <c r="Y407" s="24" t="n"/>
      <c r="Z407" s="24" t="n"/>
      <c r="AA407" s="24" t="n"/>
      <c r="AB407" s="24" t="n"/>
      <c r="AC407" s="24" t="n"/>
      <c r="AD407" s="24" t="n"/>
      <c r="AE407" s="24" t="n"/>
    </row>
    <row r="408">
      <c r="A408" s="114" t="n"/>
      <c r="B408" s="114" t="n"/>
      <c r="C408" s="114" t="n"/>
      <c r="D408" s="114" t="n"/>
      <c r="E408" s="114" t="n"/>
      <c r="F408" s="114" t="n"/>
      <c r="G408" s="24" t="n"/>
      <c r="V408" s="24" t="n"/>
      <c r="Y408" s="24" t="n"/>
      <c r="Z408" s="24" t="n"/>
      <c r="AA408" s="24" t="n"/>
      <c r="AB408" s="24" t="n"/>
      <c r="AC408" s="24" t="n"/>
      <c r="AD408" s="24" t="n"/>
      <c r="AE408" s="24" t="n"/>
    </row>
    <row r="409">
      <c r="A409" s="114" t="n"/>
      <c r="B409" s="114" t="n"/>
      <c r="C409" s="114" t="n"/>
      <c r="D409" s="114" t="n"/>
      <c r="E409" s="114" t="n"/>
      <c r="F409" s="114" t="n"/>
      <c r="G409" s="24" t="n"/>
      <c r="V409" s="24" t="n"/>
      <c r="Y409" s="24" t="n"/>
      <c r="Z409" s="24" t="n"/>
      <c r="AA409" s="24" t="n"/>
      <c r="AB409" s="24" t="n"/>
      <c r="AC409" s="24" t="n"/>
      <c r="AD409" s="24" t="n"/>
      <c r="AE409" s="24" t="n"/>
    </row>
    <row r="410">
      <c r="A410" s="114" t="n"/>
      <c r="B410" s="114" t="n"/>
      <c r="C410" s="114" t="n"/>
      <c r="D410" s="114" t="n"/>
      <c r="E410" s="114" t="n"/>
      <c r="F410" s="114" t="n"/>
      <c r="G410" s="24" t="n"/>
      <c r="V410" s="24" t="n"/>
      <c r="Y410" s="24" t="n"/>
      <c r="Z410" s="24" t="n"/>
      <c r="AA410" s="24" t="n"/>
      <c r="AB410" s="24" t="n"/>
      <c r="AC410" s="24" t="n"/>
      <c r="AD410" s="24" t="n"/>
      <c r="AE410" s="24" t="n"/>
    </row>
    <row r="411">
      <c r="A411" s="114" t="n"/>
      <c r="B411" s="114" t="n"/>
      <c r="C411" s="114" t="n"/>
      <c r="D411" s="114" t="n"/>
      <c r="E411" s="114" t="n"/>
      <c r="F411" s="114" t="n"/>
      <c r="G411" s="24" t="n"/>
      <c r="V411" s="24" t="n"/>
      <c r="Y411" s="24" t="n"/>
      <c r="Z411" s="24" t="n"/>
      <c r="AA411" s="24" t="n"/>
      <c r="AB411" s="24" t="n"/>
      <c r="AC411" s="24" t="n"/>
      <c r="AD411" s="24" t="n"/>
      <c r="AE411" s="24" t="n"/>
    </row>
    <row r="412">
      <c r="A412" s="114" t="n"/>
      <c r="B412" s="114" t="n"/>
      <c r="C412" s="114" t="n"/>
      <c r="D412" s="114" t="n"/>
      <c r="E412" s="114" t="n"/>
      <c r="F412" s="114" t="n"/>
      <c r="G412" s="24" t="n"/>
      <c r="V412" s="24" t="n"/>
      <c r="Y412" s="24" t="n"/>
      <c r="Z412" s="24" t="n"/>
      <c r="AA412" s="24" t="n"/>
      <c r="AB412" s="24" t="n"/>
      <c r="AC412" s="24" t="n"/>
      <c r="AD412" s="24" t="n"/>
      <c r="AE412" s="24" t="n"/>
    </row>
    <row r="413">
      <c r="A413" s="114" t="n"/>
      <c r="B413" s="114" t="n"/>
      <c r="C413" s="114" t="n"/>
      <c r="D413" s="114" t="n"/>
      <c r="E413" s="114" t="n"/>
      <c r="F413" s="114" t="n"/>
      <c r="G413" s="24" t="n"/>
      <c r="V413" s="24" t="n"/>
      <c r="Y413" s="24" t="n"/>
      <c r="Z413" s="24" t="n"/>
      <c r="AA413" s="24" t="n"/>
      <c r="AB413" s="24" t="n"/>
      <c r="AC413" s="24" t="n"/>
      <c r="AD413" s="24" t="n"/>
      <c r="AE413" s="24" t="n"/>
    </row>
    <row r="414">
      <c r="A414" s="114" t="n"/>
      <c r="B414" s="114" t="n"/>
      <c r="C414" s="114" t="n"/>
      <c r="D414" s="114" t="n"/>
      <c r="E414" s="114" t="n"/>
      <c r="F414" s="114" t="n"/>
      <c r="G414" s="24" t="n"/>
      <c r="V414" s="24" t="n"/>
      <c r="Y414" s="24" t="n"/>
      <c r="Z414" s="24" t="n"/>
      <c r="AA414" s="24" t="n"/>
      <c r="AB414" s="24" t="n"/>
      <c r="AC414" s="24" t="n"/>
      <c r="AD414" s="24" t="n"/>
      <c r="AE414" s="24" t="n"/>
    </row>
    <row r="415">
      <c r="A415" s="114" t="n"/>
      <c r="B415" s="114" t="n"/>
      <c r="C415" s="114" t="n"/>
      <c r="D415" s="114" t="n"/>
      <c r="E415" s="114" t="n"/>
      <c r="F415" s="114" t="n"/>
      <c r="G415" s="24" t="n"/>
      <c r="V415" s="24" t="n"/>
      <c r="Y415" s="24" t="n"/>
      <c r="Z415" s="24" t="n"/>
      <c r="AA415" s="24" t="n"/>
      <c r="AB415" s="24" t="n"/>
      <c r="AC415" s="24" t="n"/>
      <c r="AD415" s="24" t="n"/>
      <c r="AE415" s="24" t="n"/>
    </row>
    <row r="416">
      <c r="A416" s="114" t="n"/>
      <c r="B416" s="114" t="n"/>
      <c r="C416" s="114" t="n"/>
      <c r="D416" s="114" t="n"/>
      <c r="E416" s="114" t="n"/>
      <c r="F416" s="114" t="n"/>
      <c r="G416" s="24" t="n"/>
      <c r="V416" s="24" t="n"/>
      <c r="Y416" s="24" t="n"/>
      <c r="Z416" s="24" t="n"/>
      <c r="AA416" s="24" t="n"/>
      <c r="AB416" s="24" t="n"/>
      <c r="AC416" s="24" t="n"/>
      <c r="AD416" s="24" t="n"/>
      <c r="AE416" s="24" t="n"/>
    </row>
    <row r="417">
      <c r="A417" s="114" t="n"/>
      <c r="B417" s="114" t="n"/>
      <c r="C417" s="114" t="n"/>
      <c r="D417" s="114" t="n"/>
      <c r="E417" s="114" t="n"/>
      <c r="F417" s="114" t="n"/>
      <c r="G417" s="24" t="n"/>
      <c r="V417" s="24" t="n"/>
      <c r="Y417" s="24" t="n"/>
      <c r="Z417" s="24" t="n"/>
      <c r="AA417" s="24" t="n"/>
      <c r="AB417" s="24" t="n"/>
      <c r="AC417" s="24" t="n"/>
      <c r="AD417" s="24" t="n"/>
      <c r="AE417" s="24" t="n"/>
    </row>
    <row r="418">
      <c r="A418" s="114" t="n"/>
      <c r="B418" s="114" t="n"/>
      <c r="C418" s="114" t="n"/>
      <c r="D418" s="114" t="n"/>
      <c r="E418" s="114" t="n"/>
      <c r="F418" s="114" t="n"/>
      <c r="G418" s="24" t="n"/>
      <c r="V418" s="24" t="n"/>
      <c r="Y418" s="24" t="n"/>
      <c r="Z418" s="24" t="n"/>
      <c r="AA418" s="24" t="n"/>
      <c r="AB418" s="24" t="n"/>
      <c r="AC418" s="24" t="n"/>
      <c r="AD418" s="24" t="n"/>
      <c r="AE418" s="24" t="n"/>
    </row>
    <row r="419">
      <c r="A419" s="114" t="n"/>
      <c r="B419" s="114" t="n"/>
      <c r="C419" s="114" t="n"/>
      <c r="D419" s="114" t="n"/>
      <c r="E419" s="114" t="n"/>
      <c r="F419" s="114" t="n"/>
      <c r="G419" s="24" t="n"/>
      <c r="V419" s="24" t="n"/>
      <c r="Y419" s="24" t="n"/>
      <c r="Z419" s="24" t="n"/>
      <c r="AA419" s="24" t="n"/>
      <c r="AB419" s="24" t="n"/>
      <c r="AC419" s="24" t="n"/>
      <c r="AD419" s="24" t="n"/>
      <c r="AE419" s="24" t="n"/>
    </row>
    <row r="420">
      <c r="A420" s="114" t="n"/>
      <c r="B420" s="114" t="n"/>
      <c r="C420" s="114" t="n"/>
      <c r="D420" s="114" t="n"/>
      <c r="E420" s="114" t="n"/>
      <c r="F420" s="114" t="n"/>
      <c r="G420" s="24" t="n"/>
      <c r="V420" s="24" t="n"/>
      <c r="Y420" s="24" t="n"/>
      <c r="Z420" s="24" t="n"/>
      <c r="AA420" s="24" t="n"/>
      <c r="AB420" s="24" t="n"/>
      <c r="AC420" s="24" t="n"/>
      <c r="AD420" s="24" t="n"/>
      <c r="AE420" s="24" t="n"/>
    </row>
    <row r="421">
      <c r="A421" s="114" t="n"/>
      <c r="B421" s="114" t="n"/>
      <c r="C421" s="114" t="n"/>
      <c r="D421" s="114" t="n"/>
      <c r="E421" s="114" t="n"/>
      <c r="F421" s="114" t="n"/>
      <c r="G421" s="24" t="n"/>
      <c r="V421" s="24" t="n"/>
      <c r="Y421" s="24" t="n"/>
      <c r="Z421" s="24" t="n"/>
      <c r="AA421" s="24" t="n"/>
      <c r="AB421" s="24" t="n"/>
      <c r="AC421" s="24" t="n"/>
      <c r="AD421" s="24" t="n"/>
      <c r="AE421" s="24" t="n"/>
    </row>
    <row r="422">
      <c r="A422" s="114" t="n"/>
      <c r="B422" s="114" t="n"/>
      <c r="C422" s="114" t="n"/>
      <c r="D422" s="114" t="n"/>
      <c r="E422" s="114" t="n"/>
      <c r="F422" s="114" t="n"/>
      <c r="G422" s="24" t="n"/>
      <c r="V422" s="24" t="n"/>
      <c r="Y422" s="24" t="n"/>
      <c r="Z422" s="24" t="n"/>
      <c r="AA422" s="24" t="n"/>
      <c r="AB422" s="24" t="n"/>
      <c r="AC422" s="24" t="n"/>
      <c r="AD422" s="24" t="n"/>
      <c r="AE422" s="24" t="n"/>
    </row>
    <row r="423">
      <c r="A423" s="114" t="n"/>
      <c r="B423" s="114" t="n"/>
      <c r="C423" s="114" t="n"/>
      <c r="D423" s="114" t="n"/>
      <c r="E423" s="114" t="n"/>
      <c r="F423" s="114" t="n"/>
      <c r="G423" s="24" t="n"/>
      <c r="V423" s="24" t="n"/>
      <c r="Y423" s="24" t="n"/>
      <c r="Z423" s="24" t="n"/>
      <c r="AA423" s="24" t="n"/>
      <c r="AB423" s="24" t="n"/>
      <c r="AC423" s="24" t="n"/>
      <c r="AD423" s="24" t="n"/>
      <c r="AE423" s="24" t="n"/>
    </row>
    <row r="424">
      <c r="A424" s="114" t="n"/>
      <c r="B424" s="114" t="n"/>
      <c r="C424" s="114" t="n"/>
      <c r="D424" s="114" t="n"/>
      <c r="E424" s="114" t="n"/>
      <c r="F424" s="114" t="n"/>
      <c r="G424" s="24" t="n"/>
      <c r="V424" s="24" t="n"/>
      <c r="Y424" s="24" t="n"/>
      <c r="Z424" s="24" t="n"/>
      <c r="AA424" s="24" t="n"/>
      <c r="AB424" s="24" t="n"/>
      <c r="AC424" s="24" t="n"/>
      <c r="AD424" s="24" t="n"/>
      <c r="AE424" s="24" t="n"/>
    </row>
    <row r="425">
      <c r="A425" s="114" t="n"/>
      <c r="B425" s="114" t="n"/>
      <c r="C425" s="114" t="n"/>
      <c r="D425" s="114" t="n"/>
      <c r="E425" s="114" t="n"/>
      <c r="F425" s="114" t="n"/>
      <c r="G425" s="24" t="n"/>
      <c r="V425" s="24" t="n"/>
      <c r="Y425" s="24" t="n"/>
      <c r="Z425" s="24" t="n"/>
      <c r="AA425" s="24" t="n"/>
      <c r="AB425" s="24" t="n"/>
      <c r="AC425" s="24" t="n"/>
      <c r="AD425" s="24" t="n"/>
      <c r="AE425" s="24" t="n"/>
    </row>
    <row r="426">
      <c r="A426" s="114" t="n"/>
      <c r="B426" s="114" t="n"/>
      <c r="C426" s="114" t="n"/>
      <c r="D426" s="114" t="n"/>
      <c r="E426" s="114" t="n"/>
      <c r="F426" s="114" t="n"/>
      <c r="G426" s="24" t="n"/>
      <c r="V426" s="24" t="n"/>
      <c r="Y426" s="24" t="n"/>
      <c r="Z426" s="24" t="n"/>
      <c r="AA426" s="24" t="n"/>
      <c r="AB426" s="24" t="n"/>
      <c r="AC426" s="24" t="n"/>
      <c r="AD426" s="24" t="n"/>
      <c r="AE426" s="24" t="n"/>
    </row>
    <row r="427">
      <c r="A427" s="114" t="n"/>
      <c r="B427" s="114" t="n"/>
      <c r="C427" s="114" t="n"/>
      <c r="D427" s="114" t="n"/>
      <c r="E427" s="114" t="n"/>
      <c r="F427" s="114" t="n"/>
      <c r="G427" s="24" t="n"/>
      <c r="V427" s="24" t="n"/>
      <c r="Y427" s="24" t="n"/>
      <c r="Z427" s="24" t="n"/>
      <c r="AA427" s="24" t="n"/>
      <c r="AB427" s="24" t="n"/>
      <c r="AC427" s="24" t="n"/>
      <c r="AD427" s="24" t="n"/>
      <c r="AE427" s="24" t="n"/>
    </row>
    <row r="428">
      <c r="A428" s="114" t="n"/>
      <c r="B428" s="114" t="n"/>
      <c r="C428" s="114" t="n"/>
      <c r="D428" s="114" t="n"/>
      <c r="E428" s="114" t="n"/>
      <c r="F428" s="114" t="n"/>
      <c r="G428" s="24" t="n"/>
      <c r="V428" s="24" t="n"/>
      <c r="Y428" s="24" t="n"/>
      <c r="Z428" s="24" t="n"/>
      <c r="AA428" s="24" t="n"/>
      <c r="AB428" s="24" t="n"/>
      <c r="AC428" s="24" t="n"/>
      <c r="AD428" s="24" t="n"/>
      <c r="AE428" s="24" t="n"/>
    </row>
    <row r="429">
      <c r="A429" s="114" t="n"/>
      <c r="B429" s="114" t="n"/>
      <c r="C429" s="114" t="n"/>
      <c r="D429" s="114" t="n"/>
      <c r="E429" s="114" t="n"/>
      <c r="F429" s="114" t="n"/>
      <c r="G429" s="24" t="n"/>
      <c r="V429" s="24" t="n"/>
      <c r="Y429" s="24" t="n"/>
      <c r="Z429" s="24" t="n"/>
      <c r="AA429" s="24" t="n"/>
      <c r="AB429" s="24" t="n"/>
      <c r="AC429" s="24" t="n"/>
      <c r="AD429" s="24" t="n"/>
      <c r="AE429" s="24" t="n"/>
    </row>
    <row r="430">
      <c r="A430" s="114" t="n"/>
      <c r="B430" s="114" t="n"/>
      <c r="C430" s="114" t="n"/>
      <c r="D430" s="114" t="n"/>
      <c r="E430" s="114" t="n"/>
      <c r="F430" s="114" t="n"/>
      <c r="G430" s="24" t="n"/>
      <c r="V430" s="24" t="n"/>
      <c r="Y430" s="24" t="n"/>
      <c r="Z430" s="24" t="n"/>
      <c r="AA430" s="24" t="n"/>
      <c r="AB430" s="24" t="n"/>
      <c r="AC430" s="24" t="n"/>
      <c r="AD430" s="24" t="n"/>
      <c r="AE430" s="24" t="n"/>
    </row>
    <row r="431">
      <c r="A431" s="114" t="n"/>
      <c r="B431" s="114" t="n"/>
      <c r="C431" s="114" t="n"/>
      <c r="D431" s="114" t="n"/>
      <c r="E431" s="114" t="n"/>
      <c r="F431" s="114" t="n"/>
      <c r="G431" s="24" t="n"/>
      <c r="V431" s="24" t="n"/>
      <c r="Y431" s="24" t="n"/>
      <c r="Z431" s="24" t="n"/>
      <c r="AA431" s="24" t="n"/>
      <c r="AB431" s="24" t="n"/>
      <c r="AC431" s="24" t="n"/>
      <c r="AD431" s="24" t="n"/>
      <c r="AE431" s="24" t="n"/>
    </row>
    <row r="432">
      <c r="A432" s="114" t="n"/>
      <c r="B432" s="114" t="n"/>
      <c r="C432" s="114" t="n"/>
      <c r="D432" s="114" t="n"/>
      <c r="E432" s="114" t="n"/>
      <c r="F432" s="114" t="n"/>
      <c r="G432" s="24" t="n"/>
      <c r="V432" s="24" t="n"/>
      <c r="Y432" s="24" t="n"/>
      <c r="Z432" s="24" t="n"/>
      <c r="AA432" s="24" t="n"/>
      <c r="AB432" s="24" t="n"/>
      <c r="AC432" s="24" t="n"/>
      <c r="AD432" s="24" t="n"/>
      <c r="AE432" s="24" t="n"/>
    </row>
    <row r="433">
      <c r="A433" s="114" t="n"/>
      <c r="B433" s="114" t="n"/>
      <c r="C433" s="114" t="n"/>
      <c r="D433" s="114" t="n"/>
      <c r="E433" s="114" t="n"/>
      <c r="F433" s="114" t="n"/>
      <c r="G433" s="24" t="n"/>
      <c r="V433" s="24" t="n"/>
      <c r="Y433" s="24" t="n"/>
      <c r="Z433" s="24" t="n"/>
      <c r="AA433" s="24" t="n"/>
      <c r="AB433" s="24" t="n"/>
      <c r="AC433" s="24" t="n"/>
      <c r="AD433" s="24" t="n"/>
      <c r="AE433" s="24" t="n"/>
    </row>
    <row r="434">
      <c r="A434" s="114" t="n"/>
      <c r="B434" s="114" t="n"/>
      <c r="C434" s="114" t="n"/>
      <c r="D434" s="114" t="n"/>
      <c r="E434" s="114" t="n"/>
      <c r="F434" s="114" t="n"/>
      <c r="G434" s="24" t="n"/>
      <c r="V434" s="24" t="n"/>
      <c r="Y434" s="24" t="n"/>
      <c r="Z434" s="24" t="n"/>
      <c r="AA434" s="24" t="n"/>
      <c r="AB434" s="24" t="n"/>
      <c r="AC434" s="24" t="n"/>
      <c r="AD434" s="24" t="n"/>
      <c r="AE434" s="24" t="n"/>
    </row>
    <row r="435">
      <c r="A435" s="114" t="n"/>
      <c r="B435" s="114" t="n"/>
      <c r="C435" s="114" t="n"/>
      <c r="D435" s="114" t="n"/>
      <c r="E435" s="114" t="n"/>
      <c r="F435" s="114" t="n"/>
      <c r="G435" s="24" t="n"/>
      <c r="V435" s="24" t="n"/>
      <c r="Y435" s="24" t="n"/>
      <c r="Z435" s="24" t="n"/>
      <c r="AA435" s="24" t="n"/>
      <c r="AB435" s="24" t="n"/>
      <c r="AC435" s="24" t="n"/>
      <c r="AD435" s="24" t="n"/>
      <c r="AE435" s="24" t="n"/>
    </row>
    <row r="436">
      <c r="A436" s="114" t="n"/>
      <c r="B436" s="114" t="n"/>
      <c r="C436" s="114" t="n"/>
      <c r="D436" s="114" t="n"/>
      <c r="E436" s="114" t="n"/>
      <c r="F436" s="114" t="n"/>
      <c r="G436" s="24" t="n"/>
      <c r="V436" s="24" t="n"/>
      <c r="Y436" s="24" t="n"/>
      <c r="Z436" s="24" t="n"/>
      <c r="AA436" s="24" t="n"/>
      <c r="AB436" s="24" t="n"/>
      <c r="AC436" s="24" t="n"/>
      <c r="AD436" s="24" t="n"/>
      <c r="AE436" s="24" t="n"/>
    </row>
    <row r="437">
      <c r="A437" s="114" t="n"/>
      <c r="B437" s="114" t="n"/>
      <c r="C437" s="114" t="n"/>
      <c r="D437" s="114" t="n"/>
      <c r="E437" s="114" t="n"/>
      <c r="F437" s="114" t="n"/>
      <c r="G437" s="24" t="n"/>
      <c r="V437" s="24" t="n"/>
      <c r="Y437" s="24" t="n"/>
      <c r="Z437" s="24" t="n"/>
      <c r="AA437" s="24" t="n"/>
      <c r="AB437" s="24" t="n"/>
      <c r="AC437" s="24" t="n"/>
      <c r="AD437" s="24" t="n"/>
      <c r="AE437" s="24" t="n"/>
    </row>
    <row r="438">
      <c r="A438" s="114" t="n"/>
      <c r="B438" s="114" t="n"/>
      <c r="C438" s="114" t="n"/>
      <c r="D438" s="114" t="n"/>
      <c r="E438" s="114" t="n"/>
      <c r="F438" s="114" t="n"/>
      <c r="G438" s="24" t="n"/>
      <c r="V438" s="24" t="n"/>
      <c r="Y438" s="24" t="n"/>
      <c r="Z438" s="24" t="n"/>
      <c r="AA438" s="24" t="n"/>
      <c r="AB438" s="24" t="n"/>
      <c r="AC438" s="24" t="n"/>
      <c r="AD438" s="24" t="n"/>
      <c r="AE438" s="24" t="n"/>
    </row>
    <row r="439">
      <c r="A439" s="114" t="n"/>
      <c r="B439" s="114" t="n"/>
      <c r="C439" s="114" t="n"/>
      <c r="D439" s="114" t="n"/>
      <c r="E439" s="114" t="n"/>
      <c r="F439" s="114" t="n"/>
      <c r="G439" s="24" t="n"/>
      <c r="V439" s="24" t="n"/>
      <c r="Y439" s="24" t="n"/>
      <c r="Z439" s="24" t="n"/>
      <c r="AA439" s="24" t="n"/>
      <c r="AB439" s="24" t="n"/>
      <c r="AC439" s="24" t="n"/>
      <c r="AD439" s="24" t="n"/>
      <c r="AE439" s="24" t="n"/>
    </row>
    <row r="440">
      <c r="A440" s="114" t="n"/>
      <c r="B440" s="114" t="n"/>
      <c r="C440" s="114" t="n"/>
      <c r="D440" s="114" t="n"/>
      <c r="E440" s="114" t="n"/>
      <c r="F440" s="114" t="n"/>
      <c r="G440" s="24" t="n"/>
      <c r="V440" s="24" t="n"/>
      <c r="Y440" s="24" t="n"/>
      <c r="Z440" s="24" t="n"/>
      <c r="AA440" s="24" t="n"/>
      <c r="AB440" s="24" t="n"/>
      <c r="AC440" s="24" t="n"/>
      <c r="AD440" s="24" t="n"/>
      <c r="AE440" s="24" t="n"/>
    </row>
    <row r="441">
      <c r="A441" s="114" t="n"/>
      <c r="B441" s="114" t="n"/>
      <c r="C441" s="114" t="n"/>
      <c r="D441" s="114" t="n"/>
      <c r="E441" s="114" t="n"/>
      <c r="F441" s="114" t="n"/>
      <c r="G441" s="24" t="n"/>
      <c r="V441" s="24" t="n"/>
      <c r="Y441" s="24" t="n"/>
      <c r="Z441" s="24" t="n"/>
      <c r="AA441" s="24" t="n"/>
      <c r="AB441" s="24" t="n"/>
      <c r="AC441" s="24" t="n"/>
      <c r="AD441" s="24" t="n"/>
      <c r="AE441" s="24" t="n"/>
    </row>
    <row r="442">
      <c r="A442" s="114" t="n"/>
      <c r="B442" s="114" t="n"/>
      <c r="C442" s="114" t="n"/>
      <c r="D442" s="114" t="n"/>
      <c r="E442" s="114" t="n"/>
      <c r="F442" s="114" t="n"/>
      <c r="G442" s="24" t="n"/>
      <c r="V442" s="24" t="n"/>
      <c r="Y442" s="24" t="n"/>
      <c r="Z442" s="24" t="n"/>
      <c r="AA442" s="24" t="n"/>
      <c r="AB442" s="24" t="n"/>
      <c r="AC442" s="24" t="n"/>
      <c r="AD442" s="24" t="n"/>
      <c r="AE442" s="24" t="n"/>
    </row>
    <row r="443">
      <c r="A443" s="114" t="n"/>
      <c r="B443" s="114" t="n"/>
      <c r="C443" s="114" t="n"/>
      <c r="D443" s="114" t="n"/>
      <c r="E443" s="114" t="n"/>
      <c r="F443" s="114" t="n"/>
      <c r="G443" s="24" t="n"/>
      <c r="V443" s="24" t="n"/>
      <c r="Y443" s="24" t="n"/>
      <c r="Z443" s="24" t="n"/>
      <c r="AA443" s="24" t="n"/>
      <c r="AB443" s="24" t="n"/>
      <c r="AC443" s="24" t="n"/>
      <c r="AD443" s="24" t="n"/>
      <c r="AE443" s="24" t="n"/>
    </row>
    <row r="444">
      <c r="A444" s="114" t="n"/>
      <c r="B444" s="114" t="n"/>
      <c r="C444" s="114" t="n"/>
      <c r="D444" s="114" t="n"/>
      <c r="E444" s="114" t="n"/>
      <c r="F444" s="114" t="n"/>
      <c r="G444" s="24" t="n"/>
      <c r="V444" s="24" t="n"/>
      <c r="Y444" s="24" t="n"/>
      <c r="Z444" s="24" t="n"/>
      <c r="AA444" s="24" t="n"/>
      <c r="AB444" s="24" t="n"/>
      <c r="AC444" s="24" t="n"/>
      <c r="AD444" s="24" t="n"/>
      <c r="AE444" s="24" t="n"/>
    </row>
    <row r="445">
      <c r="A445" s="114" t="n"/>
      <c r="B445" s="114" t="n"/>
      <c r="C445" s="114" t="n"/>
      <c r="D445" s="114" t="n"/>
      <c r="E445" s="114" t="n"/>
      <c r="F445" s="114" t="n"/>
      <c r="G445" s="24" t="n"/>
      <c r="V445" s="24" t="n"/>
      <c r="Y445" s="24" t="n"/>
      <c r="Z445" s="24" t="n"/>
      <c r="AA445" s="24" t="n"/>
      <c r="AB445" s="24" t="n"/>
      <c r="AC445" s="24" t="n"/>
      <c r="AD445" s="24" t="n"/>
      <c r="AE445" s="24" t="n"/>
    </row>
    <row r="446">
      <c r="A446" s="114" t="n"/>
      <c r="B446" s="114" t="n"/>
      <c r="C446" s="114" t="n"/>
      <c r="D446" s="114" t="n"/>
      <c r="E446" s="114" t="n"/>
      <c r="F446" s="114" t="n"/>
      <c r="G446" s="24" t="n"/>
      <c r="V446" s="24" t="n"/>
      <c r="Y446" s="24" t="n"/>
      <c r="Z446" s="24" t="n"/>
      <c r="AA446" s="24" t="n"/>
      <c r="AB446" s="24" t="n"/>
      <c r="AC446" s="24" t="n"/>
      <c r="AD446" s="24" t="n"/>
      <c r="AE446" s="24" t="n"/>
    </row>
    <row r="447">
      <c r="A447" s="114" t="n"/>
      <c r="B447" s="114" t="n"/>
      <c r="C447" s="114" t="n"/>
      <c r="D447" s="114" t="n"/>
      <c r="E447" s="114" t="n"/>
      <c r="F447" s="114" t="n"/>
      <c r="G447" s="24" t="n"/>
      <c r="V447" s="24" t="n"/>
      <c r="Y447" s="24" t="n"/>
      <c r="Z447" s="24" t="n"/>
      <c r="AA447" s="24" t="n"/>
      <c r="AB447" s="24" t="n"/>
      <c r="AC447" s="24" t="n"/>
      <c r="AD447" s="24" t="n"/>
      <c r="AE447" s="24" t="n"/>
    </row>
    <row r="448">
      <c r="A448" s="114" t="n"/>
      <c r="B448" s="114" t="n"/>
      <c r="C448" s="114" t="n"/>
      <c r="D448" s="114" t="n"/>
      <c r="E448" s="114" t="n"/>
      <c r="F448" s="114" t="n"/>
      <c r="G448" s="24" t="n"/>
      <c r="V448" s="24" t="n"/>
      <c r="Y448" s="24" t="n"/>
      <c r="Z448" s="24" t="n"/>
      <c r="AA448" s="24" t="n"/>
      <c r="AB448" s="24" t="n"/>
      <c r="AC448" s="24" t="n"/>
      <c r="AD448" s="24" t="n"/>
      <c r="AE448" s="24" t="n"/>
    </row>
    <row r="449">
      <c r="A449" s="114" t="n"/>
      <c r="B449" s="114" t="n"/>
      <c r="C449" s="114" t="n"/>
      <c r="D449" s="114" t="n"/>
      <c r="E449" s="114" t="n"/>
      <c r="F449" s="114" t="n"/>
      <c r="G449" s="24" t="n"/>
      <c r="V449" s="24" t="n"/>
      <c r="Y449" s="24" t="n"/>
      <c r="Z449" s="24" t="n"/>
      <c r="AA449" s="24" t="n"/>
      <c r="AB449" s="24" t="n"/>
      <c r="AC449" s="24" t="n"/>
      <c r="AD449" s="24" t="n"/>
      <c r="AE449" s="24" t="n"/>
    </row>
    <row r="450">
      <c r="A450" s="114" t="n"/>
      <c r="B450" s="114" t="n"/>
      <c r="C450" s="114" t="n"/>
      <c r="D450" s="114" t="n"/>
      <c r="E450" s="114" t="n"/>
      <c r="F450" s="114" t="n"/>
      <c r="G450" s="24" t="n"/>
      <c r="V450" s="24" t="n"/>
      <c r="Y450" s="24" t="n"/>
      <c r="Z450" s="24" t="n"/>
      <c r="AA450" s="24" t="n"/>
      <c r="AB450" s="24" t="n"/>
      <c r="AC450" s="24" t="n"/>
      <c r="AD450" s="24" t="n"/>
      <c r="AE450" s="24" t="n"/>
    </row>
    <row r="451">
      <c r="A451" s="114" t="n"/>
      <c r="B451" s="114" t="n"/>
      <c r="C451" s="114" t="n"/>
      <c r="D451" s="114" t="n"/>
      <c r="E451" s="114" t="n"/>
      <c r="F451" s="114" t="n"/>
      <c r="G451" s="24" t="n"/>
      <c r="V451" s="24" t="n"/>
      <c r="Y451" s="24" t="n"/>
      <c r="Z451" s="24" t="n"/>
      <c r="AA451" s="24" t="n"/>
      <c r="AB451" s="24" t="n"/>
      <c r="AC451" s="24" t="n"/>
      <c r="AD451" s="24" t="n"/>
      <c r="AE451" s="24" t="n"/>
    </row>
    <row r="452">
      <c r="A452" s="114" t="n"/>
      <c r="B452" s="114" t="n"/>
      <c r="C452" s="114" t="n"/>
      <c r="D452" s="114" t="n"/>
      <c r="E452" s="114" t="n"/>
      <c r="F452" s="114" t="n"/>
      <c r="G452" s="24" t="n"/>
      <c r="V452" s="24" t="n"/>
      <c r="Y452" s="24" t="n"/>
      <c r="Z452" s="24" t="n"/>
      <c r="AA452" s="24" t="n"/>
      <c r="AB452" s="24" t="n"/>
      <c r="AC452" s="24" t="n"/>
      <c r="AD452" s="24" t="n"/>
      <c r="AE452" s="24" t="n"/>
    </row>
    <row r="453">
      <c r="A453" s="114" t="n"/>
      <c r="B453" s="114" t="n"/>
      <c r="C453" s="114" t="n"/>
      <c r="D453" s="114" t="n"/>
      <c r="E453" s="114" t="n"/>
      <c r="F453" s="114" t="n"/>
      <c r="G453" s="24" t="n"/>
      <c r="V453" s="24" t="n"/>
      <c r="Y453" s="24" t="n"/>
      <c r="Z453" s="24" t="n"/>
      <c r="AA453" s="24" t="n"/>
      <c r="AB453" s="24" t="n"/>
      <c r="AC453" s="24" t="n"/>
      <c r="AD453" s="24" t="n"/>
      <c r="AE453" s="24" t="n"/>
    </row>
    <row r="454">
      <c r="A454" s="114" t="n"/>
      <c r="B454" s="114" t="n"/>
      <c r="C454" s="114" t="n"/>
      <c r="D454" s="114" t="n"/>
      <c r="E454" s="114" t="n"/>
      <c r="F454" s="114" t="n"/>
      <c r="G454" s="24" t="n"/>
      <c r="V454" s="24" t="n"/>
      <c r="Y454" s="24" t="n"/>
      <c r="Z454" s="24" t="n"/>
      <c r="AA454" s="24" t="n"/>
      <c r="AB454" s="24" t="n"/>
      <c r="AC454" s="24" t="n"/>
      <c r="AD454" s="24" t="n"/>
      <c r="AE454" s="24" t="n"/>
    </row>
    <row r="455">
      <c r="A455" s="114" t="n"/>
      <c r="B455" s="114" t="n"/>
      <c r="C455" s="114" t="n"/>
      <c r="D455" s="114" t="n"/>
      <c r="E455" s="114" t="n"/>
      <c r="F455" s="114" t="n"/>
      <c r="G455" s="24" t="n"/>
      <c r="V455" s="24" t="n"/>
      <c r="Y455" s="24" t="n"/>
      <c r="Z455" s="24" t="n"/>
      <c r="AA455" s="24" t="n"/>
      <c r="AB455" s="24" t="n"/>
      <c r="AC455" s="24" t="n"/>
      <c r="AD455" s="24" t="n"/>
      <c r="AE455" s="24" t="n"/>
    </row>
    <row r="456">
      <c r="A456" s="114" t="n"/>
      <c r="B456" s="114" t="n"/>
      <c r="C456" s="114" t="n"/>
      <c r="D456" s="114" t="n"/>
      <c r="E456" s="114" t="n"/>
      <c r="F456" s="114" t="n"/>
      <c r="G456" s="24" t="n"/>
      <c r="V456" s="24" t="n"/>
      <c r="Y456" s="24" t="n"/>
      <c r="Z456" s="24" t="n"/>
      <c r="AA456" s="24" t="n"/>
      <c r="AB456" s="24" t="n"/>
      <c r="AC456" s="24" t="n"/>
      <c r="AD456" s="24" t="n"/>
      <c r="AE456" s="24" t="n"/>
    </row>
    <row r="457">
      <c r="A457" s="114" t="n"/>
      <c r="B457" s="114" t="n"/>
      <c r="C457" s="114" t="n"/>
      <c r="D457" s="114" t="n"/>
      <c r="E457" s="114" t="n"/>
      <c r="F457" s="114" t="n"/>
      <c r="G457" s="24" t="n"/>
      <c r="V457" s="24" t="n"/>
      <c r="Y457" s="24" t="n"/>
      <c r="Z457" s="24" t="n"/>
      <c r="AA457" s="24" t="n"/>
      <c r="AB457" s="24" t="n"/>
      <c r="AC457" s="24" t="n"/>
      <c r="AD457" s="24" t="n"/>
      <c r="AE457" s="24" t="n"/>
    </row>
    <row r="458">
      <c r="A458" s="114" t="n"/>
      <c r="B458" s="114" t="n"/>
      <c r="C458" s="114" t="n"/>
      <c r="D458" s="114" t="n"/>
      <c r="E458" s="114" t="n"/>
      <c r="F458" s="114" t="n"/>
      <c r="G458" s="24" t="n"/>
      <c r="V458" s="24" t="n"/>
      <c r="Y458" s="24" t="n"/>
      <c r="Z458" s="24" t="n"/>
      <c r="AA458" s="24" t="n"/>
      <c r="AB458" s="24" t="n"/>
      <c r="AC458" s="24" t="n"/>
      <c r="AD458" s="24" t="n"/>
      <c r="AE458" s="24" t="n"/>
    </row>
    <row r="459">
      <c r="A459" s="114" t="n"/>
      <c r="B459" s="114" t="n"/>
      <c r="C459" s="114" t="n"/>
      <c r="D459" s="114" t="n"/>
      <c r="E459" s="114" t="n"/>
      <c r="F459" s="114" t="n"/>
      <c r="G459" s="24" t="n"/>
      <c r="V459" s="24" t="n"/>
      <c r="Y459" s="24" t="n"/>
      <c r="Z459" s="24" t="n"/>
      <c r="AA459" s="24" t="n"/>
      <c r="AB459" s="24" t="n"/>
      <c r="AC459" s="24" t="n"/>
      <c r="AD459" s="24" t="n"/>
      <c r="AE459" s="24" t="n"/>
    </row>
    <row r="460">
      <c r="A460" s="114" t="n"/>
      <c r="B460" s="114" t="n"/>
      <c r="C460" s="114" t="n"/>
      <c r="D460" s="114" t="n"/>
      <c r="E460" s="114" t="n"/>
      <c r="F460" s="114" t="n"/>
      <c r="G460" s="24" t="n"/>
      <c r="V460" s="24" t="n"/>
      <c r="Y460" s="24" t="n"/>
      <c r="Z460" s="24" t="n"/>
      <c r="AA460" s="24" t="n"/>
      <c r="AB460" s="24" t="n"/>
      <c r="AC460" s="24" t="n"/>
      <c r="AD460" s="24" t="n"/>
      <c r="AE460" s="24" t="n"/>
    </row>
    <row r="461">
      <c r="A461" s="114" t="n"/>
      <c r="B461" s="114" t="n"/>
      <c r="C461" s="114" t="n"/>
      <c r="D461" s="114" t="n"/>
      <c r="E461" s="114" t="n"/>
      <c r="F461" s="114" t="n"/>
      <c r="G461" s="24" t="n"/>
      <c r="V461" s="24" t="n"/>
      <c r="Y461" s="24" t="n"/>
      <c r="Z461" s="24" t="n"/>
      <c r="AA461" s="24" t="n"/>
      <c r="AB461" s="24" t="n"/>
      <c r="AC461" s="24" t="n"/>
      <c r="AD461" s="24" t="n"/>
      <c r="AE461" s="24" t="n"/>
    </row>
    <row r="462">
      <c r="A462" s="114" t="n"/>
      <c r="B462" s="114" t="n"/>
      <c r="C462" s="114" t="n"/>
      <c r="D462" s="114" t="n"/>
      <c r="E462" s="114" t="n"/>
      <c r="F462" s="114" t="n"/>
      <c r="G462" s="24" t="n"/>
      <c r="V462" s="24" t="n"/>
      <c r="Y462" s="24" t="n"/>
      <c r="Z462" s="24" t="n"/>
      <c r="AA462" s="24" t="n"/>
      <c r="AB462" s="24" t="n"/>
      <c r="AC462" s="24" t="n"/>
      <c r="AD462" s="24" t="n"/>
      <c r="AE462" s="24" t="n"/>
    </row>
    <row r="463">
      <c r="A463" s="114" t="n"/>
      <c r="B463" s="114" t="n"/>
      <c r="C463" s="114" t="n"/>
      <c r="D463" s="114" t="n"/>
      <c r="E463" s="114" t="n"/>
      <c r="F463" s="114" t="n"/>
      <c r="G463" s="24" t="n"/>
      <c r="V463" s="24" t="n"/>
      <c r="Y463" s="24" t="n"/>
      <c r="Z463" s="24" t="n"/>
      <c r="AA463" s="24" t="n"/>
      <c r="AB463" s="24" t="n"/>
      <c r="AC463" s="24" t="n"/>
      <c r="AD463" s="24" t="n"/>
      <c r="AE463" s="24" t="n"/>
    </row>
    <row r="464">
      <c r="A464" s="114" t="n"/>
      <c r="B464" s="114" t="n"/>
      <c r="C464" s="114" t="n"/>
      <c r="D464" s="114" t="n"/>
      <c r="E464" s="114" t="n"/>
      <c r="F464" s="114" t="n"/>
      <c r="G464" s="24" t="n"/>
      <c r="V464" s="24" t="n"/>
      <c r="Y464" s="24" t="n"/>
      <c r="Z464" s="24" t="n"/>
      <c r="AA464" s="24" t="n"/>
      <c r="AB464" s="24" t="n"/>
      <c r="AC464" s="24" t="n"/>
      <c r="AD464" s="24" t="n"/>
      <c r="AE464" s="24" t="n"/>
    </row>
    <row r="465">
      <c r="A465" s="114" t="n"/>
      <c r="B465" s="114" t="n"/>
      <c r="C465" s="114" t="n"/>
      <c r="D465" s="114" t="n"/>
      <c r="E465" s="114" t="n"/>
      <c r="F465" s="114" t="n"/>
      <c r="G465" s="24" t="n"/>
      <c r="V465" s="24" t="n"/>
      <c r="Y465" s="24" t="n"/>
      <c r="Z465" s="24" t="n"/>
      <c r="AA465" s="24" t="n"/>
      <c r="AB465" s="24" t="n"/>
      <c r="AC465" s="24" t="n"/>
      <c r="AD465" s="24" t="n"/>
      <c r="AE465" s="24" t="n"/>
    </row>
    <row r="466">
      <c r="A466" s="114" t="n"/>
      <c r="B466" s="114" t="n"/>
      <c r="C466" s="114" t="n"/>
      <c r="D466" s="114" t="n"/>
      <c r="E466" s="114" t="n"/>
      <c r="F466" s="114" t="n"/>
      <c r="G466" s="24" t="n"/>
      <c r="V466" s="24" t="n"/>
      <c r="Y466" s="24" t="n"/>
      <c r="Z466" s="24" t="n"/>
      <c r="AA466" s="24" t="n"/>
      <c r="AB466" s="24" t="n"/>
      <c r="AC466" s="24" t="n"/>
      <c r="AD466" s="24" t="n"/>
      <c r="AE466" s="24" t="n"/>
    </row>
    <row r="467">
      <c r="A467" s="114" t="n"/>
      <c r="B467" s="114" t="n"/>
      <c r="C467" s="114" t="n"/>
      <c r="D467" s="114" t="n"/>
      <c r="E467" s="114" t="n"/>
      <c r="F467" s="114" t="n"/>
      <c r="G467" s="24" t="n"/>
      <c r="V467" s="24" t="n"/>
      <c r="Y467" s="24" t="n"/>
      <c r="Z467" s="24" t="n"/>
      <c r="AA467" s="24" t="n"/>
      <c r="AB467" s="24" t="n"/>
      <c r="AC467" s="24" t="n"/>
      <c r="AD467" s="24" t="n"/>
      <c r="AE467" s="24" t="n"/>
    </row>
    <row r="468">
      <c r="A468" s="114" t="n"/>
      <c r="B468" s="114" t="n"/>
      <c r="C468" s="114" t="n"/>
      <c r="D468" s="114" t="n"/>
      <c r="E468" s="114" t="n"/>
      <c r="F468" s="114" t="n"/>
      <c r="G468" s="24" t="n"/>
      <c r="V468" s="24" t="n"/>
      <c r="Y468" s="24" t="n"/>
      <c r="Z468" s="24" t="n"/>
      <c r="AA468" s="24" t="n"/>
      <c r="AB468" s="24" t="n"/>
      <c r="AC468" s="24" t="n"/>
      <c r="AD468" s="24" t="n"/>
      <c r="AE468" s="24" t="n"/>
    </row>
    <row r="469">
      <c r="A469" s="114" t="n"/>
      <c r="B469" s="114" t="n"/>
      <c r="C469" s="114" t="n"/>
      <c r="D469" s="114" t="n"/>
      <c r="E469" s="114" t="n"/>
      <c r="F469" s="114" t="n"/>
      <c r="G469" s="24" t="n"/>
      <c r="V469" s="24" t="n"/>
      <c r="Y469" s="24" t="n"/>
      <c r="Z469" s="24" t="n"/>
      <c r="AA469" s="24" t="n"/>
      <c r="AB469" s="24" t="n"/>
      <c r="AC469" s="24" t="n"/>
      <c r="AD469" s="24" t="n"/>
      <c r="AE469" s="24" t="n"/>
    </row>
    <row r="470">
      <c r="A470" s="114" t="n"/>
      <c r="B470" s="114" t="n"/>
      <c r="C470" s="114" t="n"/>
      <c r="D470" s="114" t="n"/>
      <c r="E470" s="114" t="n"/>
      <c r="F470" s="114" t="n"/>
      <c r="G470" s="24" t="n"/>
      <c r="V470" s="24" t="n"/>
      <c r="Y470" s="24" t="n"/>
      <c r="Z470" s="24" t="n"/>
      <c r="AA470" s="24" t="n"/>
      <c r="AB470" s="24" t="n"/>
      <c r="AC470" s="24" t="n"/>
      <c r="AD470" s="24" t="n"/>
      <c r="AE470" s="24" t="n"/>
    </row>
    <row r="471">
      <c r="A471" s="114" t="n"/>
      <c r="B471" s="114" t="n"/>
      <c r="C471" s="114" t="n"/>
      <c r="D471" s="114" t="n"/>
      <c r="E471" s="114" t="n"/>
      <c r="F471" s="114" t="n"/>
      <c r="G471" s="24" t="n"/>
      <c r="V471" s="24" t="n"/>
      <c r="Y471" s="24" t="n"/>
      <c r="Z471" s="24" t="n"/>
      <c r="AA471" s="24" t="n"/>
      <c r="AB471" s="24" t="n"/>
      <c r="AC471" s="24" t="n"/>
      <c r="AD471" s="24" t="n"/>
      <c r="AE471" s="24" t="n"/>
    </row>
    <row r="472">
      <c r="A472" s="114" t="n"/>
      <c r="B472" s="114" t="n"/>
      <c r="C472" s="114" t="n"/>
      <c r="D472" s="114" t="n"/>
      <c r="E472" s="114" t="n"/>
      <c r="F472" s="114" t="n"/>
      <c r="G472" s="24" t="n"/>
      <c r="V472" s="24" t="n"/>
      <c r="Y472" s="24" t="n"/>
      <c r="Z472" s="24" t="n"/>
      <c r="AA472" s="24" t="n"/>
      <c r="AB472" s="24" t="n"/>
      <c r="AC472" s="24" t="n"/>
      <c r="AD472" s="24" t="n"/>
      <c r="AE472" s="24" t="n"/>
    </row>
    <row r="473">
      <c r="A473" s="114" t="n"/>
      <c r="B473" s="114" t="n"/>
      <c r="C473" s="114" t="n"/>
      <c r="D473" s="114" t="n"/>
      <c r="E473" s="114" t="n"/>
      <c r="F473" s="114" t="n"/>
      <c r="G473" s="24" t="n"/>
      <c r="V473" s="24" t="n"/>
      <c r="Y473" s="24" t="n"/>
      <c r="Z473" s="24" t="n"/>
      <c r="AA473" s="24" t="n"/>
      <c r="AB473" s="24" t="n"/>
      <c r="AC473" s="24" t="n"/>
      <c r="AD473" s="24" t="n"/>
      <c r="AE473" s="24" t="n"/>
    </row>
    <row r="474">
      <c r="A474" s="114" t="n"/>
      <c r="B474" s="114" t="n"/>
      <c r="C474" s="114" t="n"/>
      <c r="D474" s="114" t="n"/>
      <c r="E474" s="114" t="n"/>
      <c r="F474" s="114" t="n"/>
      <c r="G474" s="24" t="n"/>
      <c r="V474" s="24" t="n"/>
      <c r="Y474" s="24" t="n"/>
      <c r="Z474" s="24" t="n"/>
      <c r="AA474" s="24" t="n"/>
      <c r="AB474" s="24" t="n"/>
      <c r="AC474" s="24" t="n"/>
      <c r="AD474" s="24" t="n"/>
      <c r="AE474" s="24" t="n"/>
    </row>
    <row r="475">
      <c r="A475" s="114" t="n"/>
      <c r="B475" s="114" t="n"/>
      <c r="C475" s="114" t="n"/>
      <c r="D475" s="114" t="n"/>
      <c r="E475" s="114" t="n"/>
      <c r="F475" s="114" t="n"/>
      <c r="G475" s="24" t="n"/>
      <c r="V475" s="24" t="n"/>
      <c r="Y475" s="24" t="n"/>
      <c r="Z475" s="24" t="n"/>
      <c r="AA475" s="24" t="n"/>
      <c r="AB475" s="24" t="n"/>
      <c r="AC475" s="24" t="n"/>
      <c r="AD475" s="24" t="n"/>
      <c r="AE475" s="24" t="n"/>
    </row>
    <row r="476">
      <c r="A476" s="114" t="n"/>
      <c r="B476" s="114" t="n"/>
      <c r="C476" s="114" t="n"/>
      <c r="D476" s="114" t="n"/>
      <c r="E476" s="114" t="n"/>
      <c r="F476" s="114" t="n"/>
      <c r="G476" s="24" t="n"/>
      <c r="V476" s="24" t="n"/>
      <c r="Y476" s="24" t="n"/>
      <c r="Z476" s="24" t="n"/>
      <c r="AA476" s="24" t="n"/>
      <c r="AB476" s="24" t="n"/>
      <c r="AC476" s="24" t="n"/>
      <c r="AD476" s="24" t="n"/>
      <c r="AE476" s="24" t="n"/>
    </row>
    <row r="477">
      <c r="A477" s="114" t="n"/>
      <c r="B477" s="114" t="n"/>
      <c r="C477" s="114" t="n"/>
      <c r="D477" s="114" t="n"/>
      <c r="E477" s="114" t="n"/>
      <c r="F477" s="114" t="n"/>
      <c r="G477" s="24" t="n"/>
      <c r="V477" s="24" t="n"/>
      <c r="Y477" s="24" t="n"/>
      <c r="Z477" s="24" t="n"/>
      <c r="AA477" s="24" t="n"/>
      <c r="AB477" s="24" t="n"/>
      <c r="AC477" s="24" t="n"/>
      <c r="AD477" s="24" t="n"/>
      <c r="AE477" s="24" t="n"/>
    </row>
    <row r="478">
      <c r="A478" s="114" t="n"/>
      <c r="B478" s="114" t="n"/>
      <c r="C478" s="114" t="n"/>
      <c r="D478" s="114" t="n"/>
      <c r="E478" s="114" t="n"/>
      <c r="F478" s="114" t="n"/>
      <c r="G478" s="24" t="n"/>
      <c r="V478" s="24" t="n"/>
      <c r="Y478" s="24" t="n"/>
      <c r="Z478" s="24" t="n"/>
      <c r="AA478" s="24" t="n"/>
      <c r="AB478" s="24" t="n"/>
      <c r="AC478" s="24" t="n"/>
      <c r="AD478" s="24" t="n"/>
      <c r="AE478" s="24" t="n"/>
    </row>
    <row r="479">
      <c r="A479" s="114" t="n"/>
      <c r="B479" s="114" t="n"/>
      <c r="C479" s="114" t="n"/>
      <c r="D479" s="114" t="n"/>
      <c r="E479" s="114" t="n"/>
      <c r="F479" s="114" t="n"/>
      <c r="G479" s="24" t="n"/>
      <c r="V479" s="24" t="n"/>
      <c r="Y479" s="24" t="n"/>
      <c r="Z479" s="24" t="n"/>
      <c r="AA479" s="24" t="n"/>
      <c r="AB479" s="24" t="n"/>
      <c r="AC479" s="24" t="n"/>
      <c r="AD479" s="24" t="n"/>
      <c r="AE479" s="24" t="n"/>
    </row>
    <row r="480">
      <c r="A480" s="114" t="n"/>
      <c r="B480" s="114" t="n"/>
      <c r="C480" s="114" t="n"/>
      <c r="D480" s="114" t="n"/>
      <c r="E480" s="114" t="n"/>
      <c r="F480" s="114" t="n"/>
      <c r="G480" s="24" t="n"/>
      <c r="V480" s="24" t="n"/>
      <c r="Y480" s="24" t="n"/>
      <c r="Z480" s="24" t="n"/>
      <c r="AA480" s="24" t="n"/>
      <c r="AB480" s="24" t="n"/>
      <c r="AC480" s="24" t="n"/>
      <c r="AD480" s="24" t="n"/>
      <c r="AE480" s="24" t="n"/>
    </row>
    <row r="481">
      <c r="A481" s="114" t="n"/>
      <c r="B481" s="114" t="n"/>
      <c r="C481" s="114" t="n"/>
      <c r="D481" s="114" t="n"/>
      <c r="E481" s="114" t="n"/>
      <c r="F481" s="114" t="n"/>
      <c r="G481" s="24" t="n"/>
      <c r="V481" s="24" t="n"/>
      <c r="Y481" s="24" t="n"/>
      <c r="Z481" s="24" t="n"/>
      <c r="AA481" s="24" t="n"/>
      <c r="AB481" s="24" t="n"/>
      <c r="AC481" s="24" t="n"/>
      <c r="AD481" s="24" t="n"/>
      <c r="AE481" s="24" t="n"/>
    </row>
    <row r="482">
      <c r="A482" s="114" t="n"/>
      <c r="B482" s="114" t="n"/>
      <c r="C482" s="114" t="n"/>
      <c r="D482" s="114" t="n"/>
      <c r="E482" s="114" t="n"/>
      <c r="F482" s="114" t="n"/>
      <c r="G482" s="24" t="n"/>
      <c r="V482" s="24" t="n"/>
      <c r="Y482" s="24" t="n"/>
      <c r="Z482" s="24" t="n"/>
      <c r="AA482" s="24" t="n"/>
      <c r="AB482" s="24" t="n"/>
      <c r="AC482" s="24" t="n"/>
      <c r="AD482" s="24" t="n"/>
      <c r="AE482" s="24" t="n"/>
    </row>
    <row r="483">
      <c r="A483" s="114" t="n"/>
      <c r="B483" s="114" t="n"/>
      <c r="C483" s="114" t="n"/>
      <c r="D483" s="114" t="n"/>
      <c r="E483" s="114" t="n"/>
      <c r="F483" s="114" t="n"/>
      <c r="G483" s="24" t="n"/>
      <c r="V483" s="24" t="n"/>
      <c r="Y483" s="24" t="n"/>
      <c r="Z483" s="24" t="n"/>
      <c r="AA483" s="24" t="n"/>
      <c r="AB483" s="24" t="n"/>
      <c r="AC483" s="24" t="n"/>
      <c r="AD483" s="24" t="n"/>
      <c r="AE483" s="24" t="n"/>
    </row>
    <row r="484">
      <c r="A484" s="114" t="n"/>
      <c r="B484" s="114" t="n"/>
      <c r="C484" s="114" t="n"/>
      <c r="D484" s="114" t="n"/>
      <c r="E484" s="114" t="n"/>
      <c r="F484" s="114" t="n"/>
      <c r="G484" s="24" t="n"/>
      <c r="V484" s="24" t="n"/>
      <c r="Y484" s="24" t="n"/>
      <c r="Z484" s="24" t="n"/>
      <c r="AA484" s="24" t="n"/>
      <c r="AB484" s="24" t="n"/>
      <c r="AC484" s="24" t="n"/>
      <c r="AD484" s="24" t="n"/>
      <c r="AE484" s="24" t="n"/>
    </row>
    <row r="485">
      <c r="A485" s="114" t="n"/>
      <c r="B485" s="114" t="n"/>
      <c r="C485" s="114" t="n"/>
      <c r="D485" s="114" t="n"/>
      <c r="E485" s="114" t="n"/>
      <c r="F485" s="114" t="n"/>
      <c r="G485" s="24" t="n"/>
      <c r="V485" s="24" t="n"/>
      <c r="Y485" s="24" t="n"/>
      <c r="Z485" s="24" t="n"/>
      <c r="AA485" s="24" t="n"/>
      <c r="AB485" s="24" t="n"/>
      <c r="AC485" s="24" t="n"/>
      <c r="AD485" s="24" t="n"/>
      <c r="AE485" s="24" t="n"/>
    </row>
    <row r="486">
      <c r="A486" s="114" t="n"/>
      <c r="B486" s="114" t="n"/>
      <c r="C486" s="114" t="n"/>
      <c r="D486" s="114" t="n"/>
      <c r="E486" s="114" t="n"/>
      <c r="F486" s="114" t="n"/>
      <c r="G486" s="24" t="n"/>
      <c r="V486" s="24" t="n"/>
      <c r="Y486" s="24" t="n"/>
      <c r="Z486" s="24" t="n"/>
      <c r="AA486" s="24" t="n"/>
      <c r="AB486" s="24" t="n"/>
      <c r="AC486" s="24" t="n"/>
      <c r="AD486" s="24" t="n"/>
      <c r="AE486" s="24" t="n"/>
    </row>
    <row r="487">
      <c r="A487" s="114" t="n"/>
      <c r="B487" s="114" t="n"/>
      <c r="C487" s="114" t="n"/>
      <c r="D487" s="114" t="n"/>
      <c r="E487" s="114" t="n"/>
      <c r="F487" s="114" t="n"/>
      <c r="G487" s="24" t="n"/>
      <c r="V487" s="24" t="n"/>
      <c r="Y487" s="24" t="n"/>
      <c r="Z487" s="24" t="n"/>
      <c r="AA487" s="24" t="n"/>
      <c r="AB487" s="24" t="n"/>
      <c r="AC487" s="24" t="n"/>
      <c r="AD487" s="24" t="n"/>
      <c r="AE487" s="24" t="n"/>
    </row>
    <row r="488">
      <c r="A488" s="114" t="n"/>
      <c r="B488" s="114" t="n"/>
      <c r="C488" s="114" t="n"/>
      <c r="D488" s="114" t="n"/>
      <c r="E488" s="114" t="n"/>
      <c r="F488" s="114" t="n"/>
      <c r="G488" s="24" t="n"/>
      <c r="V488" s="24" t="n"/>
      <c r="Y488" s="24" t="n"/>
      <c r="Z488" s="24" t="n"/>
      <c r="AA488" s="24" t="n"/>
      <c r="AB488" s="24" t="n"/>
      <c r="AC488" s="24" t="n"/>
      <c r="AD488" s="24" t="n"/>
      <c r="AE488" s="24" t="n"/>
    </row>
    <row r="489">
      <c r="A489" s="114" t="n"/>
      <c r="B489" s="114" t="n"/>
      <c r="C489" s="114" t="n"/>
      <c r="D489" s="114" t="n"/>
      <c r="E489" s="114" t="n"/>
      <c r="F489" s="114" t="n"/>
      <c r="G489" s="24" t="n"/>
      <c r="V489" s="24" t="n"/>
      <c r="Y489" s="24" t="n"/>
      <c r="Z489" s="24" t="n"/>
      <c r="AA489" s="24" t="n"/>
      <c r="AB489" s="24" t="n"/>
      <c r="AC489" s="24" t="n"/>
      <c r="AD489" s="24" t="n"/>
      <c r="AE489" s="24" t="n"/>
    </row>
    <row r="490">
      <c r="A490" s="114" t="n"/>
      <c r="B490" s="114" t="n"/>
      <c r="C490" s="114" t="n"/>
      <c r="D490" s="114" t="n"/>
      <c r="E490" s="114" t="n"/>
      <c r="F490" s="114" t="n"/>
      <c r="G490" s="24" t="n"/>
      <c r="V490" s="24" t="n"/>
      <c r="Y490" s="24" t="n"/>
      <c r="Z490" s="24" t="n"/>
      <c r="AA490" s="24" t="n"/>
      <c r="AB490" s="24" t="n"/>
      <c r="AC490" s="24" t="n"/>
      <c r="AD490" s="24" t="n"/>
      <c r="AE490" s="24" t="n"/>
    </row>
    <row r="491">
      <c r="A491" s="114" t="n"/>
      <c r="B491" s="114" t="n"/>
      <c r="C491" s="114" t="n"/>
      <c r="D491" s="114" t="n"/>
      <c r="E491" s="114" t="n"/>
      <c r="F491" s="114" t="n"/>
      <c r="G491" s="24" t="n"/>
      <c r="V491" s="24" t="n"/>
      <c r="Y491" s="24" t="n"/>
      <c r="Z491" s="24" t="n"/>
      <c r="AA491" s="24" t="n"/>
      <c r="AB491" s="24" t="n"/>
      <c r="AC491" s="24" t="n"/>
      <c r="AD491" s="24" t="n"/>
      <c r="AE491" s="24" t="n"/>
    </row>
    <row r="492">
      <c r="A492" s="114" t="n"/>
      <c r="B492" s="114" t="n"/>
      <c r="C492" s="114" t="n"/>
      <c r="D492" s="114" t="n"/>
      <c r="E492" s="114" t="n"/>
      <c r="F492" s="114" t="n"/>
      <c r="G492" s="24" t="n"/>
      <c r="V492" s="24" t="n"/>
      <c r="Y492" s="24" t="n"/>
      <c r="Z492" s="24" t="n"/>
      <c r="AA492" s="24" t="n"/>
      <c r="AB492" s="24" t="n"/>
      <c r="AC492" s="24" t="n"/>
      <c r="AD492" s="24" t="n"/>
      <c r="AE492" s="24" t="n"/>
    </row>
    <row r="493">
      <c r="A493" s="114" t="n"/>
      <c r="B493" s="114" t="n"/>
      <c r="C493" s="114" t="n"/>
      <c r="D493" s="114" t="n"/>
      <c r="E493" s="114" t="n"/>
      <c r="F493" s="114" t="n"/>
      <c r="G493" s="24" t="n"/>
      <c r="V493" s="24" t="n"/>
      <c r="Y493" s="24" t="n"/>
      <c r="Z493" s="24" t="n"/>
      <c r="AA493" s="24" t="n"/>
      <c r="AB493" s="24" t="n"/>
      <c r="AC493" s="24" t="n"/>
      <c r="AD493" s="24" t="n"/>
      <c r="AE493" s="24" t="n"/>
    </row>
    <row r="494">
      <c r="A494" s="114" t="n"/>
      <c r="B494" s="114" t="n"/>
      <c r="C494" s="114" t="n"/>
      <c r="D494" s="114" t="n"/>
      <c r="E494" s="114" t="n"/>
      <c r="F494" s="114" t="n"/>
      <c r="G494" s="24" t="n"/>
      <c r="V494" s="24" t="n"/>
      <c r="Y494" s="24" t="n"/>
      <c r="Z494" s="24" t="n"/>
      <c r="AA494" s="24" t="n"/>
      <c r="AB494" s="24" t="n"/>
      <c r="AC494" s="24" t="n"/>
      <c r="AD494" s="24" t="n"/>
      <c r="AE494" s="24" t="n"/>
    </row>
    <row r="495">
      <c r="A495" s="114" t="n"/>
      <c r="B495" s="114" t="n"/>
      <c r="C495" s="114" t="n"/>
      <c r="D495" s="114" t="n"/>
      <c r="E495" s="114" t="n"/>
      <c r="F495" s="114" t="n"/>
      <c r="G495" s="24" t="n"/>
      <c r="V495" s="24" t="n"/>
      <c r="Y495" s="24" t="n"/>
      <c r="Z495" s="24" t="n"/>
      <c r="AA495" s="24" t="n"/>
      <c r="AB495" s="24" t="n"/>
      <c r="AC495" s="24" t="n"/>
      <c r="AD495" s="24" t="n"/>
      <c r="AE495" s="24" t="n"/>
    </row>
    <row r="496">
      <c r="A496" s="114" t="n"/>
      <c r="B496" s="114" t="n"/>
      <c r="C496" s="114" t="n"/>
      <c r="D496" s="114" t="n"/>
      <c r="E496" s="114" t="n"/>
      <c r="F496" s="114" t="n"/>
      <c r="G496" s="24" t="n"/>
      <c r="V496" s="24" t="n"/>
      <c r="Y496" s="24" t="n"/>
      <c r="Z496" s="24" t="n"/>
      <c r="AA496" s="24" t="n"/>
      <c r="AB496" s="24" t="n"/>
      <c r="AC496" s="24" t="n"/>
      <c r="AD496" s="24" t="n"/>
      <c r="AE496" s="24" t="n"/>
    </row>
    <row r="497">
      <c r="A497" s="114" t="n"/>
      <c r="B497" s="114" t="n"/>
      <c r="C497" s="114" t="n"/>
      <c r="D497" s="114" t="n"/>
      <c r="E497" s="114" t="n"/>
      <c r="F497" s="114" t="n"/>
      <c r="G497" s="24" t="n"/>
      <c r="V497" s="24" t="n"/>
      <c r="Y497" s="24" t="n"/>
      <c r="Z497" s="24" t="n"/>
      <c r="AA497" s="24" t="n"/>
      <c r="AB497" s="24" t="n"/>
      <c r="AC497" s="24" t="n"/>
      <c r="AD497" s="24" t="n"/>
      <c r="AE497" s="24" t="n"/>
    </row>
    <row r="498">
      <c r="A498" s="114" t="n"/>
      <c r="B498" s="114" t="n"/>
      <c r="C498" s="114" t="n"/>
      <c r="D498" s="114" t="n"/>
      <c r="E498" s="114" t="n"/>
      <c r="F498" s="114" t="n"/>
      <c r="G498" s="24" t="n"/>
      <c r="V498" s="24" t="n"/>
      <c r="Y498" s="24" t="n"/>
      <c r="Z498" s="24" t="n"/>
      <c r="AA498" s="24" t="n"/>
      <c r="AB498" s="24" t="n"/>
      <c r="AC498" s="24" t="n"/>
      <c r="AD498" s="24" t="n"/>
      <c r="AE498" s="24" t="n"/>
    </row>
    <row r="499">
      <c r="A499" s="114" t="n"/>
      <c r="B499" s="114" t="n"/>
      <c r="C499" s="114" t="n"/>
      <c r="D499" s="114" t="n"/>
      <c r="E499" s="114" t="n"/>
      <c r="F499" s="114" t="n"/>
      <c r="G499" s="24" t="n"/>
      <c r="V499" s="24" t="n"/>
      <c r="Y499" s="24" t="n"/>
      <c r="Z499" s="24" t="n"/>
      <c r="AA499" s="24" t="n"/>
      <c r="AB499" s="24" t="n"/>
      <c r="AC499" s="24" t="n"/>
      <c r="AD499" s="24" t="n"/>
      <c r="AE499" s="24" t="n"/>
    </row>
    <row r="500">
      <c r="A500" s="114" t="n"/>
      <c r="B500" s="114" t="n"/>
      <c r="C500" s="114" t="n"/>
      <c r="D500" s="114" t="n"/>
      <c r="E500" s="114" t="n"/>
      <c r="F500" s="114" t="n"/>
      <c r="G500" s="24" t="n"/>
      <c r="V500" s="24" t="n"/>
      <c r="Y500" s="24" t="n"/>
      <c r="Z500" s="24" t="n"/>
      <c r="AA500" s="24" t="n"/>
      <c r="AB500" s="24" t="n"/>
      <c r="AC500" s="24" t="n"/>
      <c r="AD500" s="24" t="n"/>
      <c r="AE500" s="24" t="n"/>
    </row>
    <row r="501">
      <c r="A501" s="114" t="n"/>
      <c r="B501" s="114" t="n"/>
      <c r="C501" s="114" t="n"/>
      <c r="D501" s="114" t="n"/>
      <c r="E501" s="114" t="n"/>
      <c r="F501" s="114" t="n"/>
      <c r="G501" s="24" t="n"/>
      <c r="V501" s="24" t="n"/>
      <c r="Y501" s="24" t="n"/>
      <c r="Z501" s="24" t="n"/>
      <c r="AA501" s="24" t="n"/>
      <c r="AB501" s="24" t="n"/>
      <c r="AC501" s="24" t="n"/>
      <c r="AD501" s="24" t="n"/>
      <c r="AE501" s="24" t="n"/>
    </row>
    <row r="502">
      <c r="A502" s="114" t="n"/>
      <c r="B502" s="114" t="n"/>
      <c r="C502" s="114" t="n"/>
      <c r="D502" s="114" t="n"/>
      <c r="E502" s="114" t="n"/>
      <c r="F502" s="114" t="n"/>
      <c r="G502" s="24" t="n"/>
      <c r="V502" s="24" t="n"/>
      <c r="Y502" s="24" t="n"/>
      <c r="Z502" s="24" t="n"/>
      <c r="AA502" s="24" t="n"/>
      <c r="AB502" s="24" t="n"/>
      <c r="AC502" s="24" t="n"/>
      <c r="AD502" s="24" t="n"/>
      <c r="AE502" s="24" t="n"/>
    </row>
    <row r="503">
      <c r="A503" s="114" t="n"/>
      <c r="B503" s="114" t="n"/>
      <c r="C503" s="114" t="n"/>
      <c r="D503" s="114" t="n"/>
      <c r="E503" s="114" t="n"/>
      <c r="F503" s="114" t="n"/>
      <c r="G503" s="24" t="n"/>
      <c r="V503" s="24" t="n"/>
      <c r="Y503" s="24" t="n"/>
      <c r="Z503" s="24" t="n"/>
      <c r="AA503" s="24" t="n"/>
      <c r="AB503" s="24" t="n"/>
      <c r="AC503" s="24" t="n"/>
      <c r="AD503" s="24" t="n"/>
      <c r="AE503" s="24" t="n"/>
    </row>
    <row r="504">
      <c r="A504" s="114" t="n"/>
      <c r="B504" s="114" t="n"/>
      <c r="C504" s="114" t="n"/>
      <c r="D504" s="114" t="n"/>
      <c r="E504" s="114" t="n"/>
      <c r="F504" s="114" t="n"/>
      <c r="G504" s="24" t="n"/>
      <c r="V504" s="24" t="n"/>
      <c r="Y504" s="24" t="n"/>
      <c r="Z504" s="24" t="n"/>
      <c r="AA504" s="24" t="n"/>
      <c r="AB504" s="24" t="n"/>
      <c r="AC504" s="24" t="n"/>
      <c r="AD504" s="24" t="n"/>
      <c r="AE504" s="24" t="n"/>
    </row>
    <row r="505">
      <c r="A505" s="114" t="n"/>
      <c r="B505" s="114" t="n"/>
      <c r="C505" s="114" t="n"/>
      <c r="D505" s="114" t="n"/>
      <c r="E505" s="114" t="n"/>
      <c r="F505" s="114" t="n"/>
      <c r="G505" s="24" t="n"/>
      <c r="V505" s="24" t="n"/>
      <c r="Y505" s="24" t="n"/>
      <c r="Z505" s="24" t="n"/>
      <c r="AA505" s="24" t="n"/>
      <c r="AB505" s="24" t="n"/>
      <c r="AC505" s="24" t="n"/>
      <c r="AD505" s="24" t="n"/>
      <c r="AE505" s="24" t="n"/>
    </row>
    <row r="506">
      <c r="A506" s="114" t="n"/>
      <c r="B506" s="114" t="n"/>
      <c r="C506" s="114" t="n"/>
      <c r="D506" s="114" t="n"/>
      <c r="E506" s="114" t="n"/>
      <c r="F506" s="114" t="n"/>
      <c r="G506" s="24" t="n"/>
      <c r="V506" s="24" t="n"/>
      <c r="Y506" s="24" t="n"/>
      <c r="Z506" s="24" t="n"/>
      <c r="AA506" s="24" t="n"/>
      <c r="AB506" s="24" t="n"/>
      <c r="AC506" s="24" t="n"/>
      <c r="AD506" s="24" t="n"/>
      <c r="AE506" s="24" t="n"/>
    </row>
    <row r="507">
      <c r="A507" s="114" t="n"/>
      <c r="B507" s="114" t="n"/>
      <c r="C507" s="114" t="n"/>
      <c r="D507" s="114" t="n"/>
      <c r="E507" s="114" t="n"/>
      <c r="F507" s="114" t="n"/>
      <c r="G507" s="24" t="n"/>
      <c r="V507" s="24" t="n"/>
      <c r="Y507" s="24" t="n"/>
      <c r="Z507" s="24" t="n"/>
      <c r="AA507" s="24" t="n"/>
      <c r="AB507" s="24" t="n"/>
      <c r="AC507" s="24" t="n"/>
      <c r="AD507" s="24" t="n"/>
      <c r="AE507" s="24" t="n"/>
    </row>
    <row r="508">
      <c r="A508" s="114" t="n"/>
      <c r="B508" s="114" t="n"/>
      <c r="C508" s="114" t="n"/>
      <c r="D508" s="114" t="n"/>
      <c r="E508" s="114" t="n"/>
      <c r="F508" s="114" t="n"/>
      <c r="G508" s="24" t="n"/>
      <c r="V508" s="24" t="n"/>
      <c r="Y508" s="24" t="n"/>
      <c r="Z508" s="24" t="n"/>
      <c r="AA508" s="24" t="n"/>
      <c r="AB508" s="24" t="n"/>
      <c r="AC508" s="24" t="n"/>
      <c r="AD508" s="24" t="n"/>
      <c r="AE508" s="24" t="n"/>
    </row>
    <row r="509">
      <c r="A509" s="114" t="n"/>
      <c r="B509" s="114" t="n"/>
      <c r="C509" s="114" t="n"/>
      <c r="D509" s="114" t="n"/>
      <c r="E509" s="114" t="n"/>
      <c r="F509" s="114" t="n"/>
      <c r="G509" s="24" t="n"/>
      <c r="V509" s="24" t="n"/>
      <c r="Y509" s="24" t="n"/>
      <c r="Z509" s="24" t="n"/>
      <c r="AA509" s="24" t="n"/>
      <c r="AB509" s="24" t="n"/>
      <c r="AC509" s="24" t="n"/>
      <c r="AD509" s="24" t="n"/>
      <c r="AE509" s="24" t="n"/>
    </row>
    <row r="510">
      <c r="A510" s="114" t="n"/>
      <c r="B510" s="114" t="n"/>
      <c r="C510" s="114" t="n"/>
      <c r="D510" s="114" t="n"/>
      <c r="E510" s="114" t="n"/>
      <c r="F510" s="114" t="n"/>
      <c r="G510" s="24" t="n"/>
      <c r="V510" s="24" t="n"/>
      <c r="Y510" s="24" t="n"/>
      <c r="Z510" s="24" t="n"/>
      <c r="AA510" s="24" t="n"/>
      <c r="AB510" s="24" t="n"/>
      <c r="AC510" s="24" t="n"/>
      <c r="AD510" s="24" t="n"/>
      <c r="AE510" s="24" t="n"/>
    </row>
    <row r="511">
      <c r="A511" s="114" t="n"/>
      <c r="B511" s="114" t="n"/>
      <c r="C511" s="114" t="n"/>
      <c r="D511" s="114" t="n"/>
      <c r="E511" s="114" t="n"/>
      <c r="F511" s="114" t="n"/>
      <c r="G511" s="24" t="n"/>
      <c r="V511" s="24" t="n"/>
      <c r="Y511" s="24" t="n"/>
      <c r="Z511" s="24" t="n"/>
      <c r="AA511" s="24" t="n"/>
      <c r="AB511" s="24" t="n"/>
      <c r="AC511" s="24" t="n"/>
      <c r="AD511" s="24" t="n"/>
      <c r="AE511" s="24" t="n"/>
    </row>
    <row r="512">
      <c r="A512" s="114" t="n"/>
      <c r="B512" s="114" t="n"/>
      <c r="C512" s="114" t="n"/>
      <c r="D512" s="114" t="n"/>
      <c r="E512" s="114" t="n"/>
      <c r="F512" s="114" t="n"/>
      <c r="G512" s="24" t="n"/>
      <c r="V512" s="24" t="n"/>
      <c r="Y512" s="24" t="n"/>
      <c r="Z512" s="24" t="n"/>
      <c r="AA512" s="24" t="n"/>
      <c r="AB512" s="24" t="n"/>
      <c r="AC512" s="24" t="n"/>
      <c r="AD512" s="24" t="n"/>
      <c r="AE512" s="24" t="n"/>
    </row>
    <row r="513">
      <c r="A513" s="114" t="n"/>
      <c r="B513" s="114" t="n"/>
      <c r="C513" s="114" t="n"/>
      <c r="D513" s="114" t="n"/>
      <c r="E513" s="114" t="n"/>
      <c r="F513" s="114" t="n"/>
      <c r="G513" s="24" t="n"/>
      <c r="V513" s="24" t="n"/>
      <c r="Y513" s="24" t="n"/>
      <c r="Z513" s="24" t="n"/>
      <c r="AA513" s="24" t="n"/>
      <c r="AB513" s="24" t="n"/>
      <c r="AC513" s="24" t="n"/>
      <c r="AD513" s="24" t="n"/>
      <c r="AE513" s="24" t="n"/>
    </row>
    <row r="514">
      <c r="A514" s="114" t="n"/>
      <c r="B514" s="114" t="n"/>
      <c r="C514" s="114" t="n"/>
      <c r="D514" s="114" t="n"/>
      <c r="E514" s="114" t="n"/>
      <c r="F514" s="114" t="n"/>
      <c r="G514" s="24" t="n"/>
      <c r="V514" s="24" t="n"/>
      <c r="Y514" s="24" t="n"/>
      <c r="Z514" s="24" t="n"/>
      <c r="AA514" s="24" t="n"/>
      <c r="AB514" s="24" t="n"/>
      <c r="AC514" s="24" t="n"/>
      <c r="AD514" s="24" t="n"/>
      <c r="AE514" s="24" t="n"/>
    </row>
    <row r="515">
      <c r="A515" s="114" t="n"/>
      <c r="B515" s="114" t="n"/>
      <c r="C515" s="114" t="n"/>
      <c r="D515" s="114" t="n"/>
      <c r="E515" s="114" t="n"/>
      <c r="F515" s="114" t="n"/>
      <c r="G515" s="24" t="n"/>
      <c r="V515" s="24" t="n"/>
      <c r="Y515" s="24" t="n"/>
      <c r="Z515" s="24" t="n"/>
      <c r="AA515" s="24" t="n"/>
      <c r="AB515" s="24" t="n"/>
      <c r="AC515" s="24" t="n"/>
      <c r="AD515" s="24" t="n"/>
      <c r="AE515" s="24" t="n"/>
    </row>
    <row r="516">
      <c r="A516" s="114" t="n"/>
      <c r="B516" s="114" t="n"/>
      <c r="C516" s="114" t="n"/>
      <c r="D516" s="114" t="n"/>
      <c r="E516" s="114" t="n"/>
      <c r="F516" s="114" t="n"/>
      <c r="G516" s="24" t="n"/>
      <c r="V516" s="24" t="n"/>
      <c r="Y516" s="24" t="n"/>
      <c r="Z516" s="24" t="n"/>
      <c r="AA516" s="24" t="n"/>
      <c r="AB516" s="24" t="n"/>
      <c r="AC516" s="24" t="n"/>
      <c r="AD516" s="24" t="n"/>
      <c r="AE516" s="24" t="n"/>
    </row>
    <row r="517">
      <c r="A517" s="114" t="n"/>
      <c r="B517" s="114" t="n"/>
      <c r="C517" s="114" t="n"/>
      <c r="D517" s="114" t="n"/>
      <c r="E517" s="114" t="n"/>
      <c r="F517" s="114" t="n"/>
      <c r="G517" s="24" t="n"/>
      <c r="V517" s="24" t="n"/>
      <c r="Y517" s="24" t="n"/>
      <c r="Z517" s="24" t="n"/>
      <c r="AA517" s="24" t="n"/>
      <c r="AB517" s="24" t="n"/>
      <c r="AC517" s="24" t="n"/>
      <c r="AD517" s="24" t="n"/>
      <c r="AE517" s="24" t="n"/>
    </row>
    <row r="518">
      <c r="A518" s="114" t="n"/>
      <c r="B518" s="114" t="n"/>
      <c r="C518" s="114" t="n"/>
      <c r="D518" s="114" t="n"/>
      <c r="E518" s="114" t="n"/>
      <c r="F518" s="114" t="n"/>
      <c r="G518" s="24" t="n"/>
      <c r="V518" s="24" t="n"/>
      <c r="Y518" s="24" t="n"/>
      <c r="Z518" s="24" t="n"/>
      <c r="AA518" s="24" t="n"/>
      <c r="AB518" s="24" t="n"/>
      <c r="AC518" s="24" t="n"/>
      <c r="AD518" s="24" t="n"/>
      <c r="AE518" s="24" t="n"/>
    </row>
    <row r="519">
      <c r="A519" s="114" t="n"/>
      <c r="B519" s="114" t="n"/>
      <c r="C519" s="114" t="n"/>
      <c r="D519" s="114" t="n"/>
      <c r="E519" s="114" t="n"/>
      <c r="F519" s="114" t="n"/>
      <c r="G519" s="24" t="n"/>
      <c r="V519" s="24" t="n"/>
      <c r="Y519" s="24" t="n"/>
      <c r="Z519" s="24" t="n"/>
      <c r="AA519" s="24" t="n"/>
      <c r="AB519" s="24" t="n"/>
      <c r="AC519" s="24" t="n"/>
      <c r="AD519" s="24" t="n"/>
      <c r="AE519" s="24" t="n"/>
    </row>
    <row r="520">
      <c r="A520" s="114" t="n"/>
      <c r="B520" s="114" t="n"/>
      <c r="C520" s="114" t="n"/>
      <c r="D520" s="114" t="n"/>
      <c r="E520" s="114" t="n"/>
      <c r="F520" s="114" t="n"/>
      <c r="G520" s="24" t="n"/>
      <c r="V520" s="24" t="n"/>
      <c r="Y520" s="24" t="n"/>
      <c r="Z520" s="24" t="n"/>
      <c r="AA520" s="24" t="n"/>
      <c r="AB520" s="24" t="n"/>
      <c r="AC520" s="24" t="n"/>
      <c r="AD520" s="24" t="n"/>
      <c r="AE520" s="24" t="n"/>
    </row>
    <row r="521">
      <c r="A521" s="114" t="n"/>
      <c r="B521" s="114" t="n"/>
      <c r="C521" s="114" t="n"/>
      <c r="D521" s="114" t="n"/>
      <c r="E521" s="114" t="n"/>
      <c r="F521" s="114" t="n"/>
      <c r="G521" s="24" t="n"/>
      <c r="V521" s="24" t="n"/>
      <c r="Y521" s="24" t="n"/>
      <c r="Z521" s="24" t="n"/>
      <c r="AA521" s="24" t="n"/>
      <c r="AB521" s="24" t="n"/>
      <c r="AC521" s="24" t="n"/>
      <c r="AD521" s="24" t="n"/>
      <c r="AE521" s="24" t="n"/>
    </row>
    <row r="522">
      <c r="A522" s="114" t="n"/>
      <c r="B522" s="114" t="n"/>
      <c r="C522" s="114" t="n"/>
      <c r="D522" s="114" t="n"/>
      <c r="E522" s="114" t="n"/>
      <c r="F522" s="114" t="n"/>
      <c r="G522" s="24" t="n"/>
      <c r="V522" s="24" t="n"/>
      <c r="Y522" s="24" t="n"/>
      <c r="Z522" s="24" t="n"/>
      <c r="AA522" s="24" t="n"/>
      <c r="AB522" s="24" t="n"/>
      <c r="AC522" s="24" t="n"/>
      <c r="AD522" s="24" t="n"/>
      <c r="AE522" s="24" t="n"/>
    </row>
    <row r="523">
      <c r="A523" s="114" t="n"/>
      <c r="B523" s="114" t="n"/>
      <c r="C523" s="114" t="n"/>
      <c r="D523" s="114" t="n"/>
      <c r="E523" s="114" t="n"/>
      <c r="F523" s="114" t="n"/>
      <c r="G523" s="24" t="n"/>
      <c r="V523" s="24" t="n"/>
      <c r="Y523" s="24" t="n"/>
      <c r="Z523" s="24" t="n"/>
      <c r="AA523" s="24" t="n"/>
      <c r="AB523" s="24" t="n"/>
      <c r="AC523" s="24" t="n"/>
      <c r="AD523" s="24" t="n"/>
      <c r="AE523" s="24" t="n"/>
    </row>
    <row r="524">
      <c r="A524" s="114" t="n"/>
      <c r="B524" s="114" t="n"/>
      <c r="C524" s="114" t="n"/>
      <c r="D524" s="114" t="n"/>
      <c r="E524" s="114" t="n"/>
      <c r="F524" s="114" t="n"/>
      <c r="G524" s="24" t="n"/>
      <c r="V524" s="24" t="n"/>
      <c r="Y524" s="24" t="n"/>
      <c r="Z524" s="24" t="n"/>
      <c r="AA524" s="24" t="n"/>
      <c r="AB524" s="24" t="n"/>
      <c r="AC524" s="24" t="n"/>
      <c r="AD524" s="24" t="n"/>
      <c r="AE524" s="24" t="n"/>
    </row>
    <row r="525">
      <c r="A525" s="114" t="n"/>
      <c r="B525" s="114" t="n"/>
      <c r="C525" s="114" t="n"/>
      <c r="D525" s="114" t="n"/>
      <c r="E525" s="114" t="n"/>
      <c r="F525" s="114" t="n"/>
      <c r="G525" s="24" t="n"/>
      <c r="V525" s="24" t="n"/>
      <c r="Y525" s="24" t="n"/>
      <c r="Z525" s="24" t="n"/>
      <c r="AA525" s="24" t="n"/>
      <c r="AB525" s="24" t="n"/>
      <c r="AC525" s="24" t="n"/>
      <c r="AD525" s="24" t="n"/>
      <c r="AE525" s="24" t="n"/>
    </row>
    <row r="526">
      <c r="A526" s="114" t="n"/>
      <c r="B526" s="114" t="n"/>
      <c r="C526" s="114" t="n"/>
      <c r="D526" s="114" t="n"/>
      <c r="E526" s="114" t="n"/>
      <c r="F526" s="114" t="n"/>
      <c r="G526" s="24" t="n"/>
      <c r="V526" s="24" t="n"/>
      <c r="Y526" s="24" t="n"/>
      <c r="Z526" s="24" t="n"/>
      <c r="AA526" s="24" t="n"/>
      <c r="AB526" s="24" t="n"/>
      <c r="AC526" s="24" t="n"/>
      <c r="AD526" s="24" t="n"/>
      <c r="AE526" s="24" t="n"/>
    </row>
    <row r="527">
      <c r="A527" s="114" t="n"/>
      <c r="B527" s="114" t="n"/>
      <c r="C527" s="114" t="n"/>
      <c r="D527" s="114" t="n"/>
      <c r="E527" s="114" t="n"/>
      <c r="F527" s="114" t="n"/>
      <c r="G527" s="24" t="n"/>
      <c r="V527" s="24" t="n"/>
      <c r="Y527" s="24" t="n"/>
      <c r="Z527" s="24" t="n"/>
      <c r="AA527" s="24" t="n"/>
      <c r="AB527" s="24" t="n"/>
      <c r="AC527" s="24" t="n"/>
      <c r="AD527" s="24" t="n"/>
      <c r="AE527" s="24" t="n"/>
    </row>
    <row r="528">
      <c r="A528" s="114" t="n"/>
      <c r="B528" s="114" t="n"/>
      <c r="C528" s="114" t="n"/>
      <c r="D528" s="114" t="n"/>
      <c r="E528" s="114" t="n"/>
      <c r="F528" s="114" t="n"/>
      <c r="G528" s="24" t="n"/>
      <c r="V528" s="24" t="n"/>
      <c r="Y528" s="24" t="n"/>
      <c r="Z528" s="24" t="n"/>
      <c r="AA528" s="24" t="n"/>
      <c r="AB528" s="24" t="n"/>
      <c r="AC528" s="24" t="n"/>
      <c r="AD528" s="24" t="n"/>
      <c r="AE528" s="24" t="n"/>
    </row>
    <row r="529">
      <c r="A529" s="114" t="n"/>
      <c r="B529" s="114" t="n"/>
      <c r="C529" s="114" t="n"/>
      <c r="D529" s="114" t="n"/>
      <c r="E529" s="114" t="n"/>
      <c r="F529" s="114" t="n"/>
      <c r="G529" s="24" t="n"/>
      <c r="V529" s="24" t="n"/>
      <c r="Y529" s="24" t="n"/>
      <c r="Z529" s="24" t="n"/>
      <c r="AA529" s="24" t="n"/>
      <c r="AB529" s="24" t="n"/>
      <c r="AC529" s="24" t="n"/>
      <c r="AD529" s="24" t="n"/>
      <c r="AE529" s="24" t="n"/>
    </row>
    <row r="530">
      <c r="A530" s="114" t="n"/>
      <c r="B530" s="114" t="n"/>
      <c r="C530" s="114" t="n"/>
      <c r="D530" s="114" t="n"/>
      <c r="E530" s="114" t="n"/>
      <c r="F530" s="114" t="n"/>
      <c r="G530" s="24" t="n"/>
      <c r="V530" s="24" t="n"/>
      <c r="Y530" s="24" t="n"/>
      <c r="Z530" s="24" t="n"/>
      <c r="AA530" s="24" t="n"/>
      <c r="AB530" s="24" t="n"/>
      <c r="AC530" s="24" t="n"/>
      <c r="AD530" s="24" t="n"/>
      <c r="AE530" s="24" t="n"/>
    </row>
    <row r="531">
      <c r="A531" s="114" t="n"/>
      <c r="B531" s="114" t="n"/>
      <c r="C531" s="114" t="n"/>
      <c r="D531" s="114" t="n"/>
      <c r="E531" s="114" t="n"/>
      <c r="F531" s="114" t="n"/>
      <c r="G531" s="24" t="n"/>
      <c r="V531" s="24" t="n"/>
      <c r="Y531" s="24" t="n"/>
      <c r="Z531" s="24" t="n"/>
      <c r="AA531" s="24" t="n"/>
      <c r="AB531" s="24" t="n"/>
      <c r="AC531" s="24" t="n"/>
      <c r="AD531" s="24" t="n"/>
      <c r="AE531" s="24" t="n"/>
    </row>
    <row r="532">
      <c r="A532" s="114" t="n"/>
      <c r="B532" s="114" t="n"/>
      <c r="C532" s="114" t="n"/>
      <c r="D532" s="114" t="n"/>
      <c r="E532" s="114" t="n"/>
      <c r="F532" s="114" t="n"/>
      <c r="G532" s="24" t="n"/>
      <c r="V532" s="24" t="n"/>
      <c r="Y532" s="24" t="n"/>
      <c r="Z532" s="24" t="n"/>
      <c r="AA532" s="24" t="n"/>
      <c r="AB532" s="24" t="n"/>
      <c r="AC532" s="24" t="n"/>
      <c r="AD532" s="24" t="n"/>
      <c r="AE532" s="24" t="n"/>
    </row>
    <row r="533">
      <c r="A533" s="114" t="n"/>
      <c r="B533" s="114" t="n"/>
      <c r="C533" s="114" t="n"/>
      <c r="D533" s="114" t="n"/>
      <c r="E533" s="114" t="n"/>
      <c r="F533" s="114" t="n"/>
      <c r="G533" s="24" t="n"/>
      <c r="V533" s="24" t="n"/>
      <c r="Y533" s="24" t="n"/>
      <c r="Z533" s="24" t="n"/>
      <c r="AA533" s="24" t="n"/>
      <c r="AB533" s="24" t="n"/>
      <c r="AC533" s="24" t="n"/>
      <c r="AD533" s="24" t="n"/>
      <c r="AE533" s="24" t="n"/>
    </row>
    <row r="534">
      <c r="A534" s="114" t="n"/>
      <c r="B534" s="114" t="n"/>
      <c r="C534" s="114" t="n"/>
      <c r="D534" s="114" t="n"/>
      <c r="E534" s="114" t="n"/>
      <c r="F534" s="114" t="n"/>
      <c r="G534" s="24" t="n"/>
      <c r="V534" s="24" t="n"/>
      <c r="Y534" s="24" t="n"/>
      <c r="Z534" s="24" t="n"/>
      <c r="AA534" s="24" t="n"/>
      <c r="AB534" s="24" t="n"/>
      <c r="AC534" s="24" t="n"/>
      <c r="AD534" s="24" t="n"/>
      <c r="AE534" s="24" t="n"/>
    </row>
    <row r="535">
      <c r="A535" s="114" t="n"/>
      <c r="B535" s="114" t="n"/>
      <c r="C535" s="114" t="n"/>
      <c r="D535" s="114" t="n"/>
      <c r="E535" s="114" t="n"/>
      <c r="F535" s="114" t="n"/>
      <c r="G535" s="24" t="n"/>
      <c r="V535" s="24" t="n"/>
      <c r="Y535" s="24" t="n"/>
      <c r="Z535" s="24" t="n"/>
      <c r="AA535" s="24" t="n"/>
      <c r="AB535" s="24" t="n"/>
      <c r="AC535" s="24" t="n"/>
      <c r="AD535" s="24" t="n"/>
      <c r="AE535" s="24" t="n"/>
    </row>
    <row r="536">
      <c r="A536" s="114" t="n"/>
      <c r="B536" s="114" t="n"/>
      <c r="C536" s="114" t="n"/>
      <c r="D536" s="114" t="n"/>
      <c r="E536" s="114" t="n"/>
      <c r="F536" s="114" t="n"/>
      <c r="G536" s="24" t="n"/>
      <c r="V536" s="24" t="n"/>
      <c r="Y536" s="24" t="n"/>
      <c r="Z536" s="24" t="n"/>
      <c r="AA536" s="24" t="n"/>
      <c r="AB536" s="24" t="n"/>
      <c r="AC536" s="24" t="n"/>
      <c r="AD536" s="24" t="n"/>
      <c r="AE536" s="24" t="n"/>
    </row>
    <row r="537">
      <c r="A537" s="114" t="n"/>
      <c r="B537" s="114" t="n"/>
      <c r="C537" s="114" t="n"/>
      <c r="D537" s="114" t="n"/>
      <c r="E537" s="114" t="n"/>
      <c r="F537" s="114" t="n"/>
      <c r="G537" s="24" t="n"/>
      <c r="V537" s="24" t="n"/>
      <c r="Y537" s="24" t="n"/>
      <c r="Z537" s="24" t="n"/>
      <c r="AA537" s="24" t="n"/>
      <c r="AB537" s="24" t="n"/>
      <c r="AC537" s="24" t="n"/>
      <c r="AD537" s="24" t="n"/>
      <c r="AE537" s="24" t="n"/>
    </row>
    <row r="538">
      <c r="A538" s="114" t="n"/>
      <c r="B538" s="114" t="n"/>
      <c r="C538" s="114" t="n"/>
      <c r="D538" s="114" t="n"/>
      <c r="E538" s="114" t="n"/>
      <c r="F538" s="114" t="n"/>
      <c r="G538" s="24" t="n"/>
      <c r="V538" s="24" t="n"/>
      <c r="Y538" s="24" t="n"/>
      <c r="Z538" s="24" t="n"/>
      <c r="AA538" s="24" t="n"/>
      <c r="AB538" s="24" t="n"/>
      <c r="AC538" s="24" t="n"/>
      <c r="AD538" s="24" t="n"/>
      <c r="AE538" s="24" t="n"/>
    </row>
    <row r="539">
      <c r="A539" s="114" t="n"/>
      <c r="B539" s="114" t="n"/>
      <c r="C539" s="114" t="n"/>
      <c r="D539" s="114" t="n"/>
      <c r="E539" s="114" t="n"/>
      <c r="F539" s="114" t="n"/>
      <c r="G539" s="24" t="n"/>
      <c r="V539" s="24" t="n"/>
      <c r="Y539" s="24" t="n"/>
      <c r="Z539" s="24" t="n"/>
      <c r="AA539" s="24" t="n"/>
      <c r="AB539" s="24" t="n"/>
      <c r="AC539" s="24" t="n"/>
      <c r="AD539" s="24" t="n"/>
      <c r="AE539" s="24" t="n"/>
    </row>
    <row r="540">
      <c r="A540" s="114" t="n"/>
      <c r="B540" s="114" t="n"/>
      <c r="C540" s="114" t="n"/>
      <c r="D540" s="114" t="n"/>
      <c r="E540" s="114" t="n"/>
      <c r="F540" s="114" t="n"/>
      <c r="G540" s="24" t="n"/>
      <c r="V540" s="24" t="n"/>
      <c r="Y540" s="24" t="n"/>
      <c r="Z540" s="24" t="n"/>
      <c r="AA540" s="24" t="n"/>
      <c r="AB540" s="24" t="n"/>
      <c r="AC540" s="24" t="n"/>
      <c r="AD540" s="24" t="n"/>
      <c r="AE540" s="24" t="n"/>
    </row>
    <row r="541">
      <c r="A541" s="114" t="n"/>
      <c r="B541" s="114" t="n"/>
      <c r="C541" s="114" t="n"/>
      <c r="D541" s="114" t="n"/>
      <c r="E541" s="114" t="n"/>
      <c r="F541" s="114" t="n"/>
      <c r="G541" s="24" t="n"/>
      <c r="V541" s="24" t="n"/>
      <c r="Y541" s="24" t="n"/>
      <c r="Z541" s="24" t="n"/>
      <c r="AA541" s="24" t="n"/>
      <c r="AB541" s="24" t="n"/>
      <c r="AC541" s="24" t="n"/>
      <c r="AD541" s="24" t="n"/>
      <c r="AE541" s="24" t="n"/>
    </row>
    <row r="542">
      <c r="A542" s="114" t="n"/>
      <c r="B542" s="114" t="n"/>
      <c r="C542" s="114" t="n"/>
      <c r="D542" s="114" t="n"/>
      <c r="E542" s="114" t="n"/>
      <c r="F542" s="114" t="n"/>
      <c r="G542" s="24" t="n"/>
      <c r="V542" s="24" t="n"/>
      <c r="Y542" s="24" t="n"/>
      <c r="Z542" s="24" t="n"/>
      <c r="AA542" s="24" t="n"/>
      <c r="AB542" s="24" t="n"/>
      <c r="AC542" s="24" t="n"/>
      <c r="AD542" s="24" t="n"/>
      <c r="AE542" s="24" t="n"/>
    </row>
    <row r="543">
      <c r="A543" s="114" t="n"/>
      <c r="B543" s="114" t="n"/>
      <c r="C543" s="114" t="n"/>
      <c r="D543" s="114" t="n"/>
      <c r="E543" s="114" t="n"/>
      <c r="F543" s="114" t="n"/>
      <c r="G543" s="24" t="n"/>
      <c r="V543" s="24" t="n"/>
      <c r="Y543" s="24" t="n"/>
      <c r="Z543" s="24" t="n"/>
      <c r="AA543" s="24" t="n"/>
      <c r="AB543" s="24" t="n"/>
      <c r="AC543" s="24" t="n"/>
      <c r="AD543" s="24" t="n"/>
      <c r="AE543" s="24" t="n"/>
    </row>
    <row r="544">
      <c r="A544" s="114" t="n"/>
      <c r="B544" s="114" t="n"/>
      <c r="C544" s="114" t="n"/>
      <c r="D544" s="114" t="n"/>
      <c r="E544" s="114" t="n"/>
      <c r="F544" s="114" t="n"/>
      <c r="G544" s="24" t="n"/>
      <c r="V544" s="24" t="n"/>
      <c r="Y544" s="24" t="n"/>
      <c r="Z544" s="24" t="n"/>
      <c r="AA544" s="24" t="n"/>
      <c r="AB544" s="24" t="n"/>
      <c r="AC544" s="24" t="n"/>
      <c r="AD544" s="24" t="n"/>
      <c r="AE544" s="24" t="n"/>
    </row>
    <row r="545">
      <c r="A545" s="114" t="n"/>
      <c r="B545" s="114" t="n"/>
      <c r="C545" s="114" t="n"/>
      <c r="D545" s="114" t="n"/>
      <c r="E545" s="114" t="n"/>
      <c r="F545" s="114" t="n"/>
      <c r="G545" s="24" t="n"/>
      <c r="V545" s="24" t="n"/>
      <c r="Y545" s="24" t="n"/>
      <c r="Z545" s="24" t="n"/>
      <c r="AA545" s="24" t="n"/>
      <c r="AB545" s="24" t="n"/>
      <c r="AC545" s="24" t="n"/>
      <c r="AD545" s="24" t="n"/>
      <c r="AE545" s="24" t="n"/>
    </row>
    <row r="546">
      <c r="A546" s="114" t="n"/>
      <c r="B546" s="114" t="n"/>
      <c r="C546" s="114" t="n"/>
      <c r="D546" s="114" t="n"/>
      <c r="E546" s="114" t="n"/>
      <c r="F546" s="114" t="n"/>
      <c r="G546" s="24" t="n"/>
      <c r="V546" s="24" t="n"/>
      <c r="Y546" s="24" t="n"/>
      <c r="Z546" s="24" t="n"/>
      <c r="AA546" s="24" t="n"/>
      <c r="AB546" s="24" t="n"/>
      <c r="AC546" s="24" t="n"/>
      <c r="AD546" s="24" t="n"/>
      <c r="AE546" s="24" t="n"/>
    </row>
    <row r="547">
      <c r="A547" s="114" t="n"/>
      <c r="B547" s="114" t="n"/>
      <c r="C547" s="114" t="n"/>
      <c r="D547" s="114" t="n"/>
      <c r="E547" s="114" t="n"/>
      <c r="F547" s="114" t="n"/>
      <c r="G547" s="24" t="n"/>
      <c r="V547" s="24" t="n"/>
      <c r="Y547" s="24" t="n"/>
      <c r="Z547" s="24" t="n"/>
      <c r="AA547" s="24" t="n"/>
      <c r="AB547" s="24" t="n"/>
      <c r="AC547" s="24" t="n"/>
      <c r="AD547" s="24" t="n"/>
      <c r="AE547" s="24" t="n"/>
    </row>
    <row r="548">
      <c r="A548" s="114" t="n"/>
      <c r="B548" s="114" t="n"/>
      <c r="C548" s="114" t="n"/>
      <c r="D548" s="114" t="n"/>
      <c r="E548" s="114" t="n"/>
      <c r="F548" s="114" t="n"/>
      <c r="G548" s="24" t="n"/>
      <c r="V548" s="24" t="n"/>
      <c r="Y548" s="24" t="n"/>
      <c r="Z548" s="24" t="n"/>
      <c r="AA548" s="24" t="n"/>
      <c r="AB548" s="24" t="n"/>
      <c r="AC548" s="24" t="n"/>
      <c r="AD548" s="24" t="n"/>
      <c r="AE548" s="24" t="n"/>
    </row>
    <row r="549">
      <c r="A549" s="114" t="n"/>
      <c r="B549" s="114" t="n"/>
      <c r="C549" s="114" t="n"/>
      <c r="D549" s="114" t="n"/>
      <c r="E549" s="114" t="n"/>
      <c r="F549" s="114" t="n"/>
      <c r="G549" s="24" t="n"/>
      <c r="V549" s="24" t="n"/>
      <c r="Y549" s="24" t="n"/>
      <c r="Z549" s="24" t="n"/>
      <c r="AA549" s="24" t="n"/>
      <c r="AB549" s="24" t="n"/>
      <c r="AC549" s="24" t="n"/>
      <c r="AD549" s="24" t="n"/>
      <c r="AE549" s="24" t="n"/>
    </row>
    <row r="550">
      <c r="A550" s="114" t="n"/>
      <c r="B550" s="114" t="n"/>
      <c r="C550" s="114" t="n"/>
      <c r="D550" s="114" t="n"/>
      <c r="E550" s="114" t="n"/>
      <c r="F550" s="114" t="n"/>
      <c r="G550" s="24" t="n"/>
      <c r="V550" s="24" t="n"/>
      <c r="Y550" s="24" t="n"/>
      <c r="Z550" s="24" t="n"/>
      <c r="AA550" s="24" t="n"/>
      <c r="AB550" s="24" t="n"/>
      <c r="AC550" s="24" t="n"/>
      <c r="AD550" s="24" t="n"/>
      <c r="AE550" s="24" t="n"/>
    </row>
    <row r="551">
      <c r="A551" s="114" t="n"/>
      <c r="B551" s="114" t="n"/>
      <c r="C551" s="114" t="n"/>
      <c r="D551" s="114" t="n"/>
      <c r="E551" s="114" t="n"/>
      <c r="F551" s="114" t="n"/>
      <c r="G551" s="24" t="n"/>
      <c r="V551" s="24" t="n"/>
      <c r="Y551" s="24" t="n"/>
      <c r="Z551" s="24" t="n"/>
      <c r="AA551" s="24" t="n"/>
      <c r="AB551" s="24" t="n"/>
      <c r="AC551" s="24" t="n"/>
      <c r="AD551" s="24" t="n"/>
      <c r="AE551" s="24" t="n"/>
    </row>
    <row r="552">
      <c r="A552" s="114" t="n"/>
      <c r="B552" s="114" t="n"/>
      <c r="C552" s="114" t="n"/>
      <c r="D552" s="114" t="n"/>
      <c r="E552" s="114" t="n"/>
      <c r="F552" s="114" t="n"/>
      <c r="G552" s="24" t="n"/>
      <c r="V552" s="24" t="n"/>
      <c r="Y552" s="24" t="n"/>
      <c r="Z552" s="24" t="n"/>
      <c r="AA552" s="24" t="n"/>
      <c r="AB552" s="24" t="n"/>
      <c r="AC552" s="24" t="n"/>
      <c r="AD552" s="24" t="n"/>
      <c r="AE552" s="24" t="n"/>
    </row>
    <row r="553">
      <c r="A553" s="114" t="n"/>
      <c r="B553" s="114" t="n"/>
      <c r="C553" s="114" t="n"/>
      <c r="D553" s="114" t="n"/>
      <c r="E553" s="114" t="n"/>
      <c r="F553" s="114" t="n"/>
      <c r="G553" s="24" t="n"/>
      <c r="V553" s="24" t="n"/>
      <c r="Y553" s="24" t="n"/>
      <c r="Z553" s="24" t="n"/>
      <c r="AA553" s="24" t="n"/>
      <c r="AB553" s="24" t="n"/>
      <c r="AC553" s="24" t="n"/>
      <c r="AD553" s="24" t="n"/>
      <c r="AE553" s="24" t="n"/>
    </row>
    <row r="554">
      <c r="A554" s="114" t="n"/>
      <c r="B554" s="114" t="n"/>
      <c r="C554" s="114" t="n"/>
      <c r="D554" s="114" t="n"/>
      <c r="E554" s="114" t="n"/>
      <c r="F554" s="114" t="n"/>
      <c r="G554" s="24" t="n"/>
      <c r="V554" s="24" t="n"/>
      <c r="Y554" s="24" t="n"/>
      <c r="Z554" s="24" t="n"/>
      <c r="AA554" s="24" t="n"/>
      <c r="AB554" s="24" t="n"/>
      <c r="AC554" s="24" t="n"/>
      <c r="AD554" s="24" t="n"/>
      <c r="AE554" s="24" t="n"/>
    </row>
    <row r="555">
      <c r="A555" s="114" t="n"/>
      <c r="B555" s="114" t="n"/>
      <c r="C555" s="114" t="n"/>
      <c r="D555" s="114" t="n"/>
      <c r="E555" s="114" t="n"/>
      <c r="F555" s="114" t="n"/>
      <c r="G555" s="24" t="n"/>
      <c r="V555" s="24" t="n"/>
      <c r="Y555" s="24" t="n"/>
      <c r="Z555" s="24" t="n"/>
      <c r="AA555" s="24" t="n"/>
      <c r="AB555" s="24" t="n"/>
      <c r="AC555" s="24" t="n"/>
      <c r="AD555" s="24" t="n"/>
      <c r="AE555" s="24" t="n"/>
    </row>
    <row r="556">
      <c r="A556" s="114" t="n"/>
      <c r="B556" s="114" t="n"/>
      <c r="C556" s="114" t="n"/>
      <c r="D556" s="114" t="n"/>
      <c r="E556" s="114" t="n"/>
      <c r="F556" s="114" t="n"/>
      <c r="G556" s="24" t="n"/>
      <c r="V556" s="24" t="n"/>
      <c r="Y556" s="24" t="n"/>
      <c r="Z556" s="24" t="n"/>
      <c r="AA556" s="24" t="n"/>
      <c r="AB556" s="24" t="n"/>
      <c r="AC556" s="24" t="n"/>
      <c r="AD556" s="24" t="n"/>
      <c r="AE556" s="24" t="n"/>
    </row>
    <row r="557">
      <c r="A557" s="114" t="n"/>
      <c r="B557" s="114" t="n"/>
      <c r="C557" s="114" t="n"/>
      <c r="D557" s="114" t="n"/>
      <c r="E557" s="114" t="n"/>
      <c r="F557" s="114" t="n"/>
      <c r="G557" s="24" t="n"/>
      <c r="V557" s="24" t="n"/>
      <c r="Y557" s="24" t="n"/>
      <c r="Z557" s="24" t="n"/>
      <c r="AA557" s="24" t="n"/>
      <c r="AB557" s="24" t="n"/>
      <c r="AC557" s="24" t="n"/>
      <c r="AD557" s="24" t="n"/>
      <c r="AE557" s="24" t="n"/>
    </row>
    <row r="558">
      <c r="A558" s="114" t="n"/>
      <c r="B558" s="114" t="n"/>
      <c r="C558" s="114" t="n"/>
      <c r="D558" s="114" t="n"/>
      <c r="E558" s="114" t="n"/>
      <c r="F558" s="114" t="n"/>
      <c r="G558" s="24" t="n"/>
      <c r="V558" s="24" t="n"/>
      <c r="Y558" s="24" t="n"/>
      <c r="Z558" s="24" t="n"/>
      <c r="AA558" s="24" t="n"/>
      <c r="AB558" s="24" t="n"/>
      <c r="AC558" s="24" t="n"/>
      <c r="AD558" s="24" t="n"/>
      <c r="AE558" s="24" t="n"/>
    </row>
    <row r="559">
      <c r="A559" s="114" t="n"/>
      <c r="B559" s="114" t="n"/>
      <c r="C559" s="114" t="n"/>
      <c r="D559" s="114" t="n"/>
      <c r="E559" s="114" t="n"/>
      <c r="F559" s="114" t="n"/>
      <c r="G559" s="24" t="n"/>
      <c r="V559" s="24" t="n"/>
      <c r="Y559" s="24" t="n"/>
      <c r="Z559" s="24" t="n"/>
      <c r="AA559" s="24" t="n"/>
      <c r="AB559" s="24" t="n"/>
      <c r="AC559" s="24" t="n"/>
      <c r="AD559" s="24" t="n"/>
      <c r="AE559" s="24" t="n"/>
    </row>
    <row r="560">
      <c r="A560" s="114" t="n"/>
      <c r="B560" s="114" t="n"/>
      <c r="C560" s="114" t="n"/>
      <c r="D560" s="114" t="n"/>
      <c r="E560" s="114" t="n"/>
      <c r="F560" s="114" t="n"/>
      <c r="G560" s="24" t="n"/>
      <c r="V560" s="24" t="n"/>
      <c r="Y560" s="24" t="n"/>
      <c r="Z560" s="24" t="n"/>
      <c r="AA560" s="24" t="n"/>
      <c r="AB560" s="24" t="n"/>
      <c r="AC560" s="24" t="n"/>
      <c r="AD560" s="24" t="n"/>
      <c r="AE560" s="24" t="n"/>
    </row>
    <row r="561">
      <c r="A561" s="114" t="n"/>
      <c r="B561" s="114" t="n"/>
      <c r="C561" s="114" t="n"/>
      <c r="D561" s="114" t="n"/>
      <c r="E561" s="114" t="n"/>
      <c r="F561" s="114" t="n"/>
      <c r="G561" s="24" t="n"/>
      <c r="V561" s="24" t="n"/>
      <c r="Y561" s="24" t="n"/>
      <c r="Z561" s="24" t="n"/>
      <c r="AA561" s="24" t="n"/>
      <c r="AB561" s="24" t="n"/>
      <c r="AC561" s="24" t="n"/>
      <c r="AD561" s="24" t="n"/>
      <c r="AE561" s="24" t="n"/>
    </row>
    <row r="562">
      <c r="A562" s="114" t="n"/>
      <c r="B562" s="114" t="n"/>
      <c r="C562" s="114" t="n"/>
      <c r="D562" s="114" t="n"/>
      <c r="E562" s="114" t="n"/>
      <c r="F562" s="114" t="n"/>
      <c r="G562" s="24" t="n"/>
      <c r="V562" s="24" t="n"/>
      <c r="Y562" s="24" t="n"/>
      <c r="Z562" s="24" t="n"/>
      <c r="AA562" s="24" t="n"/>
      <c r="AB562" s="24" t="n"/>
      <c r="AC562" s="24" t="n"/>
      <c r="AD562" s="24" t="n"/>
      <c r="AE562" s="24" t="n"/>
    </row>
    <row r="563">
      <c r="A563" s="114" t="n"/>
      <c r="B563" s="114" t="n"/>
      <c r="C563" s="114" t="n"/>
      <c r="D563" s="114" t="n"/>
      <c r="E563" s="114" t="n"/>
      <c r="F563" s="114" t="n"/>
      <c r="G563" s="24" t="n"/>
      <c r="V563" s="24" t="n"/>
      <c r="Y563" s="24" t="n"/>
      <c r="Z563" s="24" t="n"/>
      <c r="AA563" s="24" t="n"/>
      <c r="AB563" s="24" t="n"/>
      <c r="AC563" s="24" t="n"/>
      <c r="AD563" s="24" t="n"/>
      <c r="AE563" s="24" t="n"/>
    </row>
    <row r="564">
      <c r="A564" s="114" t="n"/>
      <c r="B564" s="114" t="n"/>
      <c r="C564" s="114" t="n"/>
      <c r="D564" s="114" t="n"/>
      <c r="E564" s="114" t="n"/>
      <c r="F564" s="114" t="n"/>
      <c r="G564" s="24" t="n"/>
      <c r="V564" s="24" t="n"/>
      <c r="Y564" s="24" t="n"/>
      <c r="Z564" s="24" t="n"/>
      <c r="AA564" s="24" t="n"/>
      <c r="AB564" s="24" t="n"/>
      <c r="AC564" s="24" t="n"/>
      <c r="AD564" s="24" t="n"/>
      <c r="AE564" s="24" t="n"/>
    </row>
    <row r="565">
      <c r="A565" s="114" t="n"/>
      <c r="B565" s="114" t="n"/>
      <c r="C565" s="114" t="n"/>
      <c r="D565" s="114" t="n"/>
      <c r="E565" s="114" t="n"/>
      <c r="F565" s="114" t="n"/>
      <c r="G565" s="24" t="n"/>
      <c r="V565" s="24" t="n"/>
      <c r="Y565" s="24" t="n"/>
      <c r="Z565" s="24" t="n"/>
      <c r="AA565" s="24" t="n"/>
      <c r="AB565" s="24" t="n"/>
      <c r="AC565" s="24" t="n"/>
      <c r="AD565" s="24" t="n"/>
      <c r="AE565" s="24" t="n"/>
    </row>
    <row r="566">
      <c r="A566" s="114" t="n"/>
      <c r="B566" s="114" t="n"/>
      <c r="C566" s="114" t="n"/>
      <c r="D566" s="114" t="n"/>
      <c r="E566" s="114" t="n"/>
      <c r="F566" s="114" t="n"/>
      <c r="G566" s="24" t="n"/>
      <c r="V566" s="24" t="n"/>
      <c r="Y566" s="24" t="n"/>
      <c r="Z566" s="24" t="n"/>
      <c r="AA566" s="24" t="n"/>
      <c r="AB566" s="24" t="n"/>
      <c r="AC566" s="24" t="n"/>
      <c r="AD566" s="24" t="n"/>
      <c r="AE566" s="24" t="n"/>
    </row>
    <row r="567">
      <c r="A567" s="114" t="n"/>
      <c r="B567" s="114" t="n"/>
      <c r="C567" s="114" t="n"/>
      <c r="D567" s="114" t="n"/>
      <c r="E567" s="114" t="n"/>
      <c r="F567" s="114" t="n"/>
      <c r="G567" s="24" t="n"/>
      <c r="V567" s="24" t="n"/>
      <c r="Y567" s="24" t="n"/>
      <c r="Z567" s="24" t="n"/>
      <c r="AA567" s="24" t="n"/>
      <c r="AB567" s="24" t="n"/>
      <c r="AC567" s="24" t="n"/>
      <c r="AD567" s="24" t="n"/>
      <c r="AE567" s="24" t="n"/>
    </row>
    <row r="568">
      <c r="A568" s="114" t="n"/>
      <c r="B568" s="114" t="n"/>
      <c r="C568" s="114" t="n"/>
      <c r="D568" s="114" t="n"/>
      <c r="E568" s="114" t="n"/>
      <c r="F568" s="114" t="n"/>
      <c r="G568" s="24" t="n"/>
      <c r="V568" s="24" t="n"/>
      <c r="Y568" s="24" t="n"/>
      <c r="Z568" s="24" t="n"/>
      <c r="AA568" s="24" t="n"/>
      <c r="AB568" s="24" t="n"/>
      <c r="AC568" s="24" t="n"/>
      <c r="AD568" s="24" t="n"/>
      <c r="AE568" s="24" t="n"/>
    </row>
    <row r="569">
      <c r="A569" s="114" t="n"/>
      <c r="B569" s="114" t="n"/>
      <c r="C569" s="114" t="n"/>
      <c r="D569" s="114" t="n"/>
      <c r="E569" s="114" t="n"/>
      <c r="F569" s="114" t="n"/>
      <c r="G569" s="24" t="n"/>
      <c r="V569" s="24" t="n"/>
      <c r="Y569" s="24" t="n"/>
      <c r="Z569" s="24" t="n"/>
      <c r="AA569" s="24" t="n"/>
      <c r="AB569" s="24" t="n"/>
      <c r="AC569" s="24" t="n"/>
      <c r="AD569" s="24" t="n"/>
      <c r="AE569" s="24" t="n"/>
    </row>
    <row r="570">
      <c r="A570" s="114" t="n"/>
      <c r="B570" s="114" t="n"/>
      <c r="C570" s="114" t="n"/>
      <c r="D570" s="114" t="n"/>
      <c r="E570" s="114" t="n"/>
      <c r="F570" s="114" t="n"/>
      <c r="G570" s="24" t="n"/>
      <c r="V570" s="24" t="n"/>
      <c r="Y570" s="24" t="n"/>
      <c r="Z570" s="24" t="n"/>
      <c r="AA570" s="24" t="n"/>
      <c r="AB570" s="24" t="n"/>
      <c r="AC570" s="24" t="n"/>
      <c r="AD570" s="24" t="n"/>
      <c r="AE570" s="24" t="n"/>
    </row>
    <row r="571">
      <c r="A571" s="114" t="n"/>
      <c r="B571" s="114" t="n"/>
      <c r="C571" s="114" t="n"/>
      <c r="D571" s="114" t="n"/>
      <c r="E571" s="114" t="n"/>
      <c r="F571" s="114" t="n"/>
      <c r="G571" s="24" t="n"/>
      <c r="V571" s="24" t="n"/>
      <c r="Y571" s="24" t="n"/>
      <c r="Z571" s="24" t="n"/>
      <c r="AA571" s="24" t="n"/>
      <c r="AB571" s="24" t="n"/>
      <c r="AC571" s="24" t="n"/>
      <c r="AD571" s="24" t="n"/>
      <c r="AE571" s="24" t="n"/>
    </row>
    <row r="572">
      <c r="A572" s="114" t="n"/>
      <c r="B572" s="114" t="n"/>
      <c r="C572" s="114" t="n"/>
      <c r="D572" s="114" t="n"/>
      <c r="E572" s="114" t="n"/>
      <c r="F572" s="114" t="n"/>
      <c r="G572" s="24" t="n"/>
      <c r="V572" s="24" t="n"/>
      <c r="Y572" s="24" t="n"/>
      <c r="Z572" s="24" t="n"/>
      <c r="AA572" s="24" t="n"/>
      <c r="AB572" s="24" t="n"/>
      <c r="AC572" s="24" t="n"/>
      <c r="AD572" s="24" t="n"/>
      <c r="AE572" s="24" t="n"/>
    </row>
    <row r="573">
      <c r="A573" s="114" t="n"/>
      <c r="B573" s="114" t="n"/>
      <c r="C573" s="114" t="n"/>
      <c r="D573" s="114" t="n"/>
      <c r="E573" s="114" t="n"/>
      <c r="F573" s="114" t="n"/>
      <c r="G573" s="24" t="n"/>
      <c r="V573" s="24" t="n"/>
      <c r="Y573" s="24" t="n"/>
      <c r="Z573" s="24" t="n"/>
      <c r="AA573" s="24" t="n"/>
      <c r="AB573" s="24" t="n"/>
      <c r="AC573" s="24" t="n"/>
      <c r="AD573" s="24" t="n"/>
      <c r="AE573" s="24" t="n"/>
    </row>
    <row r="574">
      <c r="A574" s="114" t="n"/>
      <c r="B574" s="114" t="n"/>
      <c r="C574" s="114" t="n"/>
      <c r="D574" s="114" t="n"/>
      <c r="E574" s="114" t="n"/>
      <c r="F574" s="114" t="n"/>
      <c r="G574" s="24" t="n"/>
      <c r="V574" s="24" t="n"/>
      <c r="Y574" s="24" t="n"/>
      <c r="Z574" s="24" t="n"/>
      <c r="AA574" s="24" t="n"/>
      <c r="AB574" s="24" t="n"/>
      <c r="AC574" s="24" t="n"/>
      <c r="AD574" s="24" t="n"/>
      <c r="AE574" s="24" t="n"/>
    </row>
    <row r="575">
      <c r="A575" s="114" t="n"/>
      <c r="B575" s="114" t="n"/>
      <c r="C575" s="114" t="n"/>
      <c r="D575" s="114" t="n"/>
      <c r="E575" s="114" t="n"/>
      <c r="F575" s="114" t="n"/>
      <c r="G575" s="24" t="n"/>
      <c r="V575" s="24" t="n"/>
      <c r="Y575" s="24" t="n"/>
      <c r="Z575" s="24" t="n"/>
      <c r="AA575" s="24" t="n"/>
      <c r="AB575" s="24" t="n"/>
      <c r="AC575" s="24" t="n"/>
      <c r="AD575" s="24" t="n"/>
      <c r="AE575" s="24" t="n"/>
    </row>
    <row r="576">
      <c r="A576" s="114" t="n"/>
      <c r="B576" s="114" t="n"/>
      <c r="C576" s="114" t="n"/>
      <c r="D576" s="114" t="n"/>
      <c r="E576" s="114" t="n"/>
      <c r="F576" s="114" t="n"/>
      <c r="G576" s="24" t="n"/>
      <c r="V576" s="24" t="n"/>
      <c r="Y576" s="24" t="n"/>
      <c r="Z576" s="24" t="n"/>
      <c r="AA576" s="24" t="n"/>
      <c r="AB576" s="24" t="n"/>
      <c r="AC576" s="24" t="n"/>
      <c r="AD576" s="24" t="n"/>
      <c r="AE576" s="24" t="n"/>
    </row>
    <row r="577">
      <c r="A577" s="114" t="n"/>
      <c r="B577" s="114" t="n"/>
      <c r="C577" s="114" t="n"/>
      <c r="D577" s="114" t="n"/>
      <c r="E577" s="114" t="n"/>
      <c r="F577" s="114" t="n"/>
      <c r="G577" s="24" t="n"/>
      <c r="V577" s="24" t="n"/>
      <c r="Y577" s="24" t="n"/>
      <c r="Z577" s="24" t="n"/>
      <c r="AA577" s="24" t="n"/>
      <c r="AB577" s="24" t="n"/>
      <c r="AC577" s="24" t="n"/>
      <c r="AD577" s="24" t="n"/>
      <c r="AE577" s="24" t="n"/>
    </row>
    <row r="578">
      <c r="A578" s="114" t="n"/>
      <c r="B578" s="114" t="n"/>
      <c r="C578" s="114" t="n"/>
      <c r="D578" s="114" t="n"/>
      <c r="E578" s="114" t="n"/>
      <c r="F578" s="114" t="n"/>
      <c r="G578" s="24" t="n"/>
      <c r="V578" s="24" t="n"/>
      <c r="Y578" s="24" t="n"/>
      <c r="Z578" s="24" t="n"/>
      <c r="AA578" s="24" t="n"/>
      <c r="AB578" s="24" t="n"/>
      <c r="AC578" s="24" t="n"/>
      <c r="AD578" s="24" t="n"/>
      <c r="AE578" s="24" t="n"/>
    </row>
    <row r="579">
      <c r="A579" s="114" t="n"/>
      <c r="B579" s="114" t="n"/>
      <c r="C579" s="114" t="n"/>
      <c r="D579" s="114" t="n"/>
      <c r="E579" s="114" t="n"/>
      <c r="F579" s="114" t="n"/>
      <c r="G579" s="24" t="n"/>
      <c r="V579" s="24" t="n"/>
      <c r="Y579" s="24" t="n"/>
      <c r="Z579" s="24" t="n"/>
      <c r="AA579" s="24" t="n"/>
      <c r="AB579" s="24" t="n"/>
      <c r="AC579" s="24" t="n"/>
      <c r="AD579" s="24" t="n"/>
      <c r="AE579" s="24" t="n"/>
    </row>
    <row r="580">
      <c r="A580" s="114" t="n"/>
      <c r="B580" s="114" t="n"/>
      <c r="C580" s="114" t="n"/>
      <c r="D580" s="114" t="n"/>
      <c r="E580" s="114" t="n"/>
      <c r="F580" s="114" t="n"/>
      <c r="G580" s="24" t="n"/>
      <c r="V580" s="24" t="n"/>
      <c r="Y580" s="24" t="n"/>
      <c r="Z580" s="24" t="n"/>
      <c r="AA580" s="24" t="n"/>
      <c r="AB580" s="24" t="n"/>
      <c r="AC580" s="24" t="n"/>
      <c r="AD580" s="24" t="n"/>
      <c r="AE580" s="24" t="n"/>
    </row>
    <row r="581">
      <c r="A581" s="114" t="n"/>
      <c r="B581" s="114" t="n"/>
      <c r="C581" s="114" t="n"/>
      <c r="D581" s="114" t="n"/>
      <c r="E581" s="114" t="n"/>
      <c r="F581" s="114" t="n"/>
      <c r="G581" s="24" t="n"/>
      <c r="V581" s="24" t="n"/>
      <c r="Y581" s="24" t="n"/>
      <c r="Z581" s="24" t="n"/>
      <c r="AA581" s="24" t="n"/>
      <c r="AB581" s="24" t="n"/>
      <c r="AC581" s="24" t="n"/>
      <c r="AD581" s="24" t="n"/>
      <c r="AE581" s="24" t="n"/>
    </row>
    <row r="582">
      <c r="A582" s="114" t="n"/>
      <c r="B582" s="114" t="n"/>
      <c r="C582" s="114" t="n"/>
      <c r="D582" s="114" t="n"/>
      <c r="E582" s="114" t="n"/>
      <c r="F582" s="114" t="n"/>
      <c r="G582" s="24" t="n"/>
      <c r="V582" s="24" t="n"/>
      <c r="Y582" s="24" t="n"/>
      <c r="Z582" s="24" t="n"/>
      <c r="AA582" s="24" t="n"/>
      <c r="AB582" s="24" t="n"/>
      <c r="AC582" s="24" t="n"/>
      <c r="AD582" s="24" t="n"/>
      <c r="AE582" s="24" t="n"/>
    </row>
    <row r="583">
      <c r="A583" s="114" t="n"/>
      <c r="B583" s="114" t="n"/>
      <c r="C583" s="114" t="n"/>
      <c r="D583" s="114" t="n"/>
      <c r="E583" s="114" t="n"/>
      <c r="F583" s="114" t="n"/>
      <c r="G583" s="24" t="n"/>
      <c r="V583" s="24" t="n"/>
      <c r="Y583" s="24" t="n"/>
      <c r="Z583" s="24" t="n"/>
      <c r="AA583" s="24" t="n"/>
      <c r="AB583" s="24" t="n"/>
      <c r="AC583" s="24" t="n"/>
      <c r="AD583" s="24" t="n"/>
      <c r="AE583" s="24" t="n"/>
    </row>
    <row r="584">
      <c r="A584" s="114" t="n"/>
      <c r="B584" s="114" t="n"/>
      <c r="C584" s="114" t="n"/>
      <c r="D584" s="114" t="n"/>
      <c r="E584" s="114" t="n"/>
      <c r="F584" s="114" t="n"/>
      <c r="G584" s="24" t="n"/>
      <c r="V584" s="24" t="n"/>
      <c r="Y584" s="24" t="n"/>
      <c r="Z584" s="24" t="n"/>
      <c r="AA584" s="24" t="n"/>
      <c r="AB584" s="24" t="n"/>
      <c r="AC584" s="24" t="n"/>
      <c r="AD584" s="24" t="n"/>
      <c r="AE584" s="24" t="n"/>
    </row>
    <row r="585">
      <c r="A585" s="114" t="n"/>
      <c r="B585" s="114" t="n"/>
      <c r="C585" s="114" t="n"/>
      <c r="D585" s="114" t="n"/>
      <c r="E585" s="114" t="n"/>
      <c r="F585" s="114" t="n"/>
      <c r="G585" s="24" t="n"/>
      <c r="V585" s="24" t="n"/>
      <c r="Y585" s="24" t="n"/>
      <c r="Z585" s="24" t="n"/>
      <c r="AA585" s="24" t="n"/>
      <c r="AB585" s="24" t="n"/>
      <c r="AC585" s="24" t="n"/>
      <c r="AD585" s="24" t="n"/>
      <c r="AE585" s="24" t="n"/>
    </row>
    <row r="586">
      <c r="A586" s="114" t="n"/>
      <c r="B586" s="114" t="n"/>
      <c r="C586" s="114" t="n"/>
      <c r="D586" s="114" t="n"/>
      <c r="E586" s="114" t="n"/>
      <c r="F586" s="114" t="n"/>
      <c r="G586" s="24" t="n"/>
      <c r="V586" s="24" t="n"/>
      <c r="Y586" s="24" t="n"/>
      <c r="Z586" s="24" t="n"/>
      <c r="AA586" s="24" t="n"/>
      <c r="AB586" s="24" t="n"/>
      <c r="AC586" s="24" t="n"/>
      <c r="AD586" s="24" t="n"/>
      <c r="AE586" s="24" t="n"/>
    </row>
    <row r="587">
      <c r="A587" s="114" t="n"/>
      <c r="B587" s="114" t="n"/>
      <c r="C587" s="114" t="n"/>
      <c r="D587" s="114" t="n"/>
      <c r="E587" s="114" t="n"/>
      <c r="F587" s="114" t="n"/>
      <c r="G587" s="24" t="n"/>
      <c r="V587" s="24" t="n"/>
      <c r="Y587" s="24" t="n"/>
      <c r="Z587" s="24" t="n"/>
      <c r="AA587" s="24" t="n"/>
      <c r="AB587" s="24" t="n"/>
      <c r="AC587" s="24" t="n"/>
      <c r="AD587" s="24" t="n"/>
      <c r="AE587" s="24" t="n"/>
    </row>
    <row r="588">
      <c r="A588" s="114" t="n"/>
      <c r="B588" s="114" t="n"/>
      <c r="C588" s="114" t="n"/>
      <c r="D588" s="114" t="n"/>
      <c r="E588" s="114" t="n"/>
      <c r="F588" s="114" t="n"/>
      <c r="G588" s="24" t="n"/>
      <c r="V588" s="24" t="n"/>
      <c r="Y588" s="24" t="n"/>
      <c r="Z588" s="24" t="n"/>
      <c r="AA588" s="24" t="n"/>
      <c r="AB588" s="24" t="n"/>
      <c r="AC588" s="24" t="n"/>
      <c r="AD588" s="24" t="n"/>
      <c r="AE588" s="24" t="n"/>
    </row>
    <row r="589">
      <c r="A589" s="114" t="n"/>
      <c r="B589" s="114" t="n"/>
      <c r="C589" s="114" t="n"/>
      <c r="D589" s="114" t="n"/>
      <c r="E589" s="114" t="n"/>
      <c r="F589" s="114" t="n"/>
      <c r="G589" s="24" t="n"/>
      <c r="V589" s="24" t="n"/>
      <c r="Y589" s="24" t="n"/>
      <c r="Z589" s="24" t="n"/>
      <c r="AA589" s="24" t="n"/>
      <c r="AB589" s="24" t="n"/>
      <c r="AC589" s="24" t="n"/>
      <c r="AD589" s="24" t="n"/>
      <c r="AE589" s="24" t="n"/>
    </row>
    <row r="590">
      <c r="A590" s="114" t="n"/>
      <c r="B590" s="114" t="n"/>
      <c r="C590" s="114" t="n"/>
      <c r="D590" s="114" t="n"/>
      <c r="E590" s="114" t="n"/>
      <c r="F590" s="114" t="n"/>
      <c r="G590" s="24" t="n"/>
      <c r="V590" s="24" t="n"/>
      <c r="Y590" s="24" t="n"/>
      <c r="Z590" s="24" t="n"/>
      <c r="AA590" s="24" t="n"/>
      <c r="AB590" s="24" t="n"/>
      <c r="AC590" s="24" t="n"/>
      <c r="AD590" s="24" t="n"/>
      <c r="AE590" s="24" t="n"/>
    </row>
    <row r="591">
      <c r="A591" s="114" t="n"/>
      <c r="B591" s="114" t="n"/>
      <c r="C591" s="114" t="n"/>
      <c r="D591" s="114" t="n"/>
      <c r="E591" s="114" t="n"/>
      <c r="F591" s="114" t="n"/>
      <c r="G591" s="24" t="n"/>
      <c r="V591" s="24" t="n"/>
      <c r="Y591" s="24" t="n"/>
      <c r="Z591" s="24" t="n"/>
      <c r="AA591" s="24" t="n"/>
      <c r="AB591" s="24" t="n"/>
      <c r="AC591" s="24" t="n"/>
      <c r="AD591" s="24" t="n"/>
      <c r="AE591" s="24" t="n"/>
    </row>
    <row r="592">
      <c r="A592" s="114" t="n"/>
      <c r="B592" s="114" t="n"/>
      <c r="C592" s="114" t="n"/>
      <c r="D592" s="114" t="n"/>
      <c r="E592" s="114" t="n"/>
      <c r="F592" s="114" t="n"/>
      <c r="G592" s="24" t="n"/>
      <c r="V592" s="24" t="n"/>
      <c r="Y592" s="24" t="n"/>
      <c r="Z592" s="24" t="n"/>
      <c r="AA592" s="24" t="n"/>
      <c r="AB592" s="24" t="n"/>
      <c r="AC592" s="24" t="n"/>
      <c r="AD592" s="24" t="n"/>
      <c r="AE592" s="24" t="n"/>
    </row>
    <row r="593">
      <c r="A593" s="114" t="n"/>
      <c r="B593" s="114" t="n"/>
      <c r="C593" s="114" t="n"/>
      <c r="D593" s="114" t="n"/>
      <c r="E593" s="114" t="n"/>
      <c r="F593" s="114" t="n"/>
      <c r="G593" s="24" t="n"/>
      <c r="V593" s="24" t="n"/>
      <c r="Y593" s="24" t="n"/>
      <c r="Z593" s="24" t="n"/>
      <c r="AA593" s="24" t="n"/>
      <c r="AB593" s="24" t="n"/>
      <c r="AC593" s="24" t="n"/>
      <c r="AD593" s="24" t="n"/>
      <c r="AE593" s="24" t="n"/>
    </row>
    <row r="594">
      <c r="A594" s="114" t="n"/>
      <c r="B594" s="114" t="n"/>
      <c r="C594" s="114" t="n"/>
      <c r="D594" s="114" t="n"/>
      <c r="E594" s="114" t="n"/>
      <c r="F594" s="114" t="n"/>
      <c r="G594" s="24" t="n"/>
      <c r="V594" s="24" t="n"/>
      <c r="Y594" s="24" t="n"/>
      <c r="Z594" s="24" t="n"/>
      <c r="AA594" s="24" t="n"/>
      <c r="AB594" s="24" t="n"/>
      <c r="AC594" s="24" t="n"/>
      <c r="AD594" s="24" t="n"/>
      <c r="AE594" s="24" t="n"/>
    </row>
    <row r="595">
      <c r="A595" s="114" t="n"/>
      <c r="B595" s="114" t="n"/>
      <c r="C595" s="114" t="n"/>
      <c r="D595" s="114" t="n"/>
      <c r="E595" s="114" t="n"/>
      <c r="F595" s="114" t="n"/>
      <c r="G595" s="24" t="n"/>
      <c r="V595" s="24" t="n"/>
      <c r="Y595" s="24" t="n"/>
      <c r="Z595" s="24" t="n"/>
      <c r="AA595" s="24" t="n"/>
      <c r="AB595" s="24" t="n"/>
      <c r="AC595" s="24" t="n"/>
      <c r="AD595" s="24" t="n"/>
      <c r="AE595" s="24" t="n"/>
    </row>
    <row r="596">
      <c r="A596" s="114" t="n"/>
      <c r="B596" s="114" t="n"/>
      <c r="C596" s="114" t="n"/>
      <c r="D596" s="114" t="n"/>
      <c r="E596" s="114" t="n"/>
      <c r="F596" s="114" t="n"/>
      <c r="G596" s="24" t="n"/>
      <c r="V596" s="24" t="n"/>
      <c r="Y596" s="24" t="n"/>
      <c r="Z596" s="24" t="n"/>
      <c r="AA596" s="24" t="n"/>
      <c r="AB596" s="24" t="n"/>
      <c r="AC596" s="24" t="n"/>
      <c r="AD596" s="24" t="n"/>
      <c r="AE596" s="24" t="n"/>
    </row>
    <row r="597">
      <c r="A597" s="114" t="n"/>
      <c r="B597" s="114" t="n"/>
      <c r="C597" s="114" t="n"/>
      <c r="D597" s="114" t="n"/>
      <c r="E597" s="114" t="n"/>
      <c r="F597" s="114" t="n"/>
      <c r="G597" s="24" t="n"/>
      <c r="V597" s="24" t="n"/>
      <c r="Y597" s="24" t="n"/>
      <c r="Z597" s="24" t="n"/>
      <c r="AA597" s="24" t="n"/>
      <c r="AB597" s="24" t="n"/>
      <c r="AC597" s="24" t="n"/>
      <c r="AD597" s="24" t="n"/>
      <c r="AE597" s="24" t="n"/>
    </row>
    <row r="598">
      <c r="A598" s="114" t="n"/>
      <c r="B598" s="114" t="n"/>
      <c r="C598" s="114" t="n"/>
      <c r="D598" s="114" t="n"/>
      <c r="E598" s="114" t="n"/>
      <c r="F598" s="114" t="n"/>
      <c r="G598" s="24" t="n"/>
      <c r="V598" s="24" t="n"/>
      <c r="Y598" s="24" t="n"/>
      <c r="Z598" s="24" t="n"/>
      <c r="AA598" s="24" t="n"/>
      <c r="AB598" s="24" t="n"/>
      <c r="AC598" s="24" t="n"/>
      <c r="AD598" s="24" t="n"/>
      <c r="AE598" s="24" t="n"/>
    </row>
    <row r="599">
      <c r="A599" s="114" t="n"/>
      <c r="B599" s="114" t="n"/>
      <c r="C599" s="114" t="n"/>
      <c r="D599" s="114" t="n"/>
      <c r="E599" s="114" t="n"/>
      <c r="F599" s="114" t="n"/>
      <c r="G599" s="24" t="n"/>
      <c r="V599" s="24" t="n"/>
      <c r="Y599" s="24" t="n"/>
      <c r="Z599" s="24" t="n"/>
      <c r="AA599" s="24" t="n"/>
      <c r="AB599" s="24" t="n"/>
      <c r="AC599" s="24" t="n"/>
      <c r="AD599" s="24" t="n"/>
      <c r="AE599" s="24" t="n"/>
    </row>
    <row r="600">
      <c r="A600" s="114" t="n"/>
      <c r="B600" s="114" t="n"/>
      <c r="C600" s="114" t="n"/>
      <c r="D600" s="114" t="n"/>
      <c r="E600" s="114" t="n"/>
      <c r="F600" s="114" t="n"/>
      <c r="G600" s="24" t="n"/>
      <c r="V600" s="24" t="n"/>
      <c r="Y600" s="24" t="n"/>
      <c r="Z600" s="24" t="n"/>
      <c r="AA600" s="24" t="n"/>
      <c r="AB600" s="24" t="n"/>
      <c r="AC600" s="24" t="n"/>
      <c r="AD600" s="24" t="n"/>
      <c r="AE600" s="24" t="n"/>
    </row>
    <row r="601">
      <c r="A601" s="114" t="n"/>
      <c r="B601" s="114" t="n"/>
      <c r="C601" s="114" t="n"/>
      <c r="D601" s="114" t="n"/>
      <c r="E601" s="114" t="n"/>
      <c r="F601" s="114" t="n"/>
      <c r="G601" s="24" t="n"/>
      <c r="V601" s="24" t="n"/>
      <c r="Y601" s="24" t="n"/>
      <c r="Z601" s="24" t="n"/>
      <c r="AA601" s="24" t="n"/>
      <c r="AB601" s="24" t="n"/>
      <c r="AC601" s="24" t="n"/>
      <c r="AD601" s="24" t="n"/>
      <c r="AE601" s="24" t="n"/>
    </row>
    <row r="602">
      <c r="A602" s="114" t="n"/>
      <c r="B602" s="114" t="n"/>
      <c r="C602" s="114" t="n"/>
      <c r="D602" s="114" t="n"/>
      <c r="E602" s="114" t="n"/>
      <c r="F602" s="114" t="n"/>
      <c r="G602" s="24" t="n"/>
      <c r="V602" s="24" t="n"/>
      <c r="Y602" s="24" t="n"/>
      <c r="Z602" s="24" t="n"/>
      <c r="AA602" s="24" t="n"/>
      <c r="AB602" s="24" t="n"/>
      <c r="AC602" s="24" t="n"/>
      <c r="AD602" s="24" t="n"/>
      <c r="AE602" s="24" t="n"/>
    </row>
    <row r="603">
      <c r="A603" s="114" t="n"/>
      <c r="B603" s="114" t="n"/>
      <c r="C603" s="114" t="n"/>
      <c r="D603" s="114" t="n"/>
      <c r="E603" s="114" t="n"/>
      <c r="F603" s="114" t="n"/>
      <c r="G603" s="24" t="n"/>
      <c r="V603" s="24" t="n"/>
      <c r="Y603" s="24" t="n"/>
      <c r="Z603" s="24" t="n"/>
      <c r="AA603" s="24" t="n"/>
      <c r="AB603" s="24" t="n"/>
      <c r="AC603" s="24" t="n"/>
      <c r="AD603" s="24" t="n"/>
      <c r="AE603" s="24" t="n"/>
    </row>
    <row r="604">
      <c r="A604" s="114" t="n"/>
      <c r="B604" s="114" t="n"/>
      <c r="C604" s="114" t="n"/>
      <c r="D604" s="114" t="n"/>
      <c r="E604" s="114" t="n"/>
      <c r="F604" s="114" t="n"/>
      <c r="G604" s="24" t="n"/>
      <c r="V604" s="24" t="n"/>
      <c r="Y604" s="24" t="n"/>
      <c r="Z604" s="24" t="n"/>
      <c r="AA604" s="24" t="n"/>
      <c r="AB604" s="24" t="n"/>
      <c r="AC604" s="24" t="n"/>
      <c r="AD604" s="24" t="n"/>
      <c r="AE604" s="24" t="n"/>
    </row>
    <row r="605">
      <c r="A605" s="114" t="n"/>
      <c r="B605" s="114" t="n"/>
      <c r="C605" s="114" t="n"/>
      <c r="D605" s="114" t="n"/>
      <c r="E605" s="114" t="n"/>
      <c r="F605" s="114" t="n"/>
      <c r="G605" s="24" t="n"/>
      <c r="V605" s="24" t="n"/>
      <c r="Y605" s="24" t="n"/>
      <c r="Z605" s="24" t="n"/>
      <c r="AA605" s="24" t="n"/>
      <c r="AB605" s="24" t="n"/>
      <c r="AC605" s="24" t="n"/>
      <c r="AD605" s="24" t="n"/>
      <c r="AE605" s="24" t="n"/>
    </row>
    <row r="606">
      <c r="A606" s="114" t="n"/>
      <c r="B606" s="114" t="n"/>
      <c r="C606" s="114" t="n"/>
      <c r="D606" s="114" t="n"/>
      <c r="E606" s="114" t="n"/>
      <c r="F606" s="114" t="n"/>
      <c r="G606" s="24" t="n"/>
      <c r="V606" s="24" t="n"/>
      <c r="Y606" s="24" t="n"/>
      <c r="Z606" s="24" t="n"/>
      <c r="AA606" s="24" t="n"/>
      <c r="AB606" s="24" t="n"/>
      <c r="AC606" s="24" t="n"/>
      <c r="AD606" s="24" t="n"/>
      <c r="AE606" s="24" t="n"/>
    </row>
    <row r="607">
      <c r="A607" s="114" t="n"/>
      <c r="B607" s="114" t="n"/>
      <c r="C607" s="114" t="n"/>
      <c r="D607" s="114" t="n"/>
      <c r="E607" s="114" t="n"/>
      <c r="F607" s="114" t="n"/>
      <c r="G607" s="24" t="n"/>
      <c r="V607" s="24" t="n"/>
      <c r="Y607" s="24" t="n"/>
      <c r="Z607" s="24" t="n"/>
      <c r="AA607" s="24" t="n"/>
      <c r="AB607" s="24" t="n"/>
      <c r="AC607" s="24" t="n"/>
      <c r="AD607" s="24" t="n"/>
      <c r="AE607" s="24" t="n"/>
    </row>
    <row r="608">
      <c r="A608" s="114" t="n"/>
      <c r="B608" s="114" t="n"/>
      <c r="C608" s="114" t="n"/>
      <c r="D608" s="114" t="n"/>
      <c r="E608" s="114" t="n"/>
      <c r="F608" s="114" t="n"/>
      <c r="G608" s="24" t="n"/>
      <c r="V608" s="24" t="n"/>
      <c r="Y608" s="24" t="n"/>
      <c r="Z608" s="24" t="n"/>
      <c r="AA608" s="24" t="n"/>
      <c r="AB608" s="24" t="n"/>
      <c r="AC608" s="24" t="n"/>
      <c r="AD608" s="24" t="n"/>
      <c r="AE608" s="24" t="n"/>
    </row>
    <row r="609">
      <c r="A609" s="114" t="n"/>
      <c r="B609" s="114" t="n"/>
      <c r="C609" s="114" t="n"/>
      <c r="D609" s="114" t="n"/>
      <c r="E609" s="114" t="n"/>
      <c r="F609" s="114" t="n"/>
      <c r="G609" s="24" t="n"/>
      <c r="V609" s="24" t="n"/>
      <c r="Y609" s="24" t="n"/>
      <c r="Z609" s="24" t="n"/>
      <c r="AA609" s="24" t="n"/>
      <c r="AB609" s="24" t="n"/>
      <c r="AC609" s="24" t="n"/>
      <c r="AD609" s="24" t="n"/>
      <c r="AE609" s="24" t="n"/>
    </row>
    <row r="610">
      <c r="A610" s="114" t="n"/>
      <c r="B610" s="114" t="n"/>
      <c r="C610" s="114" t="n"/>
      <c r="D610" s="114" t="n"/>
      <c r="E610" s="114" t="n"/>
      <c r="F610" s="114" t="n"/>
      <c r="G610" s="24" t="n"/>
      <c r="V610" s="24" t="n"/>
      <c r="Y610" s="24" t="n"/>
      <c r="Z610" s="24" t="n"/>
      <c r="AA610" s="24" t="n"/>
      <c r="AB610" s="24" t="n"/>
      <c r="AC610" s="24" t="n"/>
      <c r="AD610" s="24" t="n"/>
      <c r="AE610" s="24" t="n"/>
    </row>
    <row r="611">
      <c r="A611" s="114" t="n"/>
      <c r="B611" s="114" t="n"/>
      <c r="C611" s="114" t="n"/>
      <c r="D611" s="114" t="n"/>
      <c r="E611" s="114" t="n"/>
      <c r="F611" s="114" t="n"/>
      <c r="G611" s="24" t="n"/>
      <c r="V611" s="24" t="n"/>
      <c r="Y611" s="24" t="n"/>
      <c r="Z611" s="24" t="n"/>
      <c r="AA611" s="24" t="n"/>
      <c r="AB611" s="24" t="n"/>
      <c r="AC611" s="24" t="n"/>
      <c r="AD611" s="24" t="n"/>
      <c r="AE611" s="24" t="n"/>
    </row>
    <row r="612">
      <c r="A612" s="114" t="n"/>
      <c r="B612" s="114" t="n"/>
      <c r="C612" s="114" t="n"/>
      <c r="D612" s="114" t="n"/>
      <c r="E612" s="114" t="n"/>
      <c r="F612" s="114" t="n"/>
      <c r="G612" s="24" t="n"/>
      <c r="V612" s="24" t="n"/>
      <c r="Y612" s="24" t="n"/>
      <c r="Z612" s="24" t="n"/>
      <c r="AA612" s="24" t="n"/>
      <c r="AB612" s="24" t="n"/>
      <c r="AC612" s="24" t="n"/>
      <c r="AD612" s="24" t="n"/>
      <c r="AE612" s="24" t="n"/>
    </row>
    <row r="613">
      <c r="A613" s="114" t="n"/>
      <c r="B613" s="114" t="n"/>
      <c r="C613" s="114" t="n"/>
      <c r="D613" s="114" t="n"/>
      <c r="E613" s="114" t="n"/>
      <c r="F613" s="114" t="n"/>
      <c r="G613" s="24" t="n"/>
      <c r="V613" s="24" t="n"/>
      <c r="Y613" s="24" t="n"/>
      <c r="Z613" s="24" t="n"/>
      <c r="AA613" s="24" t="n"/>
      <c r="AB613" s="24" t="n"/>
      <c r="AC613" s="24" t="n"/>
      <c r="AD613" s="24" t="n"/>
      <c r="AE613" s="24" t="n"/>
    </row>
    <row r="614">
      <c r="A614" s="114" t="n"/>
      <c r="B614" s="114" t="n"/>
      <c r="C614" s="114" t="n"/>
      <c r="D614" s="114" t="n"/>
      <c r="E614" s="114" t="n"/>
      <c r="F614" s="114" t="n"/>
      <c r="G614" s="24" t="n"/>
      <c r="V614" s="24" t="n"/>
      <c r="Y614" s="24" t="n"/>
      <c r="Z614" s="24" t="n"/>
      <c r="AA614" s="24" t="n"/>
      <c r="AB614" s="24" t="n"/>
      <c r="AC614" s="24" t="n"/>
      <c r="AD614" s="24" t="n"/>
      <c r="AE614" s="24" t="n"/>
    </row>
    <row r="615">
      <c r="A615" s="114" t="n"/>
      <c r="B615" s="114" t="n"/>
      <c r="C615" s="114" t="n"/>
      <c r="D615" s="114" t="n"/>
      <c r="E615" s="114" t="n"/>
      <c r="F615" s="114" t="n"/>
      <c r="G615" s="24" t="n"/>
      <c r="V615" s="24" t="n"/>
      <c r="Y615" s="24" t="n"/>
      <c r="Z615" s="24" t="n"/>
      <c r="AA615" s="24" t="n"/>
      <c r="AB615" s="24" t="n"/>
      <c r="AC615" s="24" t="n"/>
      <c r="AD615" s="24" t="n"/>
      <c r="AE615" s="24" t="n"/>
    </row>
    <row r="616">
      <c r="A616" s="114" t="n"/>
      <c r="B616" s="114" t="n"/>
      <c r="C616" s="114" t="n"/>
      <c r="D616" s="114" t="n"/>
      <c r="E616" s="114" t="n"/>
      <c r="F616" s="114" t="n"/>
      <c r="G616" s="24" t="n"/>
      <c r="V616" s="24" t="n"/>
      <c r="Y616" s="24" t="n"/>
      <c r="Z616" s="24" t="n"/>
      <c r="AA616" s="24" t="n"/>
      <c r="AB616" s="24" t="n"/>
      <c r="AC616" s="24" t="n"/>
      <c r="AD616" s="24" t="n"/>
      <c r="AE616" s="24" t="n"/>
    </row>
    <row r="617">
      <c r="A617" s="114" t="n"/>
      <c r="B617" s="114" t="n"/>
      <c r="C617" s="114" t="n"/>
      <c r="D617" s="114" t="n"/>
      <c r="E617" s="114" t="n"/>
      <c r="F617" s="114" t="n"/>
      <c r="G617" s="24" t="n"/>
      <c r="V617" s="24" t="n"/>
      <c r="Y617" s="24" t="n"/>
      <c r="Z617" s="24" t="n"/>
      <c r="AA617" s="24" t="n"/>
      <c r="AB617" s="24" t="n"/>
      <c r="AC617" s="24" t="n"/>
      <c r="AD617" s="24" t="n"/>
      <c r="AE617" s="24" t="n"/>
    </row>
    <row r="618">
      <c r="A618" s="114" t="n"/>
      <c r="B618" s="114" t="n"/>
      <c r="C618" s="114" t="n"/>
      <c r="D618" s="114" t="n"/>
      <c r="E618" s="114" t="n"/>
      <c r="F618" s="114" t="n"/>
      <c r="G618" s="24" t="n"/>
      <c r="V618" s="24" t="n"/>
      <c r="Y618" s="24" t="n"/>
      <c r="Z618" s="24" t="n"/>
      <c r="AA618" s="24" t="n"/>
      <c r="AB618" s="24" t="n"/>
      <c r="AC618" s="24" t="n"/>
      <c r="AD618" s="24" t="n"/>
      <c r="AE618" s="24" t="n"/>
    </row>
    <row r="619">
      <c r="A619" s="114" t="n"/>
      <c r="B619" s="114" t="n"/>
      <c r="C619" s="114" t="n"/>
      <c r="D619" s="114" t="n"/>
      <c r="E619" s="114" t="n"/>
      <c r="F619" s="114" t="n"/>
      <c r="G619" s="24" t="n"/>
      <c r="V619" s="24" t="n"/>
      <c r="Y619" s="24" t="n"/>
      <c r="Z619" s="24" t="n"/>
      <c r="AA619" s="24" t="n"/>
      <c r="AB619" s="24" t="n"/>
      <c r="AC619" s="24" t="n"/>
      <c r="AD619" s="24" t="n"/>
      <c r="AE619" s="24" t="n"/>
    </row>
    <row r="620">
      <c r="A620" s="114" t="n"/>
      <c r="B620" s="114" t="n"/>
      <c r="C620" s="114" t="n"/>
      <c r="D620" s="114" t="n"/>
      <c r="E620" s="114" t="n"/>
      <c r="F620" s="114" t="n"/>
      <c r="G620" s="24" t="n"/>
      <c r="V620" s="24" t="n"/>
      <c r="Y620" s="24" t="n"/>
      <c r="Z620" s="24" t="n"/>
      <c r="AA620" s="24" t="n"/>
      <c r="AB620" s="24" t="n"/>
      <c r="AC620" s="24" t="n"/>
      <c r="AD620" s="24" t="n"/>
      <c r="AE620" s="24" t="n"/>
    </row>
    <row r="621">
      <c r="A621" s="114" t="n"/>
      <c r="B621" s="114" t="n"/>
      <c r="C621" s="114" t="n"/>
      <c r="D621" s="114" t="n"/>
      <c r="E621" s="114" t="n"/>
      <c r="F621" s="114" t="n"/>
      <c r="G621" s="24" t="n"/>
      <c r="V621" s="24" t="n"/>
      <c r="Y621" s="24" t="n"/>
      <c r="Z621" s="24" t="n"/>
      <c r="AA621" s="24" t="n"/>
      <c r="AB621" s="24" t="n"/>
      <c r="AC621" s="24" t="n"/>
      <c r="AD621" s="24" t="n"/>
      <c r="AE621" s="24" t="n"/>
    </row>
    <row r="622">
      <c r="A622" s="114" t="n"/>
      <c r="B622" s="114" t="n"/>
      <c r="C622" s="114" t="n"/>
      <c r="D622" s="114" t="n"/>
      <c r="E622" s="114" t="n"/>
      <c r="F622" s="114" t="n"/>
      <c r="G622" s="24" t="n"/>
      <c r="V622" s="24" t="n"/>
      <c r="Y622" s="24" t="n"/>
      <c r="Z622" s="24" t="n"/>
      <c r="AA622" s="24" t="n"/>
      <c r="AB622" s="24" t="n"/>
      <c r="AC622" s="24" t="n"/>
      <c r="AD622" s="24" t="n"/>
      <c r="AE622" s="24" t="n"/>
    </row>
    <row r="623">
      <c r="A623" s="114" t="n"/>
      <c r="B623" s="114" t="n"/>
      <c r="C623" s="114" t="n"/>
      <c r="D623" s="114" t="n"/>
      <c r="E623" s="114" t="n"/>
      <c r="F623" s="114" t="n"/>
      <c r="G623" s="24" t="n"/>
      <c r="V623" s="24" t="n"/>
      <c r="Y623" s="24" t="n"/>
      <c r="Z623" s="24" t="n"/>
      <c r="AA623" s="24" t="n"/>
      <c r="AB623" s="24" t="n"/>
      <c r="AC623" s="24" t="n"/>
      <c r="AD623" s="24" t="n"/>
      <c r="AE623" s="24" t="n"/>
    </row>
    <row r="624">
      <c r="A624" s="114" t="n"/>
      <c r="B624" s="114" t="n"/>
      <c r="C624" s="114" t="n"/>
      <c r="D624" s="114" t="n"/>
      <c r="E624" s="114" t="n"/>
      <c r="F624" s="114" t="n"/>
      <c r="G624" s="24" t="n"/>
      <c r="V624" s="24" t="n"/>
      <c r="Y624" s="24" t="n"/>
      <c r="Z624" s="24" t="n"/>
      <c r="AA624" s="24" t="n"/>
      <c r="AB624" s="24" t="n"/>
      <c r="AC624" s="24" t="n"/>
      <c r="AD624" s="24" t="n"/>
      <c r="AE624" s="24" t="n"/>
    </row>
    <row r="625">
      <c r="A625" s="114" t="n"/>
      <c r="B625" s="114" t="n"/>
      <c r="C625" s="114" t="n"/>
      <c r="D625" s="114" t="n"/>
      <c r="E625" s="114" t="n"/>
      <c r="F625" s="114" t="n"/>
      <c r="G625" s="24" t="n"/>
      <c r="V625" s="24" t="n"/>
      <c r="Y625" s="24" t="n"/>
      <c r="Z625" s="24" t="n"/>
      <c r="AA625" s="24" t="n"/>
      <c r="AB625" s="24" t="n"/>
      <c r="AC625" s="24" t="n"/>
      <c r="AD625" s="24" t="n"/>
      <c r="AE625" s="24" t="n"/>
    </row>
    <row r="626">
      <c r="A626" s="114" t="n"/>
      <c r="B626" s="114" t="n"/>
      <c r="C626" s="114" t="n"/>
      <c r="D626" s="114" t="n"/>
      <c r="E626" s="114" t="n"/>
      <c r="F626" s="114" t="n"/>
      <c r="G626" s="24" t="n"/>
      <c r="V626" s="24" t="n"/>
      <c r="Y626" s="24" t="n"/>
      <c r="Z626" s="24" t="n"/>
      <c r="AA626" s="24" t="n"/>
      <c r="AB626" s="24" t="n"/>
      <c r="AC626" s="24" t="n"/>
      <c r="AD626" s="24" t="n"/>
      <c r="AE626" s="24" t="n"/>
    </row>
    <row r="627">
      <c r="A627" s="114" t="n"/>
      <c r="B627" s="114" t="n"/>
      <c r="C627" s="114" t="n"/>
      <c r="D627" s="114" t="n"/>
      <c r="E627" s="114" t="n"/>
      <c r="F627" s="114" t="n"/>
      <c r="G627" s="24" t="n"/>
      <c r="V627" s="24" t="n"/>
      <c r="Y627" s="24" t="n"/>
      <c r="Z627" s="24" t="n"/>
      <c r="AA627" s="24" t="n"/>
      <c r="AB627" s="24" t="n"/>
      <c r="AC627" s="24" t="n"/>
      <c r="AD627" s="24" t="n"/>
      <c r="AE627" s="24" t="n"/>
    </row>
    <row r="628">
      <c r="A628" s="114" t="n"/>
      <c r="B628" s="114" t="n"/>
      <c r="C628" s="114" t="n"/>
      <c r="D628" s="114" t="n"/>
      <c r="E628" s="114" t="n"/>
      <c r="F628" s="114" t="n"/>
      <c r="G628" s="24" t="n"/>
      <c r="V628" s="24" t="n"/>
      <c r="Y628" s="24" t="n"/>
      <c r="Z628" s="24" t="n"/>
      <c r="AA628" s="24" t="n"/>
      <c r="AB628" s="24" t="n"/>
      <c r="AC628" s="24" t="n"/>
      <c r="AD628" s="24" t="n"/>
      <c r="AE628" s="24" t="n"/>
    </row>
    <row r="629">
      <c r="A629" s="114" t="n"/>
      <c r="B629" s="114" t="n"/>
      <c r="C629" s="114" t="n"/>
      <c r="D629" s="114" t="n"/>
      <c r="E629" s="114" t="n"/>
      <c r="F629" s="114" t="n"/>
      <c r="G629" s="24" t="n"/>
      <c r="V629" s="24" t="n"/>
      <c r="Y629" s="24" t="n"/>
      <c r="Z629" s="24" t="n"/>
      <c r="AA629" s="24" t="n"/>
      <c r="AB629" s="24" t="n"/>
      <c r="AC629" s="24" t="n"/>
      <c r="AD629" s="24" t="n"/>
      <c r="AE629" s="24" t="n"/>
    </row>
    <row r="630">
      <c r="A630" s="114" t="n"/>
      <c r="B630" s="114" t="n"/>
      <c r="C630" s="114" t="n"/>
      <c r="D630" s="114" t="n"/>
      <c r="E630" s="114" t="n"/>
      <c r="F630" s="114" t="n"/>
      <c r="G630" s="24" t="n"/>
      <c r="V630" s="24" t="n"/>
      <c r="Y630" s="24" t="n"/>
      <c r="Z630" s="24" t="n"/>
      <c r="AA630" s="24" t="n"/>
      <c r="AB630" s="24" t="n"/>
      <c r="AC630" s="24" t="n"/>
      <c r="AD630" s="24" t="n"/>
      <c r="AE630" s="24" t="n"/>
    </row>
    <row r="631">
      <c r="A631" s="114" t="n"/>
      <c r="B631" s="114" t="n"/>
      <c r="C631" s="114" t="n"/>
      <c r="D631" s="114" t="n"/>
      <c r="E631" s="114" t="n"/>
      <c r="F631" s="114" t="n"/>
      <c r="G631" s="24" t="n"/>
      <c r="V631" s="24" t="n"/>
      <c r="Y631" s="24" t="n"/>
      <c r="Z631" s="24" t="n"/>
      <c r="AA631" s="24" t="n"/>
      <c r="AB631" s="24" t="n"/>
      <c r="AC631" s="24" t="n"/>
      <c r="AD631" s="24" t="n"/>
      <c r="AE631" s="24" t="n"/>
    </row>
    <row r="632">
      <c r="A632" s="114" t="n"/>
      <c r="B632" s="114" t="n"/>
      <c r="C632" s="114" t="n"/>
      <c r="D632" s="114" t="n"/>
      <c r="E632" s="114" t="n"/>
      <c r="F632" s="114" t="n"/>
      <c r="G632" s="24" t="n"/>
      <c r="V632" s="24" t="n"/>
      <c r="Y632" s="24" t="n"/>
      <c r="Z632" s="24" t="n"/>
      <c r="AA632" s="24" t="n"/>
      <c r="AB632" s="24" t="n"/>
      <c r="AC632" s="24" t="n"/>
      <c r="AD632" s="24" t="n"/>
      <c r="AE632" s="24" t="n"/>
    </row>
    <row r="633">
      <c r="A633" s="114" t="n"/>
      <c r="B633" s="114" t="n"/>
      <c r="C633" s="114" t="n"/>
      <c r="D633" s="114" t="n"/>
      <c r="E633" s="114" t="n"/>
      <c r="F633" s="114" t="n"/>
      <c r="G633" s="24" t="n"/>
      <c r="V633" s="24" t="n"/>
      <c r="Y633" s="24" t="n"/>
      <c r="Z633" s="24" t="n"/>
      <c r="AA633" s="24" t="n"/>
      <c r="AB633" s="24" t="n"/>
      <c r="AC633" s="24" t="n"/>
      <c r="AD633" s="24" t="n"/>
      <c r="AE633" s="24" t="n"/>
    </row>
    <row r="634">
      <c r="A634" s="114" t="n"/>
      <c r="B634" s="114" t="n"/>
      <c r="C634" s="114" t="n"/>
      <c r="D634" s="114" t="n"/>
      <c r="E634" s="114" t="n"/>
      <c r="F634" s="114" t="n"/>
      <c r="G634" s="24" t="n"/>
      <c r="V634" s="24" t="n"/>
      <c r="Y634" s="24" t="n"/>
      <c r="Z634" s="24" t="n"/>
      <c r="AA634" s="24" t="n"/>
      <c r="AB634" s="24" t="n"/>
      <c r="AC634" s="24" t="n"/>
      <c r="AD634" s="24" t="n"/>
      <c r="AE634" s="24" t="n"/>
    </row>
    <row r="635">
      <c r="A635" s="114" t="n"/>
      <c r="B635" s="114" t="n"/>
      <c r="C635" s="114" t="n"/>
      <c r="D635" s="114" t="n"/>
      <c r="E635" s="114" t="n"/>
      <c r="F635" s="114" t="n"/>
      <c r="G635" s="24" t="n"/>
      <c r="V635" s="24" t="n"/>
      <c r="Y635" s="24" t="n"/>
      <c r="Z635" s="24" t="n"/>
      <c r="AA635" s="24" t="n"/>
      <c r="AB635" s="24" t="n"/>
      <c r="AC635" s="24" t="n"/>
      <c r="AD635" s="24" t="n"/>
      <c r="AE635" s="24" t="n"/>
    </row>
    <row r="636">
      <c r="A636" s="114" t="n"/>
      <c r="B636" s="114" t="n"/>
      <c r="C636" s="114" t="n"/>
      <c r="D636" s="114" t="n"/>
      <c r="E636" s="114" t="n"/>
      <c r="F636" s="114" t="n"/>
      <c r="G636" s="24" t="n"/>
      <c r="V636" s="24" t="n"/>
      <c r="Y636" s="24" t="n"/>
      <c r="Z636" s="24" t="n"/>
      <c r="AA636" s="24" t="n"/>
      <c r="AB636" s="24" t="n"/>
      <c r="AC636" s="24" t="n"/>
      <c r="AD636" s="24" t="n"/>
      <c r="AE636" s="24" t="n"/>
    </row>
    <row r="637">
      <c r="A637" s="114" t="n"/>
      <c r="B637" s="114" t="n"/>
      <c r="C637" s="114" t="n"/>
      <c r="D637" s="114" t="n"/>
      <c r="E637" s="114" t="n"/>
      <c r="F637" s="114" t="n"/>
      <c r="G637" s="24" t="n"/>
      <c r="V637" s="24" t="n"/>
      <c r="Y637" s="24" t="n"/>
      <c r="Z637" s="24" t="n"/>
      <c r="AA637" s="24" t="n"/>
      <c r="AB637" s="24" t="n"/>
      <c r="AC637" s="24" t="n"/>
      <c r="AD637" s="24" t="n"/>
      <c r="AE637" s="24" t="n"/>
    </row>
    <row r="638">
      <c r="A638" s="114" t="n"/>
      <c r="B638" s="114" t="n"/>
      <c r="C638" s="114" t="n"/>
      <c r="D638" s="114" t="n"/>
      <c r="E638" s="114" t="n"/>
      <c r="F638" s="114" t="n"/>
      <c r="G638" s="24" t="n"/>
      <c r="V638" s="24" t="n"/>
      <c r="Y638" s="24" t="n"/>
      <c r="Z638" s="24" t="n"/>
      <c r="AA638" s="24" t="n"/>
      <c r="AB638" s="24" t="n"/>
      <c r="AC638" s="24" t="n"/>
      <c r="AD638" s="24" t="n"/>
      <c r="AE638" s="24" t="n"/>
    </row>
    <row r="639">
      <c r="A639" s="114" t="n"/>
      <c r="B639" s="114" t="n"/>
      <c r="C639" s="114" t="n"/>
      <c r="D639" s="114" t="n"/>
      <c r="E639" s="114" t="n"/>
      <c r="F639" s="114" t="n"/>
      <c r="G639" s="24" t="n"/>
      <c r="V639" s="24" t="n"/>
      <c r="Y639" s="24" t="n"/>
      <c r="Z639" s="24" t="n"/>
      <c r="AA639" s="24" t="n"/>
      <c r="AB639" s="24" t="n"/>
      <c r="AC639" s="24" t="n"/>
      <c r="AD639" s="24" t="n"/>
      <c r="AE639" s="24" t="n"/>
    </row>
    <row r="640">
      <c r="A640" s="114" t="n"/>
      <c r="B640" s="114" t="n"/>
      <c r="C640" s="114" t="n"/>
      <c r="D640" s="114" t="n"/>
      <c r="E640" s="114" t="n"/>
      <c r="F640" s="114" t="n"/>
      <c r="G640" s="24" t="n"/>
      <c r="V640" s="24" t="n"/>
      <c r="Y640" s="24" t="n"/>
      <c r="Z640" s="24" t="n"/>
      <c r="AA640" s="24" t="n"/>
      <c r="AB640" s="24" t="n"/>
      <c r="AC640" s="24" t="n"/>
      <c r="AD640" s="24" t="n"/>
      <c r="AE640" s="24" t="n"/>
    </row>
    <row r="641">
      <c r="A641" s="114" t="n"/>
      <c r="B641" s="114" t="n"/>
      <c r="C641" s="114" t="n"/>
      <c r="D641" s="114" t="n"/>
      <c r="E641" s="114" t="n"/>
      <c r="F641" s="114" t="n"/>
      <c r="G641" s="24" t="n"/>
      <c r="V641" s="24" t="n"/>
      <c r="Y641" s="24" t="n"/>
      <c r="Z641" s="24" t="n"/>
      <c r="AA641" s="24" t="n"/>
      <c r="AB641" s="24" t="n"/>
      <c r="AC641" s="24" t="n"/>
      <c r="AD641" s="24" t="n"/>
      <c r="AE641" s="24" t="n"/>
    </row>
    <row r="642">
      <c r="A642" s="114" t="n"/>
      <c r="B642" s="114" t="n"/>
      <c r="C642" s="114" t="n"/>
      <c r="D642" s="114" t="n"/>
      <c r="E642" s="114" t="n"/>
      <c r="F642" s="114" t="n"/>
      <c r="G642" s="24" t="n"/>
      <c r="V642" s="24" t="n"/>
      <c r="Y642" s="24" t="n"/>
      <c r="Z642" s="24" t="n"/>
      <c r="AA642" s="24" t="n"/>
      <c r="AB642" s="24" t="n"/>
      <c r="AC642" s="24" t="n"/>
      <c r="AD642" s="24" t="n"/>
      <c r="AE642" s="24" t="n"/>
    </row>
    <row r="643">
      <c r="A643" s="114" t="n"/>
      <c r="B643" s="114" t="n"/>
      <c r="C643" s="114" t="n"/>
      <c r="D643" s="114" t="n"/>
      <c r="E643" s="114" t="n"/>
      <c r="F643" s="114" t="n"/>
      <c r="G643" s="24" t="n"/>
      <c r="V643" s="24" t="n"/>
      <c r="Y643" s="24" t="n"/>
      <c r="Z643" s="24" t="n"/>
      <c r="AA643" s="24" t="n"/>
      <c r="AB643" s="24" t="n"/>
      <c r="AC643" s="24" t="n"/>
      <c r="AD643" s="24" t="n"/>
      <c r="AE643" s="24" t="n"/>
    </row>
    <row r="644">
      <c r="A644" s="114" t="n"/>
      <c r="B644" s="114" t="n"/>
      <c r="C644" s="114" t="n"/>
      <c r="D644" s="114" t="n"/>
      <c r="E644" s="114" t="n"/>
      <c r="F644" s="114" t="n"/>
      <c r="G644" s="24" t="n"/>
      <c r="V644" s="24" t="n"/>
      <c r="Y644" s="24" t="n"/>
      <c r="Z644" s="24" t="n"/>
      <c r="AA644" s="24" t="n"/>
      <c r="AB644" s="24" t="n"/>
      <c r="AC644" s="24" t="n"/>
      <c r="AD644" s="24" t="n"/>
      <c r="AE644" s="24" t="n"/>
    </row>
    <row r="645">
      <c r="A645" s="114" t="n"/>
      <c r="B645" s="114" t="n"/>
      <c r="C645" s="114" t="n"/>
      <c r="D645" s="114" t="n"/>
      <c r="E645" s="114" t="n"/>
      <c r="F645" s="114" t="n"/>
      <c r="G645" s="24" t="n"/>
      <c r="V645" s="24" t="n"/>
      <c r="Y645" s="24" t="n"/>
      <c r="Z645" s="24" t="n"/>
      <c r="AA645" s="24" t="n"/>
      <c r="AB645" s="24" t="n"/>
      <c r="AC645" s="24" t="n"/>
      <c r="AD645" s="24" t="n"/>
      <c r="AE645" s="24" t="n"/>
    </row>
    <row r="646">
      <c r="A646" s="114" t="n"/>
      <c r="B646" s="114" t="n"/>
      <c r="C646" s="114" t="n"/>
      <c r="D646" s="114" t="n"/>
      <c r="E646" s="114" t="n"/>
      <c r="F646" s="114" t="n"/>
      <c r="G646" s="24" t="n"/>
      <c r="V646" s="24" t="n"/>
      <c r="Y646" s="24" t="n"/>
      <c r="Z646" s="24" t="n"/>
      <c r="AA646" s="24" t="n"/>
      <c r="AB646" s="24" t="n"/>
      <c r="AC646" s="24" t="n"/>
      <c r="AD646" s="24" t="n"/>
      <c r="AE646" s="24" t="n"/>
    </row>
    <row r="647">
      <c r="A647" s="114" t="n"/>
      <c r="B647" s="114" t="n"/>
      <c r="C647" s="114" t="n"/>
      <c r="D647" s="114" t="n"/>
      <c r="E647" s="114" t="n"/>
      <c r="F647" s="114" t="n"/>
      <c r="G647" s="24" t="n"/>
      <c r="V647" s="24" t="n"/>
      <c r="Y647" s="24" t="n"/>
      <c r="Z647" s="24" t="n"/>
      <c r="AA647" s="24" t="n"/>
      <c r="AB647" s="24" t="n"/>
      <c r="AC647" s="24" t="n"/>
      <c r="AD647" s="24" t="n"/>
      <c r="AE647" s="24" t="n"/>
    </row>
    <row r="648">
      <c r="A648" s="114" t="n"/>
      <c r="B648" s="114" t="n"/>
      <c r="C648" s="114" t="n"/>
      <c r="D648" s="114" t="n"/>
      <c r="E648" s="114" t="n"/>
      <c r="F648" s="114" t="n"/>
      <c r="G648" s="24" t="n"/>
      <c r="V648" s="24" t="n"/>
      <c r="Y648" s="24" t="n"/>
      <c r="Z648" s="24" t="n"/>
      <c r="AA648" s="24" t="n"/>
      <c r="AB648" s="24" t="n"/>
      <c r="AC648" s="24" t="n"/>
      <c r="AD648" s="24" t="n"/>
      <c r="AE648" s="24" t="n"/>
    </row>
    <row r="649">
      <c r="A649" s="114" t="n"/>
      <c r="B649" s="114" t="n"/>
      <c r="C649" s="114" t="n"/>
      <c r="D649" s="114" t="n"/>
      <c r="E649" s="114" t="n"/>
      <c r="F649" s="114" t="n"/>
      <c r="G649" s="24" t="n"/>
      <c r="V649" s="24" t="n"/>
      <c r="Y649" s="24" t="n"/>
      <c r="Z649" s="24" t="n"/>
      <c r="AA649" s="24" t="n"/>
      <c r="AB649" s="24" t="n"/>
      <c r="AC649" s="24" t="n"/>
      <c r="AD649" s="24" t="n"/>
      <c r="AE649" s="24" t="n"/>
    </row>
    <row r="650">
      <c r="A650" s="114" t="n"/>
      <c r="B650" s="114" t="n"/>
      <c r="C650" s="114" t="n"/>
      <c r="D650" s="114" t="n"/>
      <c r="E650" s="114" t="n"/>
      <c r="F650" s="114" t="n"/>
      <c r="G650" s="24" t="n"/>
      <c r="V650" s="24" t="n"/>
      <c r="Y650" s="24" t="n"/>
      <c r="Z650" s="24" t="n"/>
      <c r="AA650" s="24" t="n"/>
      <c r="AB650" s="24" t="n"/>
      <c r="AC650" s="24" t="n"/>
      <c r="AD650" s="24" t="n"/>
      <c r="AE650" s="24" t="n"/>
    </row>
    <row r="651">
      <c r="A651" s="114" t="n"/>
      <c r="B651" s="114" t="n"/>
      <c r="C651" s="114" t="n"/>
      <c r="D651" s="114" t="n"/>
      <c r="E651" s="114" t="n"/>
      <c r="F651" s="114" t="n"/>
      <c r="G651" s="24" t="n"/>
      <c r="V651" s="24" t="n"/>
      <c r="Y651" s="24" t="n"/>
      <c r="Z651" s="24" t="n"/>
      <c r="AA651" s="24" t="n"/>
      <c r="AB651" s="24" t="n"/>
      <c r="AC651" s="24" t="n"/>
      <c r="AD651" s="24" t="n"/>
      <c r="AE651" s="24" t="n"/>
    </row>
    <row r="652">
      <c r="A652" s="114" t="n"/>
      <c r="B652" s="114" t="n"/>
      <c r="C652" s="114" t="n"/>
      <c r="D652" s="114" t="n"/>
      <c r="E652" s="114" t="n"/>
      <c r="F652" s="114" t="n"/>
      <c r="G652" s="24" t="n"/>
      <c r="V652" s="24" t="n"/>
      <c r="Y652" s="24" t="n"/>
      <c r="Z652" s="24" t="n"/>
      <c r="AA652" s="24" t="n"/>
      <c r="AB652" s="24" t="n"/>
      <c r="AC652" s="24" t="n"/>
      <c r="AD652" s="24" t="n"/>
      <c r="AE652" s="24" t="n"/>
    </row>
    <row r="653">
      <c r="A653" s="114" t="n"/>
      <c r="B653" s="114" t="n"/>
      <c r="C653" s="114" t="n"/>
      <c r="D653" s="114" t="n"/>
      <c r="E653" s="114" t="n"/>
      <c r="F653" s="114" t="n"/>
      <c r="G653" s="24" t="n"/>
      <c r="V653" s="24" t="n"/>
      <c r="Y653" s="24" t="n"/>
      <c r="Z653" s="24" t="n"/>
      <c r="AA653" s="24" t="n"/>
      <c r="AB653" s="24" t="n"/>
      <c r="AC653" s="24" t="n"/>
      <c r="AD653" s="24" t="n"/>
      <c r="AE653" s="24" t="n"/>
    </row>
    <row r="654">
      <c r="A654" s="114" t="n"/>
      <c r="B654" s="114" t="n"/>
      <c r="C654" s="114" t="n"/>
      <c r="D654" s="114" t="n"/>
      <c r="E654" s="114" t="n"/>
      <c r="F654" s="114" t="n"/>
      <c r="G654" s="24" t="n"/>
      <c r="V654" s="24" t="n"/>
      <c r="Y654" s="24" t="n"/>
      <c r="Z654" s="24" t="n"/>
      <c r="AA654" s="24" t="n"/>
      <c r="AB654" s="24" t="n"/>
      <c r="AC654" s="24" t="n"/>
      <c r="AD654" s="24" t="n"/>
      <c r="AE654" s="24" t="n"/>
    </row>
    <row r="655">
      <c r="A655" s="114" t="n"/>
      <c r="B655" s="114" t="n"/>
      <c r="C655" s="114" t="n"/>
      <c r="D655" s="114" t="n"/>
      <c r="E655" s="114" t="n"/>
      <c r="F655" s="114" t="n"/>
      <c r="G655" s="24" t="n"/>
      <c r="V655" s="24" t="n"/>
      <c r="Y655" s="24" t="n"/>
      <c r="Z655" s="24" t="n"/>
      <c r="AA655" s="24" t="n"/>
      <c r="AB655" s="24" t="n"/>
      <c r="AC655" s="24" t="n"/>
      <c r="AD655" s="24" t="n"/>
      <c r="AE655" s="24" t="n"/>
    </row>
    <row r="656">
      <c r="A656" s="114" t="n"/>
      <c r="B656" s="114" t="n"/>
      <c r="C656" s="114" t="n"/>
      <c r="D656" s="114" t="n"/>
      <c r="E656" s="114" t="n"/>
      <c r="F656" s="114" t="n"/>
      <c r="G656" s="24" t="n"/>
      <c r="V656" s="24" t="n"/>
      <c r="Y656" s="24" t="n"/>
      <c r="Z656" s="24" t="n"/>
      <c r="AA656" s="24" t="n"/>
      <c r="AB656" s="24" t="n"/>
      <c r="AC656" s="24" t="n"/>
      <c r="AD656" s="24" t="n"/>
      <c r="AE656" s="24" t="n"/>
    </row>
    <row r="657">
      <c r="A657" s="114" t="n"/>
      <c r="B657" s="114" t="n"/>
      <c r="C657" s="114" t="n"/>
      <c r="D657" s="114" t="n"/>
      <c r="E657" s="114" t="n"/>
      <c r="F657" s="114" t="n"/>
      <c r="G657" s="24" t="n"/>
      <c r="V657" s="24" t="n"/>
      <c r="Y657" s="24" t="n"/>
      <c r="Z657" s="24" t="n"/>
      <c r="AA657" s="24" t="n"/>
      <c r="AB657" s="24" t="n"/>
      <c r="AC657" s="24" t="n"/>
      <c r="AD657" s="24" t="n"/>
      <c r="AE657" s="24" t="n"/>
    </row>
    <row r="658">
      <c r="A658" s="114" t="n"/>
      <c r="B658" s="114" t="n"/>
      <c r="C658" s="114" t="n"/>
      <c r="D658" s="114" t="n"/>
      <c r="E658" s="114" t="n"/>
      <c r="F658" s="114" t="n"/>
      <c r="G658" s="24" t="n"/>
      <c r="V658" s="24" t="n"/>
      <c r="Y658" s="24" t="n"/>
      <c r="Z658" s="24" t="n"/>
      <c r="AA658" s="24" t="n"/>
      <c r="AB658" s="24" t="n"/>
      <c r="AC658" s="24" t="n"/>
      <c r="AD658" s="24" t="n"/>
      <c r="AE658" s="24" t="n"/>
    </row>
    <row r="659">
      <c r="A659" s="114" t="n"/>
      <c r="B659" s="114" t="n"/>
      <c r="C659" s="114" t="n"/>
      <c r="D659" s="114" t="n"/>
      <c r="E659" s="114" t="n"/>
      <c r="F659" s="114" t="n"/>
      <c r="G659" s="24" t="n"/>
      <c r="V659" s="24" t="n"/>
      <c r="Y659" s="24" t="n"/>
      <c r="Z659" s="24" t="n"/>
      <c r="AA659" s="24" t="n"/>
      <c r="AB659" s="24" t="n"/>
      <c r="AC659" s="24" t="n"/>
      <c r="AD659" s="24" t="n"/>
      <c r="AE659" s="24" t="n"/>
    </row>
    <row r="660">
      <c r="A660" s="114" t="n"/>
      <c r="B660" s="114" t="n"/>
      <c r="C660" s="114" t="n"/>
      <c r="D660" s="114" t="n"/>
      <c r="E660" s="114" t="n"/>
      <c r="F660" s="114" t="n"/>
      <c r="G660" s="24" t="n"/>
      <c r="V660" s="24" t="n"/>
      <c r="Y660" s="24" t="n"/>
      <c r="Z660" s="24" t="n"/>
      <c r="AA660" s="24" t="n"/>
      <c r="AB660" s="24" t="n"/>
      <c r="AC660" s="24" t="n"/>
      <c r="AD660" s="24" t="n"/>
      <c r="AE660" s="24" t="n"/>
    </row>
    <row r="661">
      <c r="A661" s="114" t="n"/>
      <c r="B661" s="114" t="n"/>
      <c r="C661" s="114" t="n"/>
      <c r="D661" s="114" t="n"/>
      <c r="E661" s="114" t="n"/>
      <c r="F661" s="114" t="n"/>
      <c r="G661" s="24" t="n"/>
      <c r="V661" s="24" t="n"/>
      <c r="Y661" s="24" t="n"/>
      <c r="Z661" s="24" t="n"/>
      <c r="AA661" s="24" t="n"/>
      <c r="AB661" s="24" t="n"/>
      <c r="AC661" s="24" t="n"/>
      <c r="AD661" s="24" t="n"/>
      <c r="AE661" s="24" t="n"/>
    </row>
    <row r="662">
      <c r="A662" s="114" t="n"/>
      <c r="B662" s="114" t="n"/>
      <c r="C662" s="114" t="n"/>
      <c r="D662" s="114" t="n"/>
      <c r="E662" s="114" t="n"/>
      <c r="F662" s="114" t="n"/>
      <c r="G662" s="24" t="n"/>
      <c r="V662" s="24" t="n"/>
      <c r="Y662" s="24" t="n"/>
      <c r="Z662" s="24" t="n"/>
      <c r="AA662" s="24" t="n"/>
      <c r="AB662" s="24" t="n"/>
      <c r="AC662" s="24" t="n"/>
      <c r="AD662" s="24" t="n"/>
      <c r="AE662" s="24" t="n"/>
    </row>
    <row r="663">
      <c r="A663" s="114" t="n"/>
      <c r="B663" s="114" t="n"/>
      <c r="C663" s="114" t="n"/>
      <c r="D663" s="114" t="n"/>
      <c r="E663" s="114" t="n"/>
      <c r="F663" s="114" t="n"/>
      <c r="G663" s="24" t="n"/>
      <c r="V663" s="24" t="n"/>
      <c r="Y663" s="24" t="n"/>
      <c r="Z663" s="24" t="n"/>
      <c r="AA663" s="24" t="n"/>
      <c r="AB663" s="24" t="n"/>
      <c r="AC663" s="24" t="n"/>
      <c r="AD663" s="24" t="n"/>
      <c r="AE663" s="24" t="n"/>
    </row>
    <row r="664">
      <c r="A664" s="114" t="n"/>
      <c r="B664" s="114" t="n"/>
      <c r="C664" s="114" t="n"/>
      <c r="D664" s="114" t="n"/>
      <c r="E664" s="114" t="n"/>
      <c r="F664" s="114" t="n"/>
      <c r="G664" s="24" t="n"/>
      <c r="V664" s="24" t="n"/>
      <c r="Y664" s="24" t="n"/>
      <c r="Z664" s="24" t="n"/>
      <c r="AA664" s="24" t="n"/>
      <c r="AB664" s="24" t="n"/>
      <c r="AC664" s="24" t="n"/>
      <c r="AD664" s="24" t="n"/>
      <c r="AE664" s="24" t="n"/>
    </row>
    <row r="665">
      <c r="A665" s="114" t="n"/>
      <c r="B665" s="114" t="n"/>
      <c r="C665" s="114" t="n"/>
      <c r="D665" s="114" t="n"/>
      <c r="E665" s="114" t="n"/>
      <c r="F665" s="114" t="n"/>
      <c r="G665" s="24" t="n"/>
      <c r="V665" s="24" t="n"/>
      <c r="Y665" s="24" t="n"/>
      <c r="Z665" s="24" t="n"/>
      <c r="AA665" s="24" t="n"/>
      <c r="AB665" s="24" t="n"/>
      <c r="AC665" s="24" t="n"/>
      <c r="AD665" s="24" t="n"/>
      <c r="AE665" s="24" t="n"/>
    </row>
    <row r="666">
      <c r="A666" s="114" t="n"/>
      <c r="B666" s="114" t="n"/>
      <c r="C666" s="114" t="n"/>
      <c r="D666" s="114" t="n"/>
      <c r="E666" s="114" t="n"/>
      <c r="F666" s="114" t="n"/>
      <c r="G666" s="24" t="n"/>
      <c r="V666" s="24" t="n"/>
      <c r="Y666" s="24" t="n"/>
      <c r="Z666" s="24" t="n"/>
      <c r="AA666" s="24" t="n"/>
      <c r="AB666" s="24" t="n"/>
      <c r="AC666" s="24" t="n"/>
      <c r="AD666" s="24" t="n"/>
      <c r="AE666" s="24" t="n"/>
    </row>
    <row r="667">
      <c r="A667" s="114" t="n"/>
      <c r="B667" s="114" t="n"/>
      <c r="C667" s="114" t="n"/>
      <c r="D667" s="114" t="n"/>
      <c r="E667" s="114" t="n"/>
      <c r="F667" s="114" t="n"/>
      <c r="G667" s="24" t="n"/>
      <c r="V667" s="24" t="n"/>
      <c r="Y667" s="24" t="n"/>
      <c r="Z667" s="24" t="n"/>
      <c r="AA667" s="24" t="n"/>
      <c r="AB667" s="24" t="n"/>
      <c r="AC667" s="24" t="n"/>
      <c r="AD667" s="24" t="n"/>
      <c r="AE667" s="24" t="n"/>
    </row>
    <row r="668">
      <c r="A668" s="114" t="n"/>
      <c r="B668" s="114" t="n"/>
      <c r="C668" s="114" t="n"/>
      <c r="D668" s="114" t="n"/>
      <c r="E668" s="114" t="n"/>
      <c r="F668" s="114" t="n"/>
      <c r="G668" s="24" t="n"/>
      <c r="V668" s="24" t="n"/>
      <c r="Y668" s="24" t="n"/>
      <c r="Z668" s="24" t="n"/>
      <c r="AA668" s="24" t="n"/>
      <c r="AB668" s="24" t="n"/>
      <c r="AC668" s="24" t="n"/>
      <c r="AD668" s="24" t="n"/>
      <c r="AE668" s="24" t="n"/>
    </row>
    <row r="669">
      <c r="A669" s="114" t="n"/>
      <c r="B669" s="114" t="n"/>
      <c r="C669" s="114" t="n"/>
      <c r="D669" s="114" t="n"/>
      <c r="E669" s="114" t="n"/>
      <c r="F669" s="114" t="n"/>
      <c r="G669" s="24" t="n"/>
      <c r="V669" s="24" t="n"/>
      <c r="Y669" s="24" t="n"/>
      <c r="Z669" s="24" t="n"/>
      <c r="AA669" s="24" t="n"/>
      <c r="AB669" s="24" t="n"/>
      <c r="AC669" s="24" t="n"/>
      <c r="AD669" s="24" t="n"/>
      <c r="AE669" s="24" t="n"/>
    </row>
    <row r="670">
      <c r="A670" s="114" t="n"/>
      <c r="B670" s="114" t="n"/>
      <c r="C670" s="114" t="n"/>
      <c r="D670" s="114" t="n"/>
      <c r="E670" s="114" t="n"/>
      <c r="F670" s="114" t="n"/>
      <c r="G670" s="24" t="n"/>
      <c r="V670" s="24" t="n"/>
      <c r="Y670" s="24" t="n"/>
      <c r="Z670" s="24" t="n"/>
      <c r="AA670" s="24" t="n"/>
      <c r="AB670" s="24" t="n"/>
      <c r="AC670" s="24" t="n"/>
      <c r="AD670" s="24" t="n"/>
      <c r="AE670" s="24" t="n"/>
    </row>
    <row r="671">
      <c r="A671" s="114" t="n"/>
      <c r="B671" s="114" t="n"/>
      <c r="C671" s="114" t="n"/>
      <c r="D671" s="114" t="n"/>
      <c r="E671" s="114" t="n"/>
      <c r="F671" s="114" t="n"/>
      <c r="G671" s="24" t="n"/>
      <c r="V671" s="24" t="n"/>
      <c r="Y671" s="24" t="n"/>
      <c r="Z671" s="24" t="n"/>
      <c r="AA671" s="24" t="n"/>
      <c r="AB671" s="24" t="n"/>
      <c r="AC671" s="24" t="n"/>
      <c r="AD671" s="24" t="n"/>
      <c r="AE671" s="24" t="n"/>
    </row>
    <row r="672">
      <c r="A672" s="114" t="n"/>
      <c r="B672" s="114" t="n"/>
      <c r="C672" s="114" t="n"/>
      <c r="D672" s="114" t="n"/>
      <c r="E672" s="114" t="n"/>
      <c r="F672" s="114" t="n"/>
      <c r="G672" s="24" t="n"/>
      <c r="V672" s="24" t="n"/>
      <c r="Y672" s="24" t="n"/>
      <c r="Z672" s="24" t="n"/>
      <c r="AA672" s="24" t="n"/>
      <c r="AB672" s="24" t="n"/>
      <c r="AC672" s="24" t="n"/>
      <c r="AD672" s="24" t="n"/>
      <c r="AE672" s="24" t="n"/>
    </row>
    <row r="673">
      <c r="A673" s="114" t="n"/>
      <c r="B673" s="114" t="n"/>
      <c r="C673" s="114" t="n"/>
      <c r="D673" s="114" t="n"/>
      <c r="E673" s="114" t="n"/>
      <c r="F673" s="114" t="n"/>
      <c r="G673" s="24" t="n"/>
      <c r="V673" s="24" t="n"/>
      <c r="Y673" s="24" t="n"/>
      <c r="Z673" s="24" t="n"/>
      <c r="AA673" s="24" t="n"/>
      <c r="AB673" s="24" t="n"/>
      <c r="AC673" s="24" t="n"/>
      <c r="AD673" s="24" t="n"/>
      <c r="AE673" s="24" t="n"/>
    </row>
    <row r="674">
      <c r="A674" s="114" t="n"/>
      <c r="B674" s="114" t="n"/>
      <c r="C674" s="114" t="n"/>
      <c r="D674" s="114" t="n"/>
      <c r="E674" s="114" t="n"/>
      <c r="F674" s="114" t="n"/>
      <c r="G674" s="24" t="n"/>
      <c r="V674" s="24" t="n"/>
      <c r="Y674" s="24" t="n"/>
      <c r="Z674" s="24" t="n"/>
      <c r="AA674" s="24" t="n"/>
      <c r="AB674" s="24" t="n"/>
      <c r="AC674" s="24" t="n"/>
      <c r="AD674" s="24" t="n"/>
      <c r="AE674" s="24" t="n"/>
    </row>
    <row r="675">
      <c r="A675" s="114" t="n"/>
      <c r="B675" s="114" t="n"/>
      <c r="C675" s="114" t="n"/>
      <c r="D675" s="114" t="n"/>
      <c r="E675" s="114" t="n"/>
      <c r="F675" s="114" t="n"/>
      <c r="G675" s="24" t="n"/>
      <c r="V675" s="24" t="n"/>
      <c r="Y675" s="24" t="n"/>
      <c r="Z675" s="24" t="n"/>
      <c r="AA675" s="24" t="n"/>
      <c r="AB675" s="24" t="n"/>
      <c r="AC675" s="24" t="n"/>
      <c r="AD675" s="24" t="n"/>
      <c r="AE675" s="24" t="n"/>
    </row>
    <row r="676">
      <c r="A676" s="114" t="n"/>
      <c r="B676" s="114" t="n"/>
      <c r="C676" s="114" t="n"/>
      <c r="D676" s="114" t="n"/>
      <c r="E676" s="114" t="n"/>
      <c r="F676" s="114" t="n"/>
      <c r="G676" s="24" t="n"/>
      <c r="V676" s="24" t="n"/>
      <c r="Y676" s="24" t="n"/>
      <c r="Z676" s="24" t="n"/>
      <c r="AA676" s="24" t="n"/>
      <c r="AB676" s="24" t="n"/>
      <c r="AC676" s="24" t="n"/>
      <c r="AD676" s="24" t="n"/>
      <c r="AE676" s="24" t="n"/>
    </row>
    <row r="677">
      <c r="A677" s="114" t="n"/>
      <c r="B677" s="114" t="n"/>
      <c r="C677" s="114" t="n"/>
      <c r="D677" s="114" t="n"/>
      <c r="E677" s="114" t="n"/>
      <c r="F677" s="114" t="n"/>
      <c r="G677" s="24" t="n"/>
      <c r="V677" s="24" t="n"/>
      <c r="Y677" s="24" t="n"/>
      <c r="Z677" s="24" t="n"/>
      <c r="AA677" s="24" t="n"/>
      <c r="AB677" s="24" t="n"/>
      <c r="AC677" s="24" t="n"/>
      <c r="AD677" s="24" t="n"/>
      <c r="AE677" s="24" t="n"/>
    </row>
    <row r="678">
      <c r="A678" s="114" t="n"/>
      <c r="B678" s="114" t="n"/>
      <c r="C678" s="114" t="n"/>
      <c r="D678" s="114" t="n"/>
      <c r="E678" s="114" t="n"/>
      <c r="F678" s="114" t="n"/>
      <c r="G678" s="24" t="n"/>
      <c r="V678" s="24" t="n"/>
      <c r="Y678" s="24" t="n"/>
      <c r="Z678" s="24" t="n"/>
      <c r="AA678" s="24" t="n"/>
      <c r="AB678" s="24" t="n"/>
      <c r="AC678" s="24" t="n"/>
      <c r="AD678" s="24" t="n"/>
      <c r="AE678" s="24" t="n"/>
    </row>
    <row r="679">
      <c r="A679" s="114" t="n"/>
      <c r="B679" s="114" t="n"/>
      <c r="C679" s="114" t="n"/>
      <c r="D679" s="114" t="n"/>
      <c r="E679" s="114" t="n"/>
      <c r="F679" s="114" t="n"/>
      <c r="G679" s="24" t="n"/>
      <c r="V679" s="24" t="n"/>
      <c r="Y679" s="24" t="n"/>
      <c r="Z679" s="24" t="n"/>
      <c r="AA679" s="24" t="n"/>
      <c r="AB679" s="24" t="n"/>
      <c r="AC679" s="24" t="n"/>
      <c r="AD679" s="24" t="n"/>
      <c r="AE679" s="24" t="n"/>
    </row>
    <row r="680">
      <c r="A680" s="114" t="n"/>
      <c r="B680" s="114" t="n"/>
      <c r="C680" s="114" t="n"/>
      <c r="D680" s="114" t="n"/>
      <c r="E680" s="114" t="n"/>
      <c r="F680" s="114" t="n"/>
      <c r="G680" s="24" t="n"/>
      <c r="V680" s="24" t="n"/>
      <c r="Y680" s="24" t="n"/>
      <c r="Z680" s="24" t="n"/>
      <c r="AA680" s="24" t="n"/>
      <c r="AB680" s="24" t="n"/>
      <c r="AC680" s="24" t="n"/>
      <c r="AD680" s="24" t="n"/>
      <c r="AE680" s="24" t="n"/>
    </row>
    <row r="681">
      <c r="A681" s="114" t="n"/>
      <c r="B681" s="114" t="n"/>
      <c r="C681" s="114" t="n"/>
      <c r="D681" s="114" t="n"/>
      <c r="E681" s="114" t="n"/>
      <c r="F681" s="114" t="n"/>
      <c r="G681" s="24" t="n"/>
      <c r="V681" s="24" t="n"/>
      <c r="Y681" s="24" t="n"/>
      <c r="Z681" s="24" t="n"/>
      <c r="AA681" s="24" t="n"/>
      <c r="AB681" s="24" t="n"/>
      <c r="AC681" s="24" t="n"/>
      <c r="AD681" s="24" t="n"/>
      <c r="AE681" s="24" t="n"/>
    </row>
    <row r="682">
      <c r="A682" s="114" t="n"/>
      <c r="B682" s="114" t="n"/>
      <c r="C682" s="114" t="n"/>
      <c r="D682" s="114" t="n"/>
      <c r="E682" s="114" t="n"/>
      <c r="F682" s="114" t="n"/>
      <c r="G682" s="24" t="n"/>
      <c r="V682" s="24" t="n"/>
      <c r="Y682" s="24" t="n"/>
      <c r="Z682" s="24" t="n"/>
      <c r="AA682" s="24" t="n"/>
      <c r="AB682" s="24" t="n"/>
      <c r="AC682" s="24" t="n"/>
      <c r="AD682" s="24" t="n"/>
      <c r="AE682" s="24" t="n"/>
    </row>
    <row r="683">
      <c r="A683" s="114" t="n"/>
      <c r="B683" s="114" t="n"/>
      <c r="C683" s="114" t="n"/>
      <c r="D683" s="114" t="n"/>
      <c r="E683" s="114" t="n"/>
      <c r="F683" s="114" t="n"/>
      <c r="G683" s="24" t="n"/>
      <c r="V683" s="24" t="n"/>
      <c r="Y683" s="24" t="n"/>
      <c r="Z683" s="24" t="n"/>
      <c r="AA683" s="24" t="n"/>
      <c r="AB683" s="24" t="n"/>
      <c r="AC683" s="24" t="n"/>
      <c r="AD683" s="24" t="n"/>
      <c r="AE683" s="24" t="n"/>
    </row>
    <row r="684">
      <c r="A684" s="114" t="n"/>
      <c r="B684" s="114" t="n"/>
      <c r="C684" s="114" t="n"/>
      <c r="D684" s="114" t="n"/>
      <c r="E684" s="114" t="n"/>
      <c r="F684" s="114" t="n"/>
      <c r="G684" s="24" t="n"/>
      <c r="V684" s="24" t="n"/>
      <c r="Y684" s="24" t="n"/>
      <c r="Z684" s="24" t="n"/>
      <c r="AA684" s="24" t="n"/>
      <c r="AB684" s="24" t="n"/>
      <c r="AC684" s="24" t="n"/>
      <c r="AD684" s="24" t="n"/>
      <c r="AE684" s="24" t="n"/>
    </row>
    <row r="685">
      <c r="A685" s="114" t="n"/>
      <c r="B685" s="114" t="n"/>
      <c r="C685" s="114" t="n"/>
      <c r="D685" s="114" t="n"/>
      <c r="E685" s="114" t="n"/>
      <c r="F685" s="114" t="n"/>
      <c r="G685" s="24" t="n"/>
      <c r="V685" s="24" t="n"/>
      <c r="Y685" s="24" t="n"/>
      <c r="Z685" s="24" t="n"/>
      <c r="AA685" s="24" t="n"/>
      <c r="AB685" s="24" t="n"/>
      <c r="AC685" s="24" t="n"/>
      <c r="AD685" s="24" t="n"/>
      <c r="AE685" s="24" t="n"/>
    </row>
    <row r="686">
      <c r="A686" s="114" t="n"/>
      <c r="B686" s="114" t="n"/>
      <c r="C686" s="114" t="n"/>
      <c r="D686" s="114" t="n"/>
      <c r="E686" s="114" t="n"/>
      <c r="F686" s="114" t="n"/>
      <c r="G686" s="24" t="n"/>
      <c r="V686" s="24" t="n"/>
      <c r="Y686" s="24" t="n"/>
      <c r="Z686" s="24" t="n"/>
      <c r="AA686" s="24" t="n"/>
      <c r="AB686" s="24" t="n"/>
      <c r="AC686" s="24" t="n"/>
      <c r="AD686" s="24" t="n"/>
      <c r="AE686" s="24" t="n"/>
    </row>
    <row r="687">
      <c r="A687" s="114" t="n"/>
      <c r="B687" s="114" t="n"/>
      <c r="C687" s="114" t="n"/>
      <c r="D687" s="114" t="n"/>
      <c r="E687" s="114" t="n"/>
      <c r="F687" s="114" t="n"/>
      <c r="G687" s="24" t="n"/>
      <c r="V687" s="24" t="n"/>
      <c r="Y687" s="24" t="n"/>
      <c r="Z687" s="24" t="n"/>
      <c r="AA687" s="24" t="n"/>
      <c r="AB687" s="24" t="n"/>
      <c r="AC687" s="24" t="n"/>
      <c r="AD687" s="24" t="n"/>
      <c r="AE687" s="24" t="n"/>
    </row>
    <row r="688">
      <c r="A688" s="114" t="n"/>
      <c r="B688" s="114" t="n"/>
      <c r="C688" s="114" t="n"/>
      <c r="D688" s="114" t="n"/>
      <c r="E688" s="114" t="n"/>
      <c r="F688" s="114" t="n"/>
      <c r="G688" s="24" t="n"/>
      <c r="V688" s="24" t="n"/>
      <c r="Y688" s="24" t="n"/>
      <c r="Z688" s="24" t="n"/>
      <c r="AA688" s="24" t="n"/>
      <c r="AB688" s="24" t="n"/>
      <c r="AC688" s="24" t="n"/>
      <c r="AD688" s="24" t="n"/>
      <c r="AE688" s="24" t="n"/>
    </row>
    <row r="689">
      <c r="A689" s="114" t="n"/>
      <c r="B689" s="114" t="n"/>
      <c r="C689" s="114" t="n"/>
      <c r="D689" s="114" t="n"/>
      <c r="E689" s="114" t="n"/>
      <c r="F689" s="114" t="n"/>
      <c r="G689" s="24" t="n"/>
      <c r="V689" s="24" t="n"/>
      <c r="Y689" s="24" t="n"/>
      <c r="Z689" s="24" t="n"/>
      <c r="AA689" s="24" t="n"/>
      <c r="AB689" s="24" t="n"/>
      <c r="AC689" s="24" t="n"/>
      <c r="AD689" s="24" t="n"/>
      <c r="AE689" s="24" t="n"/>
    </row>
    <row r="690">
      <c r="A690" s="114" t="n"/>
      <c r="B690" s="114" t="n"/>
      <c r="C690" s="114" t="n"/>
      <c r="D690" s="114" t="n"/>
      <c r="E690" s="114" t="n"/>
      <c r="F690" s="114" t="n"/>
      <c r="G690" s="24" t="n"/>
      <c r="V690" s="24" t="n"/>
      <c r="Y690" s="24" t="n"/>
      <c r="Z690" s="24" t="n"/>
      <c r="AA690" s="24" t="n"/>
      <c r="AB690" s="24" t="n"/>
      <c r="AC690" s="24" t="n"/>
      <c r="AD690" s="24" t="n"/>
      <c r="AE690" s="24" t="n"/>
    </row>
    <row r="691">
      <c r="A691" s="114" t="n"/>
      <c r="B691" s="114" t="n"/>
      <c r="C691" s="114" t="n"/>
      <c r="D691" s="114" t="n"/>
      <c r="E691" s="114" t="n"/>
      <c r="F691" s="114" t="n"/>
      <c r="G691" s="24" t="n"/>
      <c r="V691" s="24" t="n"/>
      <c r="Y691" s="24" t="n"/>
      <c r="Z691" s="24" t="n"/>
      <c r="AA691" s="24" t="n"/>
      <c r="AB691" s="24" t="n"/>
      <c r="AC691" s="24" t="n"/>
      <c r="AD691" s="24" t="n"/>
      <c r="AE691" s="24" t="n"/>
    </row>
    <row r="692">
      <c r="A692" s="114" t="n"/>
      <c r="B692" s="114" t="n"/>
      <c r="C692" s="114" t="n"/>
      <c r="D692" s="114" t="n"/>
      <c r="E692" s="114" t="n"/>
      <c r="F692" s="114" t="n"/>
      <c r="G692" s="24" t="n"/>
      <c r="V692" s="24" t="n"/>
      <c r="Y692" s="24" t="n"/>
      <c r="Z692" s="24" t="n"/>
      <c r="AA692" s="24" t="n"/>
      <c r="AB692" s="24" t="n"/>
      <c r="AC692" s="24" t="n"/>
      <c r="AD692" s="24" t="n"/>
      <c r="AE692" s="24" t="n"/>
    </row>
    <row r="693">
      <c r="A693" s="114" t="n"/>
      <c r="B693" s="114" t="n"/>
      <c r="C693" s="114" t="n"/>
      <c r="D693" s="114" t="n"/>
      <c r="E693" s="114" t="n"/>
      <c r="F693" s="114" t="n"/>
      <c r="G693" s="24" t="n"/>
      <c r="V693" s="24" t="n"/>
      <c r="Y693" s="24" t="n"/>
      <c r="Z693" s="24" t="n"/>
      <c r="AA693" s="24" t="n"/>
      <c r="AB693" s="24" t="n"/>
      <c r="AC693" s="24" t="n"/>
      <c r="AD693" s="24" t="n"/>
      <c r="AE693" s="24" t="n"/>
    </row>
    <row r="694">
      <c r="A694" s="114" t="n"/>
      <c r="B694" s="114" t="n"/>
      <c r="C694" s="114" t="n"/>
      <c r="D694" s="114" t="n"/>
      <c r="E694" s="114" t="n"/>
      <c r="F694" s="114" t="n"/>
      <c r="G694" s="24" t="n"/>
      <c r="V694" s="24" t="n"/>
      <c r="Y694" s="24" t="n"/>
      <c r="Z694" s="24" t="n"/>
      <c r="AA694" s="24" t="n"/>
      <c r="AB694" s="24" t="n"/>
      <c r="AC694" s="24" t="n"/>
      <c r="AD694" s="24" t="n"/>
      <c r="AE694" s="24" t="n"/>
    </row>
    <row r="695">
      <c r="A695" s="114" t="n"/>
      <c r="B695" s="114" t="n"/>
      <c r="C695" s="114" t="n"/>
      <c r="D695" s="114" t="n"/>
      <c r="E695" s="114" t="n"/>
      <c r="F695" s="114" t="n"/>
      <c r="G695" s="24" t="n"/>
      <c r="V695" s="24" t="n"/>
      <c r="Y695" s="24" t="n"/>
      <c r="Z695" s="24" t="n"/>
      <c r="AA695" s="24" t="n"/>
      <c r="AB695" s="24" t="n"/>
      <c r="AC695" s="24" t="n"/>
      <c r="AD695" s="24" t="n"/>
      <c r="AE695" s="24" t="n"/>
    </row>
    <row r="696">
      <c r="A696" s="114" t="n"/>
      <c r="B696" s="114" t="n"/>
      <c r="C696" s="114" t="n"/>
      <c r="D696" s="114" t="n"/>
      <c r="E696" s="114" t="n"/>
      <c r="F696" s="114" t="n"/>
      <c r="G696" s="24" t="n"/>
      <c r="V696" s="24" t="n"/>
      <c r="Y696" s="24" t="n"/>
      <c r="Z696" s="24" t="n"/>
      <c r="AA696" s="24" t="n"/>
      <c r="AB696" s="24" t="n"/>
      <c r="AC696" s="24" t="n"/>
      <c r="AD696" s="24" t="n"/>
      <c r="AE696" s="24" t="n"/>
    </row>
    <row r="697">
      <c r="A697" s="114" t="n"/>
      <c r="B697" s="114" t="n"/>
      <c r="C697" s="114" t="n"/>
      <c r="D697" s="114" t="n"/>
      <c r="E697" s="114" t="n"/>
      <c r="F697" s="114" t="n"/>
      <c r="G697" s="24" t="n"/>
      <c r="V697" s="24" t="n"/>
      <c r="Y697" s="24" t="n"/>
      <c r="Z697" s="24" t="n"/>
      <c r="AA697" s="24" t="n"/>
      <c r="AB697" s="24" t="n"/>
      <c r="AC697" s="24" t="n"/>
      <c r="AD697" s="24" t="n"/>
      <c r="AE697" s="24" t="n"/>
    </row>
    <row r="698">
      <c r="A698" s="114" t="n"/>
      <c r="B698" s="114" t="n"/>
      <c r="C698" s="114" t="n"/>
      <c r="D698" s="114" t="n"/>
      <c r="E698" s="114" t="n"/>
      <c r="F698" s="114" t="n"/>
      <c r="G698" s="24" t="n"/>
      <c r="V698" s="24" t="n"/>
      <c r="Y698" s="24" t="n"/>
      <c r="Z698" s="24" t="n"/>
      <c r="AA698" s="24" t="n"/>
      <c r="AB698" s="24" t="n"/>
      <c r="AC698" s="24" t="n"/>
      <c r="AD698" s="24" t="n"/>
      <c r="AE698" s="24" t="n"/>
    </row>
    <row r="699">
      <c r="A699" s="114" t="n"/>
      <c r="B699" s="114" t="n"/>
      <c r="C699" s="114" t="n"/>
      <c r="D699" s="114" t="n"/>
      <c r="E699" s="114" t="n"/>
      <c r="F699" s="114" t="n"/>
      <c r="G699" s="24" t="n"/>
      <c r="V699" s="24" t="n"/>
      <c r="Y699" s="24" t="n"/>
      <c r="Z699" s="24" t="n"/>
      <c r="AA699" s="24" t="n"/>
      <c r="AB699" s="24" t="n"/>
      <c r="AC699" s="24" t="n"/>
      <c r="AD699" s="24" t="n"/>
      <c r="AE699" s="24" t="n"/>
    </row>
    <row r="700">
      <c r="A700" s="114" t="n"/>
      <c r="B700" s="114" t="n"/>
      <c r="C700" s="114" t="n"/>
      <c r="D700" s="114" t="n"/>
      <c r="E700" s="114" t="n"/>
      <c r="F700" s="114" t="n"/>
      <c r="G700" s="24" t="n"/>
      <c r="V700" s="24" t="n"/>
      <c r="Y700" s="24" t="n"/>
      <c r="Z700" s="24" t="n"/>
      <c r="AA700" s="24" t="n"/>
      <c r="AB700" s="24" t="n"/>
      <c r="AC700" s="24" t="n"/>
      <c r="AD700" s="24" t="n"/>
      <c r="AE700" s="24" t="n"/>
    </row>
    <row r="701">
      <c r="A701" s="114" t="n"/>
      <c r="B701" s="114" t="n"/>
      <c r="C701" s="114" t="n"/>
      <c r="D701" s="114" t="n"/>
      <c r="E701" s="114" t="n"/>
      <c r="F701" s="114" t="n"/>
      <c r="G701" s="24" t="n"/>
      <c r="V701" s="24" t="n"/>
      <c r="Y701" s="24" t="n"/>
      <c r="Z701" s="24" t="n"/>
      <c r="AA701" s="24" t="n"/>
      <c r="AB701" s="24" t="n"/>
      <c r="AC701" s="24" t="n"/>
      <c r="AD701" s="24" t="n"/>
      <c r="AE701" s="24" t="n"/>
    </row>
    <row r="702">
      <c r="A702" s="114" t="n"/>
      <c r="B702" s="114" t="n"/>
      <c r="C702" s="114" t="n"/>
      <c r="D702" s="114" t="n"/>
      <c r="E702" s="114" t="n"/>
      <c r="F702" s="114" t="n"/>
      <c r="G702" s="24" t="n"/>
      <c r="V702" s="24" t="n"/>
      <c r="Y702" s="24" t="n"/>
      <c r="Z702" s="24" t="n"/>
      <c r="AA702" s="24" t="n"/>
      <c r="AB702" s="24" t="n"/>
      <c r="AC702" s="24" t="n"/>
      <c r="AD702" s="24" t="n"/>
      <c r="AE702" s="24" t="n"/>
    </row>
    <row r="703">
      <c r="A703" s="114" t="n"/>
      <c r="B703" s="114" t="n"/>
      <c r="C703" s="114" t="n"/>
      <c r="D703" s="114" t="n"/>
      <c r="E703" s="114" t="n"/>
      <c r="F703" s="114" t="n"/>
      <c r="G703" s="24" t="n"/>
      <c r="V703" s="24" t="n"/>
      <c r="Y703" s="24" t="n"/>
      <c r="Z703" s="24" t="n"/>
      <c r="AA703" s="24" t="n"/>
      <c r="AB703" s="24" t="n"/>
      <c r="AC703" s="24" t="n"/>
      <c r="AD703" s="24" t="n"/>
      <c r="AE703" s="24" t="n"/>
    </row>
    <row r="704">
      <c r="A704" s="114" t="n"/>
      <c r="B704" s="114" t="n"/>
      <c r="C704" s="114" t="n"/>
      <c r="D704" s="114" t="n"/>
      <c r="E704" s="114" t="n"/>
      <c r="F704" s="114" t="n"/>
      <c r="G704" s="24" t="n"/>
      <c r="V704" s="24" t="n"/>
      <c r="Y704" s="24" t="n"/>
      <c r="Z704" s="24" t="n"/>
      <c r="AA704" s="24" t="n"/>
      <c r="AB704" s="24" t="n"/>
      <c r="AC704" s="24" t="n"/>
      <c r="AD704" s="24" t="n"/>
      <c r="AE704" s="24" t="n"/>
    </row>
    <row r="705">
      <c r="A705" s="114" t="n"/>
      <c r="B705" s="114" t="n"/>
      <c r="C705" s="114" t="n"/>
      <c r="D705" s="114" t="n"/>
      <c r="E705" s="114" t="n"/>
      <c r="F705" s="114" t="n"/>
      <c r="G705" s="24" t="n"/>
      <c r="V705" s="24" t="n"/>
      <c r="Y705" s="24" t="n"/>
      <c r="Z705" s="24" t="n"/>
      <c r="AA705" s="24" t="n"/>
      <c r="AB705" s="24" t="n"/>
      <c r="AC705" s="24" t="n"/>
      <c r="AD705" s="24" t="n"/>
      <c r="AE705" s="24" t="n"/>
    </row>
    <row r="706">
      <c r="A706" s="114" t="n"/>
      <c r="B706" s="114" t="n"/>
      <c r="C706" s="114" t="n"/>
      <c r="D706" s="114" t="n"/>
      <c r="E706" s="114" t="n"/>
      <c r="F706" s="114" t="n"/>
      <c r="G706" s="24" t="n"/>
      <c r="V706" s="24" t="n"/>
      <c r="Y706" s="24" t="n"/>
      <c r="Z706" s="24" t="n"/>
      <c r="AA706" s="24" t="n"/>
      <c r="AB706" s="24" t="n"/>
      <c r="AC706" s="24" t="n"/>
      <c r="AD706" s="24" t="n"/>
      <c r="AE706" s="24" t="n"/>
    </row>
    <row r="707">
      <c r="A707" s="114" t="n"/>
      <c r="B707" s="114" t="n"/>
      <c r="C707" s="114" t="n"/>
      <c r="D707" s="114" t="n"/>
      <c r="E707" s="114" t="n"/>
      <c r="F707" s="114" t="n"/>
      <c r="G707" s="24" t="n"/>
      <c r="V707" s="24" t="n"/>
      <c r="Y707" s="24" t="n"/>
      <c r="Z707" s="24" t="n"/>
      <c r="AA707" s="24" t="n"/>
      <c r="AB707" s="24" t="n"/>
      <c r="AC707" s="24" t="n"/>
      <c r="AD707" s="24" t="n"/>
      <c r="AE707" s="24" t="n"/>
    </row>
    <row r="708">
      <c r="A708" s="114" t="n"/>
      <c r="B708" s="114" t="n"/>
      <c r="C708" s="114" t="n"/>
      <c r="D708" s="114" t="n"/>
      <c r="E708" s="114" t="n"/>
      <c r="F708" s="114" t="n"/>
      <c r="G708" s="24" t="n"/>
      <c r="V708" s="24" t="n"/>
      <c r="Y708" s="24" t="n"/>
      <c r="Z708" s="24" t="n"/>
      <c r="AA708" s="24" t="n"/>
      <c r="AB708" s="24" t="n"/>
      <c r="AC708" s="24" t="n"/>
      <c r="AD708" s="24" t="n"/>
      <c r="AE708" s="24" t="n"/>
    </row>
    <row r="709">
      <c r="A709" s="114" t="n"/>
      <c r="B709" s="114" t="n"/>
      <c r="C709" s="114" t="n"/>
      <c r="D709" s="114" t="n"/>
      <c r="E709" s="114" t="n"/>
      <c r="F709" s="114" t="n"/>
      <c r="G709" s="24" t="n"/>
      <c r="V709" s="24" t="n"/>
      <c r="Y709" s="24" t="n"/>
      <c r="Z709" s="24" t="n"/>
      <c r="AA709" s="24" t="n"/>
      <c r="AB709" s="24" t="n"/>
      <c r="AC709" s="24" t="n"/>
      <c r="AD709" s="24" t="n"/>
      <c r="AE709" s="24" t="n"/>
    </row>
    <row r="710">
      <c r="A710" s="114" t="n"/>
      <c r="B710" s="114" t="n"/>
      <c r="C710" s="114" t="n"/>
      <c r="D710" s="114" t="n"/>
      <c r="E710" s="114" t="n"/>
      <c r="F710" s="114" t="n"/>
      <c r="G710" s="24" t="n"/>
      <c r="V710" s="24" t="n"/>
      <c r="Y710" s="24" t="n"/>
      <c r="Z710" s="24" t="n"/>
      <c r="AA710" s="24" t="n"/>
      <c r="AB710" s="24" t="n"/>
      <c r="AC710" s="24" t="n"/>
      <c r="AD710" s="24" t="n"/>
      <c r="AE710" s="24" t="n"/>
    </row>
    <row r="711">
      <c r="A711" s="114" t="n"/>
      <c r="B711" s="114" t="n"/>
      <c r="C711" s="114" t="n"/>
      <c r="D711" s="114" t="n"/>
      <c r="E711" s="114" t="n"/>
      <c r="F711" s="114" t="n"/>
      <c r="G711" s="24" t="n"/>
      <c r="V711" s="24" t="n"/>
      <c r="Y711" s="24" t="n"/>
      <c r="Z711" s="24" t="n"/>
      <c r="AA711" s="24" t="n"/>
      <c r="AB711" s="24" t="n"/>
      <c r="AC711" s="24" t="n"/>
      <c r="AD711" s="24" t="n"/>
      <c r="AE711" s="24" t="n"/>
    </row>
    <row r="712">
      <c r="A712" s="114" t="n"/>
      <c r="B712" s="114" t="n"/>
      <c r="C712" s="114" t="n"/>
      <c r="D712" s="114" t="n"/>
      <c r="E712" s="114" t="n"/>
      <c r="F712" s="114" t="n"/>
      <c r="G712" s="24" t="n"/>
      <c r="V712" s="24" t="n"/>
      <c r="Y712" s="24" t="n"/>
      <c r="Z712" s="24" t="n"/>
      <c r="AA712" s="24" t="n"/>
      <c r="AB712" s="24" t="n"/>
      <c r="AC712" s="24" t="n"/>
      <c r="AD712" s="24" t="n"/>
      <c r="AE712" s="24" t="n"/>
    </row>
    <row r="713">
      <c r="A713" s="114" t="n"/>
      <c r="B713" s="114" t="n"/>
      <c r="C713" s="114" t="n"/>
      <c r="D713" s="114" t="n"/>
      <c r="E713" s="114" t="n"/>
      <c r="F713" s="114" t="n"/>
      <c r="G713" s="24" t="n"/>
      <c r="V713" s="24" t="n"/>
      <c r="Y713" s="24" t="n"/>
      <c r="Z713" s="24" t="n"/>
      <c r="AA713" s="24" t="n"/>
      <c r="AB713" s="24" t="n"/>
      <c r="AC713" s="24" t="n"/>
      <c r="AD713" s="24" t="n"/>
      <c r="AE713" s="24" t="n"/>
    </row>
    <row r="714">
      <c r="A714" s="114" t="n"/>
      <c r="B714" s="114" t="n"/>
      <c r="C714" s="114" t="n"/>
      <c r="D714" s="114" t="n"/>
      <c r="E714" s="114" t="n"/>
      <c r="F714" s="114" t="n"/>
      <c r="G714" s="24" t="n"/>
      <c r="V714" s="24" t="n"/>
      <c r="Y714" s="24" t="n"/>
      <c r="Z714" s="24" t="n"/>
      <c r="AA714" s="24" t="n"/>
      <c r="AB714" s="24" t="n"/>
      <c r="AC714" s="24" t="n"/>
      <c r="AD714" s="24" t="n"/>
      <c r="AE714" s="24" t="n"/>
    </row>
    <row r="715">
      <c r="A715" s="114" t="n"/>
      <c r="B715" s="114" t="n"/>
      <c r="C715" s="114" t="n"/>
      <c r="D715" s="114" t="n"/>
      <c r="E715" s="114" t="n"/>
      <c r="F715" s="114" t="n"/>
      <c r="G715" s="24" t="n"/>
      <c r="V715" s="24" t="n"/>
      <c r="Y715" s="24" t="n"/>
      <c r="Z715" s="24" t="n"/>
      <c r="AA715" s="24" t="n"/>
      <c r="AB715" s="24" t="n"/>
      <c r="AC715" s="24" t="n"/>
      <c r="AD715" s="24" t="n"/>
      <c r="AE715" s="24" t="n"/>
    </row>
    <row r="716">
      <c r="A716" s="114" t="n"/>
      <c r="B716" s="114" t="n"/>
      <c r="C716" s="114" t="n"/>
      <c r="D716" s="114" t="n"/>
      <c r="E716" s="114" t="n"/>
      <c r="F716" s="114" t="n"/>
      <c r="G716" s="24" t="n"/>
      <c r="V716" s="24" t="n"/>
      <c r="Y716" s="24" t="n"/>
      <c r="Z716" s="24" t="n"/>
      <c r="AA716" s="24" t="n"/>
      <c r="AB716" s="24" t="n"/>
      <c r="AC716" s="24" t="n"/>
      <c r="AD716" s="24" t="n"/>
      <c r="AE716" s="24" t="n"/>
    </row>
    <row r="717">
      <c r="A717" s="114" t="n"/>
      <c r="B717" s="114" t="n"/>
      <c r="C717" s="114" t="n"/>
      <c r="D717" s="114" t="n"/>
      <c r="E717" s="114" t="n"/>
      <c r="F717" s="114" t="n"/>
      <c r="G717" s="24" t="n"/>
      <c r="V717" s="24" t="n"/>
      <c r="Y717" s="24" t="n"/>
      <c r="Z717" s="24" t="n"/>
      <c r="AA717" s="24" t="n"/>
      <c r="AB717" s="24" t="n"/>
      <c r="AC717" s="24" t="n"/>
      <c r="AD717" s="24" t="n"/>
      <c r="AE717" s="24" t="n"/>
    </row>
    <row r="718">
      <c r="A718" s="114" t="n"/>
      <c r="B718" s="114" t="n"/>
      <c r="C718" s="114" t="n"/>
      <c r="D718" s="114" t="n"/>
      <c r="E718" s="114" t="n"/>
      <c r="F718" s="114" t="n"/>
      <c r="G718" s="24" t="n"/>
      <c r="V718" s="24" t="n"/>
      <c r="Y718" s="24" t="n"/>
      <c r="Z718" s="24" t="n"/>
      <c r="AA718" s="24" t="n"/>
      <c r="AB718" s="24" t="n"/>
      <c r="AC718" s="24" t="n"/>
      <c r="AD718" s="24" t="n"/>
      <c r="AE718" s="24" t="n"/>
    </row>
    <row r="719">
      <c r="A719" s="114" t="n"/>
      <c r="B719" s="114" t="n"/>
      <c r="C719" s="114" t="n"/>
      <c r="D719" s="114" t="n"/>
      <c r="E719" s="114" t="n"/>
      <c r="F719" s="114" t="n"/>
      <c r="G719" s="24" t="n"/>
      <c r="V719" s="24" t="n"/>
      <c r="Y719" s="24" t="n"/>
      <c r="Z719" s="24" t="n"/>
      <c r="AA719" s="24" t="n"/>
      <c r="AB719" s="24" t="n"/>
      <c r="AC719" s="24" t="n"/>
      <c r="AD719" s="24" t="n"/>
      <c r="AE719" s="24" t="n"/>
    </row>
    <row r="720">
      <c r="A720" s="114" t="n"/>
      <c r="B720" s="114" t="n"/>
      <c r="C720" s="114" t="n"/>
      <c r="D720" s="114" t="n"/>
      <c r="E720" s="114" t="n"/>
      <c r="F720" s="114" t="n"/>
      <c r="G720" s="24" t="n"/>
      <c r="V720" s="24" t="n"/>
      <c r="Y720" s="24" t="n"/>
      <c r="Z720" s="24" t="n"/>
      <c r="AA720" s="24" t="n"/>
      <c r="AB720" s="24" t="n"/>
      <c r="AC720" s="24" t="n"/>
      <c r="AD720" s="24" t="n"/>
      <c r="AE720" s="24" t="n"/>
    </row>
    <row r="721">
      <c r="A721" s="114" t="n"/>
      <c r="B721" s="114" t="n"/>
      <c r="C721" s="114" t="n"/>
      <c r="D721" s="114" t="n"/>
      <c r="E721" s="114" t="n"/>
      <c r="F721" s="114" t="n"/>
      <c r="G721" s="24" t="n"/>
      <c r="V721" s="24" t="n"/>
      <c r="Y721" s="24" t="n"/>
      <c r="Z721" s="24" t="n"/>
      <c r="AA721" s="24" t="n"/>
      <c r="AB721" s="24" t="n"/>
      <c r="AC721" s="24" t="n"/>
      <c r="AD721" s="24" t="n"/>
      <c r="AE721" s="24" t="n"/>
    </row>
    <row r="722">
      <c r="A722" s="114" t="n"/>
      <c r="B722" s="114" t="n"/>
      <c r="C722" s="114" t="n"/>
      <c r="D722" s="114" t="n"/>
      <c r="E722" s="114" t="n"/>
      <c r="F722" s="114" t="n"/>
      <c r="G722" s="24" t="n"/>
      <c r="V722" s="24" t="n"/>
      <c r="Y722" s="24" t="n"/>
      <c r="Z722" s="24" t="n"/>
      <c r="AA722" s="24" t="n"/>
      <c r="AB722" s="24" t="n"/>
      <c r="AC722" s="24" t="n"/>
      <c r="AD722" s="24" t="n"/>
      <c r="AE722" s="24" t="n"/>
    </row>
    <row r="723">
      <c r="A723" s="114" t="n"/>
      <c r="B723" s="114" t="n"/>
      <c r="C723" s="114" t="n"/>
      <c r="D723" s="114" t="n"/>
      <c r="E723" s="114" t="n"/>
      <c r="F723" s="114" t="n"/>
      <c r="G723" s="24" t="n"/>
      <c r="V723" s="24" t="n"/>
      <c r="Y723" s="24" t="n"/>
      <c r="Z723" s="24" t="n"/>
      <c r="AA723" s="24" t="n"/>
      <c r="AB723" s="24" t="n"/>
      <c r="AC723" s="24" t="n"/>
      <c r="AD723" s="24" t="n"/>
      <c r="AE723" s="24" t="n"/>
    </row>
    <row r="724">
      <c r="A724" s="114" t="n"/>
      <c r="B724" s="114" t="n"/>
      <c r="C724" s="114" t="n"/>
      <c r="D724" s="114" t="n"/>
      <c r="E724" s="114" t="n"/>
      <c r="F724" s="114" t="n"/>
      <c r="G724" s="24" t="n"/>
      <c r="V724" s="24" t="n"/>
      <c r="Y724" s="24" t="n"/>
      <c r="Z724" s="24" t="n"/>
      <c r="AA724" s="24" t="n"/>
      <c r="AB724" s="24" t="n"/>
      <c r="AC724" s="24" t="n"/>
      <c r="AD724" s="24" t="n"/>
      <c r="AE724" s="24" t="n"/>
    </row>
    <row r="725">
      <c r="A725" s="114" t="n"/>
      <c r="B725" s="114" t="n"/>
      <c r="C725" s="114" t="n"/>
      <c r="D725" s="114" t="n"/>
      <c r="E725" s="114" t="n"/>
      <c r="F725" s="114" t="n"/>
      <c r="G725" s="24" t="n"/>
      <c r="V725" s="24" t="n"/>
      <c r="Y725" s="24" t="n"/>
      <c r="Z725" s="24" t="n"/>
      <c r="AA725" s="24" t="n"/>
      <c r="AB725" s="24" t="n"/>
      <c r="AC725" s="24" t="n"/>
      <c r="AD725" s="24" t="n"/>
      <c r="AE725" s="24" t="n"/>
    </row>
    <row r="726">
      <c r="A726" s="114" t="n"/>
      <c r="B726" s="114" t="n"/>
      <c r="C726" s="114" t="n"/>
      <c r="D726" s="114" t="n"/>
      <c r="E726" s="114" t="n"/>
      <c r="F726" s="114" t="n"/>
      <c r="G726" s="24" t="n"/>
      <c r="V726" s="24" t="n"/>
      <c r="Y726" s="24" t="n"/>
      <c r="Z726" s="24" t="n"/>
      <c r="AA726" s="24" t="n"/>
      <c r="AB726" s="24" t="n"/>
      <c r="AC726" s="24" t="n"/>
      <c r="AD726" s="24" t="n"/>
      <c r="AE726" s="24" t="n"/>
    </row>
    <row r="727">
      <c r="A727" s="114" t="n"/>
      <c r="B727" s="114" t="n"/>
      <c r="C727" s="114" t="n"/>
      <c r="D727" s="114" t="n"/>
      <c r="E727" s="114" t="n"/>
      <c r="F727" s="114" t="n"/>
      <c r="G727" s="24" t="n"/>
      <c r="V727" s="24" t="n"/>
      <c r="Y727" s="24" t="n"/>
      <c r="Z727" s="24" t="n"/>
      <c r="AA727" s="24" t="n"/>
      <c r="AB727" s="24" t="n"/>
      <c r="AC727" s="24" t="n"/>
      <c r="AD727" s="24" t="n"/>
      <c r="AE727" s="24" t="n"/>
    </row>
    <row r="728">
      <c r="A728" s="114" t="n"/>
      <c r="B728" s="114" t="n"/>
      <c r="C728" s="114" t="n"/>
      <c r="D728" s="114" t="n"/>
      <c r="E728" s="114" t="n"/>
      <c r="F728" s="114" t="n"/>
      <c r="G728" s="24" t="n"/>
      <c r="V728" s="24" t="n"/>
      <c r="Y728" s="24" t="n"/>
      <c r="Z728" s="24" t="n"/>
      <c r="AA728" s="24" t="n"/>
      <c r="AB728" s="24" t="n"/>
      <c r="AC728" s="24" t="n"/>
      <c r="AD728" s="24" t="n"/>
      <c r="AE728" s="24" t="n"/>
    </row>
    <row r="729">
      <c r="A729" s="114" t="n"/>
      <c r="B729" s="114" t="n"/>
      <c r="C729" s="114" t="n"/>
      <c r="D729" s="114" t="n"/>
      <c r="E729" s="114" t="n"/>
      <c r="F729" s="114" t="n"/>
      <c r="G729" s="24" t="n"/>
      <c r="V729" s="24" t="n"/>
      <c r="Y729" s="24" t="n"/>
      <c r="Z729" s="24" t="n"/>
      <c r="AA729" s="24" t="n"/>
      <c r="AB729" s="24" t="n"/>
      <c r="AC729" s="24" t="n"/>
      <c r="AD729" s="24" t="n"/>
      <c r="AE729" s="24" t="n"/>
    </row>
    <row r="730">
      <c r="A730" s="114" t="n"/>
      <c r="B730" s="114" t="n"/>
      <c r="C730" s="114" t="n"/>
      <c r="D730" s="114" t="n"/>
      <c r="E730" s="114" t="n"/>
      <c r="F730" s="114" t="n"/>
      <c r="G730" s="24" t="n"/>
      <c r="V730" s="24" t="n"/>
      <c r="Y730" s="24" t="n"/>
      <c r="Z730" s="24" t="n"/>
      <c r="AA730" s="24" t="n"/>
      <c r="AB730" s="24" t="n"/>
      <c r="AC730" s="24" t="n"/>
      <c r="AD730" s="24" t="n"/>
      <c r="AE730" s="24" t="n"/>
    </row>
    <row r="731">
      <c r="A731" s="114" t="n"/>
      <c r="B731" s="114" t="n"/>
      <c r="C731" s="114" t="n"/>
      <c r="D731" s="114" t="n"/>
      <c r="E731" s="114" t="n"/>
      <c r="F731" s="114" t="n"/>
      <c r="G731" s="24" t="n"/>
      <c r="V731" s="24" t="n"/>
      <c r="Y731" s="24" t="n"/>
      <c r="Z731" s="24" t="n"/>
      <c r="AA731" s="24" t="n"/>
      <c r="AB731" s="24" t="n"/>
      <c r="AC731" s="24" t="n"/>
      <c r="AD731" s="24" t="n"/>
      <c r="AE731" s="24" t="n"/>
    </row>
    <row r="732">
      <c r="A732" s="114" t="n"/>
      <c r="B732" s="114" t="n"/>
      <c r="C732" s="114" t="n"/>
      <c r="D732" s="114" t="n"/>
      <c r="E732" s="114" t="n"/>
      <c r="F732" s="114" t="n"/>
      <c r="G732" s="24" t="n"/>
      <c r="V732" s="24" t="n"/>
      <c r="Y732" s="24" t="n"/>
      <c r="Z732" s="24" t="n"/>
      <c r="AA732" s="24" t="n"/>
      <c r="AB732" s="24" t="n"/>
      <c r="AC732" s="24" t="n"/>
      <c r="AD732" s="24" t="n"/>
      <c r="AE732" s="24" t="n"/>
    </row>
    <row r="733">
      <c r="A733" s="114" t="n"/>
      <c r="B733" s="114" t="n"/>
      <c r="C733" s="114" t="n"/>
      <c r="D733" s="114" t="n"/>
      <c r="E733" s="114" t="n"/>
      <c r="F733" s="114" t="n"/>
      <c r="G733" s="24" t="n"/>
      <c r="V733" s="24" t="n"/>
      <c r="Y733" s="24" t="n"/>
      <c r="Z733" s="24" t="n"/>
      <c r="AA733" s="24" t="n"/>
      <c r="AB733" s="24" t="n"/>
      <c r="AC733" s="24" t="n"/>
      <c r="AD733" s="24" t="n"/>
      <c r="AE733" s="24" t="n"/>
    </row>
    <row r="734">
      <c r="A734" s="114" t="n"/>
      <c r="B734" s="114" t="n"/>
      <c r="C734" s="114" t="n"/>
      <c r="D734" s="114" t="n"/>
      <c r="E734" s="114" t="n"/>
      <c r="F734" s="114" t="n"/>
      <c r="G734" s="24" t="n"/>
      <c r="V734" s="24" t="n"/>
      <c r="Y734" s="24" t="n"/>
      <c r="Z734" s="24" t="n"/>
      <c r="AA734" s="24" t="n"/>
      <c r="AB734" s="24" t="n"/>
      <c r="AC734" s="24" t="n"/>
      <c r="AD734" s="24" t="n"/>
      <c r="AE734" s="24" t="n"/>
    </row>
    <row r="735">
      <c r="A735" s="114" t="n"/>
      <c r="B735" s="114" t="n"/>
      <c r="C735" s="114" t="n"/>
      <c r="D735" s="114" t="n"/>
      <c r="E735" s="114" t="n"/>
      <c r="F735" s="114" t="n"/>
      <c r="G735" s="24" t="n"/>
      <c r="V735" s="24" t="n"/>
      <c r="Y735" s="24" t="n"/>
      <c r="Z735" s="24" t="n"/>
      <c r="AA735" s="24" t="n"/>
      <c r="AB735" s="24" t="n"/>
      <c r="AC735" s="24" t="n"/>
      <c r="AD735" s="24" t="n"/>
      <c r="AE735" s="24" t="n"/>
    </row>
    <row r="736">
      <c r="A736" s="114" t="n"/>
      <c r="B736" s="114" t="n"/>
      <c r="C736" s="114" t="n"/>
      <c r="D736" s="114" t="n"/>
      <c r="E736" s="114" t="n"/>
      <c r="F736" s="114" t="n"/>
      <c r="G736" s="24" t="n"/>
      <c r="V736" s="24" t="n"/>
      <c r="Y736" s="24" t="n"/>
      <c r="Z736" s="24" t="n"/>
      <c r="AA736" s="24" t="n"/>
      <c r="AB736" s="24" t="n"/>
      <c r="AC736" s="24" t="n"/>
      <c r="AD736" s="24" t="n"/>
      <c r="AE736" s="24" t="n"/>
    </row>
    <row r="737">
      <c r="A737" s="114" t="n"/>
      <c r="B737" s="114" t="n"/>
      <c r="C737" s="114" t="n"/>
      <c r="D737" s="114" t="n"/>
      <c r="E737" s="114" t="n"/>
      <c r="F737" s="114" t="n"/>
      <c r="G737" s="24" t="n"/>
      <c r="V737" s="24" t="n"/>
      <c r="Y737" s="24" t="n"/>
      <c r="Z737" s="24" t="n"/>
      <c r="AA737" s="24" t="n"/>
      <c r="AB737" s="24" t="n"/>
      <c r="AC737" s="24" t="n"/>
      <c r="AD737" s="24" t="n"/>
      <c r="AE737" s="24" t="n"/>
    </row>
    <row r="738">
      <c r="A738" s="114" t="n"/>
      <c r="B738" s="114" t="n"/>
      <c r="C738" s="114" t="n"/>
      <c r="D738" s="114" t="n"/>
      <c r="E738" s="114" t="n"/>
      <c r="F738" s="114" t="n"/>
      <c r="G738" s="24" t="n"/>
      <c r="V738" s="24" t="n"/>
      <c r="Y738" s="24" t="n"/>
      <c r="Z738" s="24" t="n"/>
      <c r="AA738" s="24" t="n"/>
      <c r="AB738" s="24" t="n"/>
      <c r="AC738" s="24" t="n"/>
      <c r="AD738" s="24" t="n"/>
      <c r="AE738" s="24" t="n"/>
    </row>
    <row r="739">
      <c r="A739" s="114" t="n"/>
      <c r="B739" s="114" t="n"/>
      <c r="C739" s="114" t="n"/>
      <c r="D739" s="114" t="n"/>
      <c r="E739" s="114" t="n"/>
      <c r="F739" s="114" t="n"/>
      <c r="G739" s="24" t="n"/>
      <c r="V739" s="24" t="n"/>
      <c r="Y739" s="24" t="n"/>
      <c r="Z739" s="24" t="n"/>
      <c r="AA739" s="24" t="n"/>
      <c r="AB739" s="24" t="n"/>
      <c r="AC739" s="24" t="n"/>
      <c r="AD739" s="24" t="n"/>
      <c r="AE739" s="24" t="n"/>
    </row>
    <row r="740">
      <c r="A740" s="114" t="n"/>
      <c r="B740" s="114" t="n"/>
      <c r="C740" s="114" t="n"/>
      <c r="D740" s="114" t="n"/>
      <c r="E740" s="114" t="n"/>
      <c r="F740" s="114" t="n"/>
      <c r="G740" s="24" t="n"/>
      <c r="V740" s="24" t="n"/>
      <c r="Y740" s="24" t="n"/>
      <c r="Z740" s="24" t="n"/>
      <c r="AA740" s="24" t="n"/>
      <c r="AB740" s="24" t="n"/>
      <c r="AC740" s="24" t="n"/>
      <c r="AD740" s="24" t="n"/>
      <c r="AE740" s="24" t="n"/>
    </row>
    <row r="741">
      <c r="A741" s="114" t="n"/>
      <c r="B741" s="114" t="n"/>
      <c r="C741" s="114" t="n"/>
      <c r="D741" s="114" t="n"/>
      <c r="E741" s="114" t="n"/>
      <c r="F741" s="114" t="n"/>
      <c r="G741" s="24" t="n"/>
      <c r="V741" s="24" t="n"/>
      <c r="Y741" s="24" t="n"/>
      <c r="Z741" s="24" t="n"/>
      <c r="AA741" s="24" t="n"/>
      <c r="AB741" s="24" t="n"/>
      <c r="AC741" s="24" t="n"/>
      <c r="AD741" s="24" t="n"/>
      <c r="AE741" s="24" t="n"/>
    </row>
    <row r="742">
      <c r="A742" s="114" t="n"/>
      <c r="B742" s="114" t="n"/>
      <c r="C742" s="114" t="n"/>
      <c r="D742" s="114" t="n"/>
      <c r="E742" s="114" t="n"/>
      <c r="F742" s="114" t="n"/>
      <c r="G742" s="24" t="n"/>
      <c r="V742" s="24" t="n"/>
      <c r="Y742" s="24" t="n"/>
      <c r="Z742" s="24" t="n"/>
      <c r="AA742" s="24" t="n"/>
      <c r="AB742" s="24" t="n"/>
      <c r="AC742" s="24" t="n"/>
      <c r="AD742" s="24" t="n"/>
      <c r="AE742" s="24" t="n"/>
    </row>
    <row r="743">
      <c r="A743" s="114" t="n"/>
      <c r="B743" s="114" t="n"/>
      <c r="C743" s="114" t="n"/>
      <c r="D743" s="114" t="n"/>
      <c r="E743" s="114" t="n"/>
      <c r="F743" s="114" t="n"/>
      <c r="G743" s="24" t="n"/>
      <c r="V743" s="24" t="n"/>
      <c r="Y743" s="24" t="n"/>
      <c r="Z743" s="24" t="n"/>
      <c r="AA743" s="24" t="n"/>
      <c r="AB743" s="24" t="n"/>
      <c r="AC743" s="24" t="n"/>
      <c r="AD743" s="24" t="n"/>
      <c r="AE743" s="24" t="n"/>
    </row>
    <row r="744">
      <c r="A744" s="114" t="n"/>
      <c r="B744" s="114" t="n"/>
      <c r="C744" s="114" t="n"/>
      <c r="D744" s="114" t="n"/>
      <c r="E744" s="114" t="n"/>
      <c r="F744" s="114" t="n"/>
      <c r="G744" s="24" t="n"/>
      <c r="V744" s="24" t="n"/>
      <c r="Y744" s="24" t="n"/>
      <c r="Z744" s="24" t="n"/>
      <c r="AA744" s="24" t="n"/>
      <c r="AB744" s="24" t="n"/>
      <c r="AC744" s="24" t="n"/>
      <c r="AD744" s="24" t="n"/>
      <c r="AE744" s="24" t="n"/>
    </row>
    <row r="745">
      <c r="A745" s="114" t="n"/>
      <c r="B745" s="114" t="n"/>
      <c r="C745" s="114" t="n"/>
      <c r="D745" s="114" t="n"/>
      <c r="E745" s="114" t="n"/>
      <c r="F745" s="114" t="n"/>
      <c r="G745" s="24" t="n"/>
      <c r="V745" s="24" t="n"/>
      <c r="Y745" s="24" t="n"/>
      <c r="Z745" s="24" t="n"/>
      <c r="AA745" s="24" t="n"/>
      <c r="AB745" s="24" t="n"/>
      <c r="AC745" s="24" t="n"/>
      <c r="AD745" s="24" t="n"/>
      <c r="AE745" s="24" t="n"/>
    </row>
    <row r="746">
      <c r="A746" s="114" t="n"/>
      <c r="B746" s="114" t="n"/>
      <c r="C746" s="114" t="n"/>
      <c r="D746" s="114" t="n"/>
      <c r="E746" s="114" t="n"/>
      <c r="F746" s="114" t="n"/>
      <c r="G746" s="24" t="n"/>
      <c r="V746" s="24" t="n"/>
      <c r="Y746" s="24" t="n"/>
      <c r="Z746" s="24" t="n"/>
      <c r="AA746" s="24" t="n"/>
      <c r="AB746" s="24" t="n"/>
      <c r="AC746" s="24" t="n"/>
      <c r="AD746" s="24" t="n"/>
      <c r="AE746" s="24" t="n"/>
    </row>
    <row r="747">
      <c r="A747" s="114" t="n"/>
      <c r="B747" s="114" t="n"/>
      <c r="C747" s="114" t="n"/>
      <c r="D747" s="114" t="n"/>
      <c r="E747" s="114" t="n"/>
      <c r="F747" s="114" t="n"/>
      <c r="G747" s="24" t="n"/>
      <c r="V747" s="24" t="n"/>
      <c r="Y747" s="24" t="n"/>
      <c r="Z747" s="24" t="n"/>
      <c r="AA747" s="24" t="n"/>
      <c r="AB747" s="24" t="n"/>
      <c r="AC747" s="24" t="n"/>
      <c r="AD747" s="24" t="n"/>
      <c r="AE747" s="24" t="n"/>
    </row>
    <row r="748">
      <c r="A748" s="114" t="n"/>
      <c r="B748" s="114" t="n"/>
      <c r="C748" s="114" t="n"/>
      <c r="D748" s="114" t="n"/>
      <c r="E748" s="114" t="n"/>
      <c r="F748" s="114" t="n"/>
      <c r="G748" s="24" t="n"/>
      <c r="V748" s="24" t="n"/>
      <c r="Y748" s="24" t="n"/>
      <c r="Z748" s="24" t="n"/>
      <c r="AA748" s="24" t="n"/>
      <c r="AB748" s="24" t="n"/>
      <c r="AC748" s="24" t="n"/>
      <c r="AD748" s="24" t="n"/>
      <c r="AE748" s="24" t="n"/>
    </row>
    <row r="749">
      <c r="A749" s="114" t="n"/>
      <c r="B749" s="114" t="n"/>
      <c r="C749" s="114" t="n"/>
      <c r="D749" s="114" t="n"/>
      <c r="E749" s="114" t="n"/>
      <c r="F749" s="114" t="n"/>
      <c r="G749" s="24" t="n"/>
      <c r="V749" s="24" t="n"/>
      <c r="Y749" s="24" t="n"/>
      <c r="Z749" s="24" t="n"/>
      <c r="AA749" s="24" t="n"/>
      <c r="AB749" s="24" t="n"/>
      <c r="AC749" s="24" t="n"/>
      <c r="AD749" s="24" t="n"/>
      <c r="AE749" s="24" t="n"/>
    </row>
    <row r="750">
      <c r="A750" s="114" t="n"/>
      <c r="B750" s="114" t="n"/>
      <c r="C750" s="114" t="n"/>
      <c r="D750" s="114" t="n"/>
      <c r="E750" s="114" t="n"/>
      <c r="F750" s="114" t="n"/>
      <c r="G750" s="24" t="n"/>
      <c r="V750" s="24" t="n"/>
      <c r="Y750" s="24" t="n"/>
      <c r="Z750" s="24" t="n"/>
      <c r="AA750" s="24" t="n"/>
      <c r="AB750" s="24" t="n"/>
      <c r="AC750" s="24" t="n"/>
      <c r="AD750" s="24" t="n"/>
      <c r="AE750" s="24" t="n"/>
    </row>
    <row r="751">
      <c r="A751" s="114" t="n"/>
      <c r="B751" s="114" t="n"/>
      <c r="C751" s="114" t="n"/>
      <c r="D751" s="114" t="n"/>
      <c r="E751" s="114" t="n"/>
      <c r="F751" s="114" t="n"/>
      <c r="G751" s="24" t="n"/>
      <c r="V751" s="24" t="n"/>
      <c r="Y751" s="24" t="n"/>
      <c r="Z751" s="24" t="n"/>
      <c r="AA751" s="24" t="n"/>
      <c r="AB751" s="24" t="n"/>
      <c r="AC751" s="24" t="n"/>
      <c r="AD751" s="24" t="n"/>
      <c r="AE751" s="24" t="n"/>
    </row>
    <row r="752">
      <c r="A752" s="114" t="n"/>
      <c r="B752" s="114" t="n"/>
      <c r="C752" s="114" t="n"/>
      <c r="D752" s="114" t="n"/>
      <c r="E752" s="114" t="n"/>
      <c r="F752" s="114" t="n"/>
      <c r="G752" s="24" t="n"/>
      <c r="V752" s="24" t="n"/>
      <c r="Y752" s="24" t="n"/>
      <c r="Z752" s="24" t="n"/>
      <c r="AA752" s="24" t="n"/>
      <c r="AB752" s="24" t="n"/>
      <c r="AC752" s="24" t="n"/>
      <c r="AD752" s="24" t="n"/>
      <c r="AE752" s="24" t="n"/>
    </row>
    <row r="753">
      <c r="A753" s="114" t="n"/>
      <c r="B753" s="114" t="n"/>
      <c r="C753" s="114" t="n"/>
      <c r="D753" s="114" t="n"/>
      <c r="E753" s="114" t="n"/>
      <c r="F753" s="114" t="n"/>
      <c r="G753" s="24" t="n"/>
      <c r="V753" s="24" t="n"/>
      <c r="Y753" s="24" t="n"/>
      <c r="Z753" s="24" t="n"/>
      <c r="AA753" s="24" t="n"/>
      <c r="AB753" s="24" t="n"/>
      <c r="AC753" s="24" t="n"/>
      <c r="AD753" s="24" t="n"/>
      <c r="AE753" s="24" t="n"/>
    </row>
    <row r="754">
      <c r="A754" s="114" t="n"/>
      <c r="B754" s="114" t="n"/>
      <c r="C754" s="114" t="n"/>
      <c r="D754" s="114" t="n"/>
      <c r="E754" s="114" t="n"/>
      <c r="F754" s="114" t="n"/>
      <c r="G754" s="24" t="n"/>
      <c r="V754" s="24" t="n"/>
      <c r="Y754" s="24" t="n"/>
      <c r="Z754" s="24" t="n"/>
      <c r="AA754" s="24" t="n"/>
      <c r="AB754" s="24" t="n"/>
      <c r="AC754" s="24" t="n"/>
      <c r="AD754" s="24" t="n"/>
      <c r="AE754" s="24" t="n"/>
    </row>
    <row r="755">
      <c r="A755" s="114" t="n"/>
      <c r="B755" s="114" t="n"/>
      <c r="C755" s="114" t="n"/>
      <c r="D755" s="114" t="n"/>
      <c r="E755" s="114" t="n"/>
      <c r="F755" s="114" t="n"/>
      <c r="G755" s="24" t="n"/>
      <c r="V755" s="24" t="n"/>
      <c r="Y755" s="24" t="n"/>
      <c r="Z755" s="24" t="n"/>
      <c r="AA755" s="24" t="n"/>
      <c r="AB755" s="24" t="n"/>
      <c r="AC755" s="24" t="n"/>
      <c r="AD755" s="24" t="n"/>
      <c r="AE755" s="24" t="n"/>
    </row>
    <row r="756">
      <c r="A756" s="114" t="n"/>
      <c r="B756" s="114" t="n"/>
      <c r="C756" s="114" t="n"/>
      <c r="D756" s="114" t="n"/>
      <c r="E756" s="114" t="n"/>
      <c r="F756" s="114" t="n"/>
      <c r="G756" s="24" t="n"/>
      <c r="V756" s="24" t="n"/>
      <c r="Y756" s="24" t="n"/>
      <c r="Z756" s="24" t="n"/>
      <c r="AA756" s="24" t="n"/>
      <c r="AB756" s="24" t="n"/>
      <c r="AC756" s="24" t="n"/>
      <c r="AD756" s="24" t="n"/>
      <c r="AE756" s="24" t="n"/>
    </row>
    <row r="757">
      <c r="A757" s="114" t="n"/>
      <c r="B757" s="114" t="n"/>
      <c r="C757" s="114" t="n"/>
      <c r="D757" s="114" t="n"/>
      <c r="E757" s="114" t="n"/>
      <c r="F757" s="114" t="n"/>
      <c r="G757" s="24" t="n"/>
      <c r="V757" s="24" t="n"/>
      <c r="Y757" s="24" t="n"/>
      <c r="Z757" s="24" t="n"/>
      <c r="AA757" s="24" t="n"/>
      <c r="AB757" s="24" t="n"/>
      <c r="AC757" s="24" t="n"/>
      <c r="AD757" s="24" t="n"/>
      <c r="AE757" s="24" t="n"/>
    </row>
    <row r="758">
      <c r="A758" s="114" t="n"/>
      <c r="B758" s="114" t="n"/>
      <c r="C758" s="114" t="n"/>
      <c r="D758" s="114" t="n"/>
      <c r="E758" s="114" t="n"/>
      <c r="F758" s="114" t="n"/>
      <c r="G758" s="24" t="n"/>
      <c r="V758" s="24" t="n"/>
      <c r="Y758" s="24" t="n"/>
      <c r="Z758" s="24" t="n"/>
      <c r="AA758" s="24" t="n"/>
      <c r="AB758" s="24" t="n"/>
      <c r="AC758" s="24" t="n"/>
      <c r="AD758" s="24" t="n"/>
      <c r="AE758" s="24" t="n"/>
    </row>
    <row r="759">
      <c r="A759" s="114" t="n"/>
      <c r="B759" s="114" t="n"/>
      <c r="C759" s="114" t="n"/>
      <c r="D759" s="114" t="n"/>
      <c r="E759" s="114" t="n"/>
      <c r="F759" s="114" t="n"/>
      <c r="G759" s="24" t="n"/>
      <c r="V759" s="24" t="n"/>
      <c r="Y759" s="24" t="n"/>
      <c r="Z759" s="24" t="n"/>
      <c r="AA759" s="24" t="n"/>
      <c r="AB759" s="24" t="n"/>
      <c r="AC759" s="24" t="n"/>
      <c r="AD759" s="24" t="n"/>
      <c r="AE759" s="24" t="n"/>
    </row>
    <row r="760">
      <c r="A760" s="114" t="n"/>
      <c r="B760" s="114" t="n"/>
      <c r="C760" s="114" t="n"/>
      <c r="D760" s="114" t="n"/>
      <c r="E760" s="114" t="n"/>
      <c r="F760" s="114" t="n"/>
      <c r="G760" s="24" t="n"/>
      <c r="V760" s="24" t="n"/>
      <c r="Y760" s="24" t="n"/>
      <c r="Z760" s="24" t="n"/>
      <c r="AA760" s="24" t="n"/>
      <c r="AB760" s="24" t="n"/>
      <c r="AC760" s="24" t="n"/>
      <c r="AD760" s="24" t="n"/>
      <c r="AE760" s="24" t="n"/>
    </row>
    <row r="761">
      <c r="A761" s="114" t="n"/>
      <c r="B761" s="114" t="n"/>
      <c r="C761" s="114" t="n"/>
      <c r="D761" s="114" t="n"/>
      <c r="E761" s="114" t="n"/>
      <c r="F761" s="114" t="n"/>
      <c r="G761" s="24" t="n"/>
      <c r="V761" s="24" t="n"/>
      <c r="Y761" s="24" t="n"/>
      <c r="Z761" s="24" t="n"/>
      <c r="AA761" s="24" t="n"/>
      <c r="AB761" s="24" t="n"/>
      <c r="AC761" s="24" t="n"/>
      <c r="AD761" s="24" t="n"/>
      <c r="AE761" s="24" t="n"/>
    </row>
    <row r="762">
      <c r="A762" s="114" t="n"/>
      <c r="B762" s="114" t="n"/>
      <c r="C762" s="114" t="n"/>
      <c r="D762" s="114" t="n"/>
      <c r="E762" s="114" t="n"/>
      <c r="F762" s="114" t="n"/>
      <c r="G762" s="24" t="n"/>
      <c r="V762" s="24" t="n"/>
      <c r="Y762" s="24" t="n"/>
      <c r="Z762" s="24" t="n"/>
      <c r="AA762" s="24" t="n"/>
      <c r="AB762" s="24" t="n"/>
      <c r="AC762" s="24" t="n"/>
      <c r="AD762" s="24" t="n"/>
      <c r="AE762" s="24" t="n"/>
    </row>
    <row r="763">
      <c r="A763" s="114" t="n"/>
      <c r="B763" s="114" t="n"/>
      <c r="C763" s="114" t="n"/>
      <c r="D763" s="114" t="n"/>
      <c r="E763" s="114" t="n"/>
      <c r="F763" s="114" t="n"/>
      <c r="G763" s="24" t="n"/>
      <c r="V763" s="24" t="n"/>
      <c r="Y763" s="24" t="n"/>
      <c r="Z763" s="24" t="n"/>
      <c r="AA763" s="24" t="n"/>
      <c r="AB763" s="24" t="n"/>
      <c r="AC763" s="24" t="n"/>
      <c r="AD763" s="24" t="n"/>
      <c r="AE763" s="24" t="n"/>
    </row>
    <row r="764">
      <c r="A764" s="114" t="n"/>
      <c r="B764" s="114" t="n"/>
      <c r="C764" s="114" t="n"/>
      <c r="D764" s="114" t="n"/>
      <c r="E764" s="114" t="n"/>
      <c r="F764" s="114" t="n"/>
      <c r="G764" s="24" t="n"/>
      <c r="V764" s="24" t="n"/>
      <c r="Y764" s="24" t="n"/>
      <c r="Z764" s="24" t="n"/>
      <c r="AA764" s="24" t="n"/>
      <c r="AB764" s="24" t="n"/>
      <c r="AC764" s="24" t="n"/>
      <c r="AD764" s="24" t="n"/>
      <c r="AE764" s="24" t="n"/>
    </row>
    <row r="765">
      <c r="A765" s="114" t="n"/>
      <c r="B765" s="114" t="n"/>
      <c r="C765" s="114" t="n"/>
      <c r="D765" s="114" t="n"/>
      <c r="E765" s="114" t="n"/>
      <c r="F765" s="114" t="n"/>
      <c r="G765" s="24" t="n"/>
      <c r="V765" s="24" t="n"/>
      <c r="Y765" s="24" t="n"/>
      <c r="Z765" s="24" t="n"/>
      <c r="AA765" s="24" t="n"/>
      <c r="AB765" s="24" t="n"/>
      <c r="AC765" s="24" t="n"/>
      <c r="AD765" s="24" t="n"/>
      <c r="AE765" s="24" t="n"/>
    </row>
    <row r="766">
      <c r="A766" s="114" t="n"/>
      <c r="B766" s="114" t="n"/>
      <c r="C766" s="114" t="n"/>
      <c r="D766" s="114" t="n"/>
      <c r="E766" s="114" t="n"/>
      <c r="F766" s="114" t="n"/>
      <c r="G766" s="24" t="n"/>
      <c r="V766" s="24" t="n"/>
      <c r="Y766" s="24" t="n"/>
      <c r="Z766" s="24" t="n"/>
      <c r="AA766" s="24" t="n"/>
      <c r="AB766" s="24" t="n"/>
      <c r="AC766" s="24" t="n"/>
      <c r="AD766" s="24" t="n"/>
      <c r="AE766" s="24" t="n"/>
    </row>
    <row r="767">
      <c r="A767" s="114" t="n"/>
      <c r="B767" s="114" t="n"/>
      <c r="C767" s="114" t="n"/>
      <c r="D767" s="114" t="n"/>
      <c r="E767" s="114" t="n"/>
      <c r="F767" s="114" t="n"/>
      <c r="G767" s="24" t="n"/>
      <c r="V767" s="24" t="n"/>
      <c r="Y767" s="24" t="n"/>
      <c r="Z767" s="24" t="n"/>
      <c r="AA767" s="24" t="n"/>
      <c r="AB767" s="24" t="n"/>
      <c r="AC767" s="24" t="n"/>
      <c r="AD767" s="24" t="n"/>
      <c r="AE767" s="24" t="n"/>
    </row>
    <row r="768">
      <c r="A768" s="114" t="n"/>
      <c r="B768" s="114" t="n"/>
      <c r="C768" s="114" t="n"/>
      <c r="D768" s="114" t="n"/>
      <c r="E768" s="114" t="n"/>
      <c r="F768" s="114" t="n"/>
      <c r="G768" s="24" t="n"/>
      <c r="V768" s="24" t="n"/>
      <c r="Y768" s="24" t="n"/>
      <c r="Z768" s="24" t="n"/>
      <c r="AA768" s="24" t="n"/>
      <c r="AB768" s="24" t="n"/>
      <c r="AC768" s="24" t="n"/>
      <c r="AD768" s="24" t="n"/>
      <c r="AE768" s="24" t="n"/>
    </row>
    <row r="769">
      <c r="A769" s="114" t="n"/>
      <c r="B769" s="114" t="n"/>
      <c r="C769" s="114" t="n"/>
      <c r="D769" s="114" t="n"/>
      <c r="E769" s="114" t="n"/>
      <c r="F769" s="114" t="n"/>
      <c r="G769" s="24" t="n"/>
      <c r="V769" s="24" t="n"/>
      <c r="Y769" s="24" t="n"/>
      <c r="Z769" s="24" t="n"/>
      <c r="AA769" s="24" t="n"/>
      <c r="AB769" s="24" t="n"/>
      <c r="AC769" s="24" t="n"/>
      <c r="AD769" s="24" t="n"/>
      <c r="AE769" s="24" t="n"/>
    </row>
    <row r="770">
      <c r="A770" s="114" t="n"/>
      <c r="B770" s="114" t="n"/>
      <c r="C770" s="114" t="n"/>
      <c r="D770" s="114" t="n"/>
      <c r="E770" s="114" t="n"/>
      <c r="F770" s="114" t="n"/>
      <c r="G770" s="24" t="n"/>
      <c r="V770" s="24" t="n"/>
      <c r="Y770" s="24" t="n"/>
      <c r="Z770" s="24" t="n"/>
      <c r="AA770" s="24" t="n"/>
      <c r="AB770" s="24" t="n"/>
      <c r="AC770" s="24" t="n"/>
      <c r="AD770" s="24" t="n"/>
      <c r="AE770" s="24" t="n"/>
    </row>
    <row r="771">
      <c r="A771" s="114" t="n"/>
      <c r="B771" s="114" t="n"/>
      <c r="C771" s="114" t="n"/>
      <c r="D771" s="114" t="n"/>
      <c r="E771" s="114" t="n"/>
      <c r="F771" s="114" t="n"/>
      <c r="G771" s="24" t="n"/>
      <c r="V771" s="24" t="n"/>
      <c r="Y771" s="24" t="n"/>
      <c r="Z771" s="24" t="n"/>
      <c r="AA771" s="24" t="n"/>
      <c r="AB771" s="24" t="n"/>
      <c r="AC771" s="24" t="n"/>
      <c r="AD771" s="24" t="n"/>
      <c r="AE771" s="24" t="n"/>
    </row>
    <row r="772">
      <c r="A772" s="114" t="n"/>
      <c r="B772" s="114" t="n"/>
      <c r="C772" s="114" t="n"/>
      <c r="D772" s="114" t="n"/>
      <c r="E772" s="114" t="n"/>
      <c r="F772" s="114" t="n"/>
      <c r="G772" s="24" t="n"/>
      <c r="V772" s="24" t="n"/>
      <c r="Y772" s="24" t="n"/>
      <c r="Z772" s="24" t="n"/>
      <c r="AA772" s="24" t="n"/>
      <c r="AB772" s="24" t="n"/>
      <c r="AC772" s="24" t="n"/>
      <c r="AD772" s="24" t="n"/>
      <c r="AE772" s="24" t="n"/>
    </row>
    <row r="773">
      <c r="A773" s="114" t="n"/>
      <c r="B773" s="114" t="n"/>
      <c r="C773" s="114" t="n"/>
      <c r="D773" s="114" t="n"/>
      <c r="E773" s="114" t="n"/>
      <c r="F773" s="114" t="n"/>
      <c r="G773" s="24" t="n"/>
      <c r="V773" s="24" t="n"/>
      <c r="Y773" s="24" t="n"/>
      <c r="Z773" s="24" t="n"/>
      <c r="AA773" s="24" t="n"/>
      <c r="AB773" s="24" t="n"/>
      <c r="AC773" s="24" t="n"/>
      <c r="AD773" s="24" t="n"/>
      <c r="AE773" s="24" t="n"/>
    </row>
    <row r="774">
      <c r="A774" s="114" t="n"/>
      <c r="B774" s="114" t="n"/>
      <c r="C774" s="114" t="n"/>
      <c r="D774" s="114" t="n"/>
      <c r="E774" s="114" t="n"/>
      <c r="F774" s="114" t="n"/>
      <c r="G774" s="24" t="n"/>
      <c r="V774" s="24" t="n"/>
      <c r="Y774" s="24" t="n"/>
      <c r="Z774" s="24" t="n"/>
      <c r="AA774" s="24" t="n"/>
      <c r="AB774" s="24" t="n"/>
      <c r="AC774" s="24" t="n"/>
      <c r="AD774" s="24" t="n"/>
      <c r="AE774" s="24" t="n"/>
    </row>
    <row r="775">
      <c r="A775" s="114" t="n"/>
      <c r="B775" s="114" t="n"/>
      <c r="C775" s="114" t="n"/>
      <c r="D775" s="114" t="n"/>
      <c r="E775" s="114" t="n"/>
      <c r="F775" s="114" t="n"/>
      <c r="G775" s="24" t="n"/>
      <c r="V775" s="24" t="n"/>
      <c r="Y775" s="24" t="n"/>
      <c r="Z775" s="24" t="n"/>
      <c r="AA775" s="24" t="n"/>
      <c r="AB775" s="24" t="n"/>
      <c r="AC775" s="24" t="n"/>
      <c r="AD775" s="24" t="n"/>
      <c r="AE775" s="24" t="n"/>
    </row>
    <row r="776">
      <c r="A776" s="114" t="n"/>
      <c r="B776" s="114" t="n"/>
      <c r="C776" s="114" t="n"/>
      <c r="D776" s="114" t="n"/>
      <c r="E776" s="114" t="n"/>
      <c r="F776" s="114" t="n"/>
      <c r="G776" s="24" t="n"/>
      <c r="V776" s="24" t="n"/>
      <c r="Y776" s="24" t="n"/>
      <c r="Z776" s="24" t="n"/>
      <c r="AA776" s="24" t="n"/>
      <c r="AB776" s="24" t="n"/>
      <c r="AC776" s="24" t="n"/>
      <c r="AD776" s="24" t="n"/>
      <c r="AE776" s="24" t="n"/>
    </row>
    <row r="777">
      <c r="A777" s="114" t="n"/>
      <c r="B777" s="114" t="n"/>
      <c r="C777" s="114" t="n"/>
      <c r="D777" s="114" t="n"/>
      <c r="E777" s="114" t="n"/>
      <c r="F777" s="114" t="n"/>
      <c r="G777" s="24" t="n"/>
      <c r="V777" s="24" t="n"/>
      <c r="Y777" s="24" t="n"/>
      <c r="Z777" s="24" t="n"/>
      <c r="AA777" s="24" t="n"/>
      <c r="AB777" s="24" t="n"/>
      <c r="AC777" s="24" t="n"/>
      <c r="AD777" s="24" t="n"/>
      <c r="AE777" s="24" t="n"/>
    </row>
    <row r="778">
      <c r="A778" s="114" t="n"/>
      <c r="B778" s="114" t="n"/>
      <c r="C778" s="114" t="n"/>
      <c r="D778" s="114" t="n"/>
      <c r="E778" s="114" t="n"/>
      <c r="F778" s="114" t="n"/>
      <c r="G778" s="24" t="n"/>
      <c r="V778" s="24" t="n"/>
      <c r="Y778" s="24" t="n"/>
      <c r="Z778" s="24" t="n"/>
      <c r="AA778" s="24" t="n"/>
      <c r="AB778" s="24" t="n"/>
      <c r="AC778" s="24" t="n"/>
      <c r="AD778" s="24" t="n"/>
      <c r="AE778" s="24" t="n"/>
    </row>
    <row r="779">
      <c r="A779" s="114" t="n"/>
      <c r="B779" s="114" t="n"/>
      <c r="C779" s="114" t="n"/>
      <c r="D779" s="114" t="n"/>
      <c r="E779" s="114" t="n"/>
      <c r="F779" s="114" t="n"/>
      <c r="G779" s="24" t="n"/>
      <c r="V779" s="24" t="n"/>
      <c r="Y779" s="24" t="n"/>
      <c r="Z779" s="24" t="n"/>
      <c r="AA779" s="24" t="n"/>
      <c r="AB779" s="24" t="n"/>
      <c r="AC779" s="24" t="n"/>
      <c r="AD779" s="24" t="n"/>
      <c r="AE779" s="24" t="n"/>
    </row>
    <row r="780">
      <c r="A780" s="114" t="n"/>
      <c r="B780" s="114" t="n"/>
      <c r="C780" s="114" t="n"/>
      <c r="D780" s="114" t="n"/>
      <c r="E780" s="114" t="n"/>
      <c r="F780" s="114" t="n"/>
      <c r="G780" s="24" t="n"/>
      <c r="V780" s="24" t="n"/>
      <c r="Y780" s="24" t="n"/>
      <c r="Z780" s="24" t="n"/>
      <c r="AA780" s="24" t="n"/>
      <c r="AB780" s="24" t="n"/>
      <c r="AC780" s="24" t="n"/>
      <c r="AD780" s="24" t="n"/>
      <c r="AE780" s="24" t="n"/>
    </row>
    <row r="781">
      <c r="A781" s="114" t="n"/>
      <c r="B781" s="114" t="n"/>
      <c r="C781" s="114" t="n"/>
      <c r="D781" s="114" t="n"/>
      <c r="E781" s="114" t="n"/>
      <c r="F781" s="114" t="n"/>
      <c r="G781" s="24" t="n"/>
      <c r="V781" s="24" t="n"/>
      <c r="Y781" s="24" t="n"/>
      <c r="Z781" s="24" t="n"/>
      <c r="AA781" s="24" t="n"/>
      <c r="AB781" s="24" t="n"/>
      <c r="AC781" s="24" t="n"/>
      <c r="AD781" s="24" t="n"/>
      <c r="AE781" s="24" t="n"/>
    </row>
    <row r="782">
      <c r="A782" s="114" t="n"/>
      <c r="B782" s="114" t="n"/>
      <c r="C782" s="114" t="n"/>
      <c r="D782" s="114" t="n"/>
      <c r="E782" s="114" t="n"/>
      <c r="F782" s="114" t="n"/>
      <c r="G782" s="24" t="n"/>
      <c r="V782" s="24" t="n"/>
      <c r="Y782" s="24" t="n"/>
      <c r="Z782" s="24" t="n"/>
      <c r="AA782" s="24" t="n"/>
      <c r="AB782" s="24" t="n"/>
      <c r="AC782" s="24" t="n"/>
      <c r="AD782" s="24" t="n"/>
      <c r="AE782" s="24" t="n"/>
    </row>
    <row r="783">
      <c r="A783" s="114" t="n"/>
      <c r="B783" s="114" t="n"/>
      <c r="C783" s="114" t="n"/>
      <c r="D783" s="114" t="n"/>
      <c r="E783" s="114" t="n"/>
      <c r="F783" s="114" t="n"/>
      <c r="G783" s="24" t="n"/>
      <c r="V783" s="24" t="n"/>
      <c r="Y783" s="24" t="n"/>
      <c r="Z783" s="24" t="n"/>
      <c r="AA783" s="24" t="n"/>
      <c r="AB783" s="24" t="n"/>
      <c r="AC783" s="24" t="n"/>
      <c r="AD783" s="24" t="n"/>
      <c r="AE783" s="24" t="n"/>
    </row>
    <row r="784">
      <c r="A784" s="114" t="n"/>
      <c r="B784" s="114" t="n"/>
      <c r="C784" s="114" t="n"/>
      <c r="D784" s="114" t="n"/>
      <c r="E784" s="114" t="n"/>
      <c r="F784" s="114" t="n"/>
      <c r="G784" s="24" t="n"/>
      <c r="V784" s="24" t="n"/>
      <c r="Y784" s="24" t="n"/>
      <c r="Z784" s="24" t="n"/>
      <c r="AA784" s="24" t="n"/>
      <c r="AB784" s="24" t="n"/>
      <c r="AC784" s="24" t="n"/>
      <c r="AD784" s="24" t="n"/>
      <c r="AE784" s="24" t="n"/>
    </row>
    <row r="785">
      <c r="A785" s="114" t="n"/>
      <c r="B785" s="114" t="n"/>
      <c r="C785" s="114" t="n"/>
      <c r="D785" s="114" t="n"/>
      <c r="E785" s="114" t="n"/>
      <c r="F785" s="114" t="n"/>
      <c r="G785" s="24" t="n"/>
      <c r="V785" s="24" t="n"/>
      <c r="Y785" s="24" t="n"/>
      <c r="Z785" s="24" t="n"/>
      <c r="AA785" s="24" t="n"/>
      <c r="AB785" s="24" t="n"/>
      <c r="AC785" s="24" t="n"/>
      <c r="AD785" s="24" t="n"/>
      <c r="AE785" s="24" t="n"/>
    </row>
    <row r="786">
      <c r="A786" s="114" t="n"/>
      <c r="B786" s="114" t="n"/>
      <c r="C786" s="114" t="n"/>
      <c r="D786" s="114" t="n"/>
      <c r="E786" s="114" t="n"/>
      <c r="F786" s="114" t="n"/>
      <c r="G786" s="24" t="n"/>
      <c r="V786" s="24" t="n"/>
      <c r="Y786" s="24" t="n"/>
      <c r="Z786" s="24" t="n"/>
      <c r="AA786" s="24" t="n"/>
      <c r="AB786" s="24" t="n"/>
      <c r="AC786" s="24" t="n"/>
      <c r="AD786" s="24" t="n"/>
      <c r="AE786" s="24" t="n"/>
    </row>
    <row r="787">
      <c r="A787" s="114" t="n"/>
      <c r="B787" s="114" t="n"/>
      <c r="C787" s="114" t="n"/>
      <c r="D787" s="114" t="n"/>
      <c r="E787" s="114" t="n"/>
      <c r="F787" s="114" t="n"/>
      <c r="G787" s="24" t="n"/>
      <c r="V787" s="24" t="n"/>
      <c r="Y787" s="24" t="n"/>
      <c r="Z787" s="24" t="n"/>
      <c r="AA787" s="24" t="n"/>
      <c r="AB787" s="24" t="n"/>
      <c r="AC787" s="24" t="n"/>
      <c r="AD787" s="24" t="n"/>
      <c r="AE787" s="24" t="n"/>
    </row>
    <row r="788">
      <c r="A788" s="114" t="n"/>
      <c r="B788" s="114" t="n"/>
      <c r="C788" s="114" t="n"/>
      <c r="D788" s="114" t="n"/>
      <c r="E788" s="114" t="n"/>
      <c r="F788" s="114" t="n"/>
      <c r="G788" s="24" t="n"/>
      <c r="V788" s="24" t="n"/>
      <c r="Y788" s="24" t="n"/>
      <c r="Z788" s="24" t="n"/>
      <c r="AA788" s="24" t="n"/>
      <c r="AB788" s="24" t="n"/>
      <c r="AC788" s="24" t="n"/>
      <c r="AD788" s="24" t="n"/>
      <c r="AE788" s="24" t="n"/>
    </row>
    <row r="789">
      <c r="A789" s="114" t="n"/>
      <c r="B789" s="114" t="n"/>
      <c r="C789" s="114" t="n"/>
      <c r="D789" s="114" t="n"/>
      <c r="E789" s="114" t="n"/>
      <c r="F789" s="114" t="n"/>
      <c r="G789" s="24" t="n"/>
      <c r="V789" s="24" t="n"/>
      <c r="Y789" s="24" t="n"/>
      <c r="Z789" s="24" t="n"/>
      <c r="AA789" s="24" t="n"/>
      <c r="AB789" s="24" t="n"/>
      <c r="AC789" s="24" t="n"/>
      <c r="AD789" s="24" t="n"/>
      <c r="AE789" s="24" t="n"/>
    </row>
    <row r="790">
      <c r="A790" s="114" t="n"/>
      <c r="B790" s="114" t="n"/>
      <c r="C790" s="114" t="n"/>
      <c r="D790" s="114" t="n"/>
      <c r="E790" s="114" t="n"/>
      <c r="F790" s="114" t="n"/>
      <c r="G790" s="24" t="n"/>
      <c r="V790" s="24" t="n"/>
      <c r="Y790" s="24" t="n"/>
      <c r="Z790" s="24" t="n"/>
      <c r="AA790" s="24" t="n"/>
      <c r="AB790" s="24" t="n"/>
      <c r="AC790" s="24" t="n"/>
      <c r="AD790" s="24" t="n"/>
      <c r="AE790" s="24" t="n"/>
    </row>
    <row r="791">
      <c r="A791" s="114" t="n"/>
      <c r="B791" s="114" t="n"/>
      <c r="C791" s="114" t="n"/>
      <c r="D791" s="114" t="n"/>
      <c r="E791" s="114" t="n"/>
      <c r="F791" s="114" t="n"/>
      <c r="G791" s="24" t="n"/>
      <c r="V791" s="24" t="n"/>
      <c r="Y791" s="24" t="n"/>
      <c r="Z791" s="24" t="n"/>
      <c r="AA791" s="24" t="n"/>
      <c r="AB791" s="24" t="n"/>
      <c r="AC791" s="24" t="n"/>
      <c r="AD791" s="24" t="n"/>
      <c r="AE791" s="24" t="n"/>
    </row>
    <row r="792">
      <c r="A792" s="114" t="n"/>
      <c r="B792" s="114" t="n"/>
      <c r="C792" s="114" t="n"/>
      <c r="D792" s="114" t="n"/>
      <c r="E792" s="114" t="n"/>
      <c r="F792" s="114" t="n"/>
      <c r="G792" s="24" t="n"/>
      <c r="V792" s="24" t="n"/>
      <c r="Y792" s="24" t="n"/>
      <c r="Z792" s="24" t="n"/>
      <c r="AA792" s="24" t="n"/>
      <c r="AB792" s="24" t="n"/>
      <c r="AC792" s="24" t="n"/>
      <c r="AD792" s="24" t="n"/>
      <c r="AE792" s="24" t="n"/>
    </row>
    <row r="793">
      <c r="A793" s="114" t="n"/>
      <c r="B793" s="114" t="n"/>
      <c r="C793" s="114" t="n"/>
      <c r="D793" s="114" t="n"/>
      <c r="E793" s="114" t="n"/>
      <c r="F793" s="114" t="n"/>
      <c r="G793" s="24" t="n"/>
      <c r="V793" s="24" t="n"/>
      <c r="Y793" s="24" t="n"/>
      <c r="Z793" s="24" t="n"/>
      <c r="AA793" s="24" t="n"/>
      <c r="AB793" s="24" t="n"/>
      <c r="AC793" s="24" t="n"/>
      <c r="AD793" s="24" t="n"/>
      <c r="AE793" s="24" t="n"/>
    </row>
    <row r="794">
      <c r="A794" s="114" t="n"/>
      <c r="B794" s="114" t="n"/>
      <c r="C794" s="114" t="n"/>
      <c r="D794" s="114" t="n"/>
      <c r="E794" s="114" t="n"/>
      <c r="F794" s="114" t="n"/>
      <c r="G794" s="24" t="n"/>
      <c r="V794" s="24" t="n"/>
      <c r="Y794" s="24" t="n"/>
      <c r="Z794" s="24" t="n"/>
      <c r="AA794" s="24" t="n"/>
      <c r="AB794" s="24" t="n"/>
      <c r="AC794" s="24" t="n"/>
      <c r="AD794" s="24" t="n"/>
      <c r="AE794" s="24" t="n"/>
    </row>
    <row r="795">
      <c r="A795" s="114" t="n"/>
      <c r="B795" s="114" t="n"/>
      <c r="C795" s="114" t="n"/>
      <c r="D795" s="114" t="n"/>
      <c r="E795" s="114" t="n"/>
      <c r="F795" s="114" t="n"/>
      <c r="G795" s="24" t="n"/>
      <c r="V795" s="24" t="n"/>
      <c r="Y795" s="24" t="n"/>
      <c r="Z795" s="24" t="n"/>
      <c r="AA795" s="24" t="n"/>
      <c r="AB795" s="24" t="n"/>
      <c r="AC795" s="24" t="n"/>
      <c r="AD795" s="24" t="n"/>
      <c r="AE795" s="24" t="n"/>
    </row>
    <row r="796">
      <c r="A796" s="114" t="n"/>
      <c r="B796" s="114" t="n"/>
      <c r="C796" s="114" t="n"/>
      <c r="D796" s="114" t="n"/>
      <c r="E796" s="114" t="n"/>
      <c r="F796" s="114" t="n"/>
      <c r="G796" s="24" t="n"/>
      <c r="V796" s="24" t="n"/>
      <c r="Y796" s="24" t="n"/>
      <c r="Z796" s="24" t="n"/>
      <c r="AA796" s="24" t="n"/>
      <c r="AB796" s="24" t="n"/>
      <c r="AC796" s="24" t="n"/>
      <c r="AD796" s="24" t="n"/>
      <c r="AE796" s="24" t="n"/>
    </row>
    <row r="797">
      <c r="A797" s="114" t="n"/>
      <c r="B797" s="114" t="n"/>
      <c r="C797" s="114" t="n"/>
      <c r="D797" s="114" t="n"/>
      <c r="E797" s="114" t="n"/>
      <c r="F797" s="114" t="n"/>
      <c r="G797" s="24" t="n"/>
      <c r="V797" s="24" t="n"/>
      <c r="Y797" s="24" t="n"/>
      <c r="Z797" s="24" t="n"/>
      <c r="AA797" s="24" t="n"/>
      <c r="AB797" s="24" t="n"/>
      <c r="AC797" s="24" t="n"/>
      <c r="AD797" s="24" t="n"/>
      <c r="AE797" s="24" t="n"/>
    </row>
    <row r="798">
      <c r="A798" s="114" t="n"/>
      <c r="B798" s="114" t="n"/>
      <c r="C798" s="114" t="n"/>
      <c r="D798" s="114" t="n"/>
      <c r="E798" s="114" t="n"/>
      <c r="F798" s="114" t="n"/>
      <c r="G798" s="24" t="n"/>
      <c r="V798" s="24" t="n"/>
      <c r="Y798" s="24" t="n"/>
      <c r="Z798" s="24" t="n"/>
      <c r="AA798" s="24" t="n"/>
      <c r="AB798" s="24" t="n"/>
      <c r="AC798" s="24" t="n"/>
      <c r="AD798" s="24" t="n"/>
      <c r="AE798" s="24" t="n"/>
    </row>
    <row r="799">
      <c r="A799" s="114" t="n"/>
      <c r="B799" s="114" t="n"/>
      <c r="C799" s="114" t="n"/>
      <c r="D799" s="114" t="n"/>
      <c r="E799" s="114" t="n"/>
      <c r="F799" s="114" t="n"/>
      <c r="G799" s="24" t="n"/>
      <c r="V799" s="24" t="n"/>
      <c r="Y799" s="24" t="n"/>
      <c r="Z799" s="24" t="n"/>
      <c r="AA799" s="24" t="n"/>
      <c r="AB799" s="24" t="n"/>
      <c r="AC799" s="24" t="n"/>
      <c r="AD799" s="24" t="n"/>
      <c r="AE799" s="24" t="n"/>
    </row>
    <row r="800">
      <c r="A800" s="114" t="n"/>
      <c r="B800" s="114" t="n"/>
      <c r="C800" s="114" t="n"/>
      <c r="D800" s="114" t="n"/>
      <c r="E800" s="114" t="n"/>
      <c r="F800" s="114" t="n"/>
      <c r="G800" s="24" t="n"/>
      <c r="V800" s="24" t="n"/>
      <c r="Y800" s="24" t="n"/>
      <c r="Z800" s="24" t="n"/>
      <c r="AA800" s="24" t="n"/>
      <c r="AB800" s="24" t="n"/>
      <c r="AC800" s="24" t="n"/>
      <c r="AD800" s="24" t="n"/>
      <c r="AE800" s="24" t="n"/>
    </row>
    <row r="801">
      <c r="A801" s="114" t="n"/>
      <c r="B801" s="114" t="n"/>
      <c r="C801" s="114" t="n"/>
      <c r="D801" s="114" t="n"/>
      <c r="E801" s="114" t="n"/>
      <c r="F801" s="114" t="n"/>
      <c r="G801" s="24" t="n"/>
      <c r="V801" s="24" t="n"/>
      <c r="Y801" s="24" t="n"/>
      <c r="Z801" s="24" t="n"/>
      <c r="AA801" s="24" t="n"/>
      <c r="AB801" s="24" t="n"/>
      <c r="AC801" s="24" t="n"/>
      <c r="AD801" s="24" t="n"/>
      <c r="AE801" s="24" t="n"/>
    </row>
    <row r="802">
      <c r="A802" s="114" t="n"/>
      <c r="B802" s="114" t="n"/>
      <c r="C802" s="114" t="n"/>
      <c r="D802" s="114" t="n"/>
      <c r="E802" s="114" t="n"/>
      <c r="F802" s="114" t="n"/>
      <c r="G802" s="24" t="n"/>
      <c r="V802" s="24" t="n"/>
      <c r="Y802" s="24" t="n"/>
      <c r="Z802" s="24" t="n"/>
      <c r="AA802" s="24" t="n"/>
      <c r="AB802" s="24" t="n"/>
      <c r="AC802" s="24" t="n"/>
      <c r="AD802" s="24" t="n"/>
      <c r="AE802" s="24" t="n"/>
    </row>
    <row r="803">
      <c r="A803" s="114" t="n"/>
      <c r="B803" s="114" t="n"/>
      <c r="C803" s="114" t="n"/>
      <c r="D803" s="114" t="n"/>
      <c r="E803" s="114" t="n"/>
      <c r="F803" s="114" t="n"/>
      <c r="G803" s="24" t="n"/>
      <c r="V803" s="24" t="n"/>
      <c r="Y803" s="24" t="n"/>
      <c r="Z803" s="24" t="n"/>
      <c r="AA803" s="24" t="n"/>
      <c r="AB803" s="24" t="n"/>
      <c r="AC803" s="24" t="n"/>
      <c r="AD803" s="24" t="n"/>
      <c r="AE803" s="24" t="n"/>
    </row>
    <row r="804">
      <c r="A804" s="114" t="n"/>
      <c r="B804" s="114" t="n"/>
      <c r="C804" s="114" t="n"/>
      <c r="D804" s="114" t="n"/>
      <c r="E804" s="114" t="n"/>
      <c r="F804" s="114" t="n"/>
      <c r="G804" s="24" t="n"/>
      <c r="V804" s="24" t="n"/>
      <c r="Y804" s="24" t="n"/>
      <c r="Z804" s="24" t="n"/>
      <c r="AA804" s="24" t="n"/>
      <c r="AB804" s="24" t="n"/>
      <c r="AC804" s="24" t="n"/>
      <c r="AD804" s="24" t="n"/>
      <c r="AE804" s="24" t="n"/>
    </row>
    <row r="805">
      <c r="A805" s="114" t="n"/>
      <c r="B805" s="114" t="n"/>
      <c r="C805" s="114" t="n"/>
      <c r="D805" s="114" t="n"/>
      <c r="E805" s="114" t="n"/>
      <c r="F805" s="114" t="n"/>
      <c r="G805" s="24" t="n"/>
      <c r="V805" s="24" t="n"/>
      <c r="Y805" s="24" t="n"/>
      <c r="Z805" s="24" t="n"/>
      <c r="AA805" s="24" t="n"/>
      <c r="AB805" s="24" t="n"/>
      <c r="AC805" s="24" t="n"/>
      <c r="AD805" s="24" t="n"/>
      <c r="AE805" s="24" t="n"/>
    </row>
    <row r="806">
      <c r="A806" s="114" t="n"/>
      <c r="B806" s="114" t="n"/>
      <c r="C806" s="114" t="n"/>
      <c r="D806" s="114" t="n"/>
      <c r="E806" s="114" t="n"/>
      <c r="F806" s="114" t="n"/>
      <c r="G806" s="24" t="n"/>
      <c r="V806" s="24" t="n"/>
      <c r="Y806" s="24" t="n"/>
      <c r="Z806" s="24" t="n"/>
      <c r="AA806" s="24" t="n"/>
      <c r="AB806" s="24" t="n"/>
      <c r="AC806" s="24" t="n"/>
      <c r="AD806" s="24" t="n"/>
      <c r="AE806" s="24" t="n"/>
    </row>
    <row r="807">
      <c r="A807" s="114" t="n"/>
      <c r="B807" s="114" t="n"/>
      <c r="C807" s="114" t="n"/>
      <c r="D807" s="114" t="n"/>
      <c r="E807" s="114" t="n"/>
      <c r="F807" s="114" t="n"/>
      <c r="G807" s="24" t="n"/>
      <c r="V807" s="24" t="n"/>
      <c r="Y807" s="24" t="n"/>
      <c r="Z807" s="24" t="n"/>
      <c r="AA807" s="24" t="n"/>
      <c r="AB807" s="24" t="n"/>
      <c r="AC807" s="24" t="n"/>
      <c r="AD807" s="24" t="n"/>
      <c r="AE807" s="24" t="n"/>
    </row>
    <row r="808">
      <c r="A808" s="114" t="n"/>
      <c r="B808" s="114" t="n"/>
      <c r="C808" s="114" t="n"/>
      <c r="D808" s="114" t="n"/>
      <c r="E808" s="114" t="n"/>
      <c r="F808" s="114" t="n"/>
      <c r="G808" s="24" t="n"/>
      <c r="V808" s="24" t="n"/>
      <c r="Y808" s="24" t="n"/>
      <c r="Z808" s="24" t="n"/>
      <c r="AA808" s="24" t="n"/>
      <c r="AB808" s="24" t="n"/>
      <c r="AC808" s="24" t="n"/>
      <c r="AD808" s="24" t="n"/>
      <c r="AE808" s="24" t="n"/>
    </row>
    <row r="809">
      <c r="A809" s="114" t="n"/>
      <c r="B809" s="114" t="n"/>
      <c r="C809" s="114" t="n"/>
      <c r="D809" s="114" t="n"/>
      <c r="E809" s="114" t="n"/>
      <c r="F809" s="114" t="n"/>
      <c r="G809" s="24" t="n"/>
      <c r="V809" s="24" t="n"/>
      <c r="Y809" s="24" t="n"/>
      <c r="Z809" s="24" t="n"/>
      <c r="AA809" s="24" t="n"/>
      <c r="AB809" s="24" t="n"/>
      <c r="AC809" s="24" t="n"/>
      <c r="AD809" s="24" t="n"/>
      <c r="AE809" s="24" t="n"/>
    </row>
    <row r="810">
      <c r="A810" s="114" t="n"/>
      <c r="B810" s="114" t="n"/>
      <c r="C810" s="114" t="n"/>
      <c r="D810" s="114" t="n"/>
      <c r="E810" s="114" t="n"/>
      <c r="F810" s="114" t="n"/>
      <c r="G810" s="24" t="n"/>
      <c r="V810" s="24" t="n"/>
      <c r="Y810" s="24" t="n"/>
      <c r="Z810" s="24" t="n"/>
      <c r="AA810" s="24" t="n"/>
      <c r="AB810" s="24" t="n"/>
      <c r="AC810" s="24" t="n"/>
      <c r="AD810" s="24" t="n"/>
      <c r="AE810" s="24" t="n"/>
    </row>
    <row r="811">
      <c r="A811" s="114" t="n"/>
      <c r="B811" s="114" t="n"/>
      <c r="C811" s="114" t="n"/>
      <c r="D811" s="114" t="n"/>
      <c r="E811" s="114" t="n"/>
      <c r="F811" s="114" t="n"/>
      <c r="G811" s="24" t="n"/>
      <c r="V811" s="24" t="n"/>
      <c r="Y811" s="24" t="n"/>
      <c r="Z811" s="24" t="n"/>
      <c r="AA811" s="24" t="n"/>
      <c r="AB811" s="24" t="n"/>
      <c r="AC811" s="24" t="n"/>
      <c r="AD811" s="24" t="n"/>
      <c r="AE811" s="24" t="n"/>
    </row>
    <row r="812">
      <c r="A812" s="114" t="n"/>
      <c r="B812" s="114" t="n"/>
      <c r="C812" s="114" t="n"/>
      <c r="D812" s="114" t="n"/>
      <c r="E812" s="114" t="n"/>
      <c r="F812" s="114" t="n"/>
      <c r="G812" s="24" t="n"/>
      <c r="V812" s="24" t="n"/>
      <c r="Y812" s="24" t="n"/>
      <c r="Z812" s="24" t="n"/>
      <c r="AA812" s="24" t="n"/>
      <c r="AB812" s="24" t="n"/>
      <c r="AC812" s="24" t="n"/>
      <c r="AD812" s="24" t="n"/>
      <c r="AE812" s="24" t="n"/>
    </row>
    <row r="813">
      <c r="A813" s="114" t="n"/>
      <c r="B813" s="114" t="n"/>
      <c r="C813" s="114" t="n"/>
      <c r="D813" s="114" t="n"/>
      <c r="E813" s="114" t="n"/>
      <c r="F813" s="114" t="n"/>
      <c r="G813" s="24" t="n"/>
      <c r="V813" s="24" t="n"/>
      <c r="Y813" s="24" t="n"/>
      <c r="Z813" s="24" t="n"/>
      <c r="AA813" s="24" t="n"/>
      <c r="AB813" s="24" t="n"/>
      <c r="AC813" s="24" t="n"/>
      <c r="AD813" s="24" t="n"/>
      <c r="AE813" s="24" t="n"/>
    </row>
    <row r="814">
      <c r="A814" s="114" t="n"/>
      <c r="B814" s="114" t="n"/>
      <c r="C814" s="114" t="n"/>
      <c r="D814" s="114" t="n"/>
      <c r="E814" s="114" t="n"/>
      <c r="F814" s="114" t="n"/>
      <c r="G814" s="24" t="n"/>
      <c r="V814" s="24" t="n"/>
      <c r="Y814" s="24" t="n"/>
      <c r="Z814" s="24" t="n"/>
      <c r="AA814" s="24" t="n"/>
      <c r="AB814" s="24" t="n"/>
      <c r="AC814" s="24" t="n"/>
      <c r="AD814" s="24" t="n"/>
      <c r="AE814" s="24" t="n"/>
    </row>
    <row r="815">
      <c r="A815" s="114" t="n"/>
      <c r="B815" s="114" t="n"/>
      <c r="C815" s="114" t="n"/>
      <c r="D815" s="114" t="n"/>
      <c r="E815" s="114" t="n"/>
      <c r="F815" s="114" t="n"/>
      <c r="G815" s="24" t="n"/>
      <c r="V815" s="24" t="n"/>
      <c r="Y815" s="24" t="n"/>
      <c r="Z815" s="24" t="n"/>
      <c r="AA815" s="24" t="n"/>
      <c r="AB815" s="24" t="n"/>
      <c r="AC815" s="24" t="n"/>
      <c r="AD815" s="24" t="n"/>
      <c r="AE815" s="24" t="n"/>
    </row>
    <row r="816">
      <c r="A816" s="114" t="n"/>
      <c r="B816" s="114" t="n"/>
      <c r="C816" s="114" t="n"/>
      <c r="D816" s="114" t="n"/>
      <c r="E816" s="114" t="n"/>
      <c r="F816" s="114" t="n"/>
      <c r="G816" s="24" t="n"/>
      <c r="V816" s="24" t="n"/>
      <c r="Y816" s="24" t="n"/>
      <c r="Z816" s="24" t="n"/>
      <c r="AA816" s="24" t="n"/>
      <c r="AB816" s="24" t="n"/>
      <c r="AC816" s="24" t="n"/>
      <c r="AD816" s="24" t="n"/>
      <c r="AE816" s="24" t="n"/>
    </row>
    <row r="817">
      <c r="A817" s="114" t="n"/>
      <c r="B817" s="114" t="n"/>
      <c r="C817" s="114" t="n"/>
      <c r="D817" s="114" t="n"/>
      <c r="E817" s="114" t="n"/>
      <c r="F817" s="114" t="n"/>
      <c r="G817" s="24" t="n"/>
      <c r="V817" s="24" t="n"/>
      <c r="Y817" s="24" t="n"/>
      <c r="Z817" s="24" t="n"/>
      <c r="AA817" s="24" t="n"/>
      <c r="AB817" s="24" t="n"/>
      <c r="AC817" s="24" t="n"/>
      <c r="AD817" s="24" t="n"/>
      <c r="AE817" s="24" t="n"/>
    </row>
    <row r="818">
      <c r="A818" s="114" t="n"/>
      <c r="B818" s="114" t="n"/>
      <c r="C818" s="114" t="n"/>
      <c r="D818" s="114" t="n"/>
      <c r="E818" s="114" t="n"/>
      <c r="F818" s="114" t="n"/>
      <c r="G818" s="24" t="n"/>
      <c r="V818" s="24" t="n"/>
      <c r="Y818" s="24" t="n"/>
      <c r="Z818" s="24" t="n"/>
      <c r="AA818" s="24" t="n"/>
      <c r="AB818" s="24" t="n"/>
      <c r="AC818" s="24" t="n"/>
      <c r="AD818" s="24" t="n"/>
      <c r="AE818" s="24" t="n"/>
    </row>
    <row r="819">
      <c r="A819" s="114" t="n"/>
      <c r="B819" s="114" t="n"/>
      <c r="C819" s="114" t="n"/>
      <c r="D819" s="114" t="n"/>
      <c r="E819" s="114" t="n"/>
      <c r="F819" s="114" t="n"/>
      <c r="G819" s="24" t="n"/>
      <c r="V819" s="24" t="n"/>
      <c r="Y819" s="24" t="n"/>
      <c r="Z819" s="24" t="n"/>
      <c r="AA819" s="24" t="n"/>
      <c r="AB819" s="24" t="n"/>
      <c r="AC819" s="24" t="n"/>
      <c r="AD819" s="24" t="n"/>
      <c r="AE819" s="24" t="n"/>
    </row>
    <row r="820">
      <c r="A820" s="114" t="n"/>
      <c r="B820" s="114" t="n"/>
      <c r="C820" s="114" t="n"/>
      <c r="D820" s="114" t="n"/>
      <c r="E820" s="114" t="n"/>
      <c r="F820" s="114" t="n"/>
      <c r="G820" s="24" t="n"/>
      <c r="V820" s="24" t="n"/>
      <c r="Y820" s="24" t="n"/>
      <c r="Z820" s="24" t="n"/>
      <c r="AA820" s="24" t="n"/>
      <c r="AB820" s="24" t="n"/>
      <c r="AC820" s="24" t="n"/>
      <c r="AD820" s="24" t="n"/>
      <c r="AE820" s="24" t="n"/>
    </row>
    <row r="821">
      <c r="A821" s="114" t="n"/>
      <c r="B821" s="114" t="n"/>
      <c r="C821" s="114" t="n"/>
      <c r="D821" s="114" t="n"/>
      <c r="E821" s="114" t="n"/>
      <c r="F821" s="114" t="n"/>
      <c r="G821" s="24" t="n"/>
      <c r="V821" s="24" t="n"/>
      <c r="Y821" s="24" t="n"/>
      <c r="Z821" s="24" t="n"/>
      <c r="AA821" s="24" t="n"/>
      <c r="AB821" s="24" t="n"/>
      <c r="AC821" s="24" t="n"/>
      <c r="AD821" s="24" t="n"/>
      <c r="AE821" s="24" t="n"/>
    </row>
    <row r="822">
      <c r="A822" s="114" t="n"/>
      <c r="B822" s="114" t="n"/>
      <c r="C822" s="114" t="n"/>
      <c r="D822" s="114" t="n"/>
      <c r="E822" s="114" t="n"/>
      <c r="F822" s="114" t="n"/>
      <c r="G822" s="24" t="n"/>
      <c r="V822" s="24" t="n"/>
      <c r="Y822" s="24" t="n"/>
      <c r="Z822" s="24" t="n"/>
      <c r="AA822" s="24" t="n"/>
      <c r="AB822" s="24" t="n"/>
      <c r="AC822" s="24" t="n"/>
      <c r="AD822" s="24" t="n"/>
      <c r="AE822" s="24" t="n"/>
    </row>
    <row r="823">
      <c r="A823" s="114" t="n"/>
      <c r="B823" s="114" t="n"/>
      <c r="C823" s="114" t="n"/>
      <c r="D823" s="114" t="n"/>
      <c r="E823" s="114" t="n"/>
      <c r="F823" s="114" t="n"/>
      <c r="G823" s="24" t="n"/>
      <c r="V823" s="24" t="n"/>
      <c r="Y823" s="24" t="n"/>
      <c r="Z823" s="24" t="n"/>
      <c r="AA823" s="24" t="n"/>
      <c r="AB823" s="24" t="n"/>
      <c r="AC823" s="24" t="n"/>
      <c r="AD823" s="24" t="n"/>
      <c r="AE823" s="24" t="n"/>
    </row>
    <row r="824">
      <c r="A824" s="114" t="n"/>
      <c r="B824" s="114" t="n"/>
      <c r="C824" s="114" t="n"/>
      <c r="D824" s="114" t="n"/>
      <c r="E824" s="114" t="n"/>
      <c r="F824" s="114" t="n"/>
      <c r="G824" s="24" t="n"/>
      <c r="V824" s="24" t="n"/>
      <c r="Y824" s="24" t="n"/>
      <c r="Z824" s="24" t="n"/>
      <c r="AA824" s="24" t="n"/>
      <c r="AB824" s="24" t="n"/>
      <c r="AC824" s="24" t="n"/>
      <c r="AD824" s="24" t="n"/>
      <c r="AE824" s="24" t="n"/>
    </row>
    <row r="825">
      <c r="A825" s="114" t="n"/>
      <c r="B825" s="114" t="n"/>
      <c r="C825" s="114" t="n"/>
      <c r="D825" s="114" t="n"/>
      <c r="E825" s="114" t="n"/>
      <c r="F825" s="114" t="n"/>
      <c r="G825" s="24" t="n"/>
      <c r="V825" s="24" t="n"/>
      <c r="Y825" s="24" t="n"/>
      <c r="Z825" s="24" t="n"/>
      <c r="AA825" s="24" t="n"/>
      <c r="AB825" s="24" t="n"/>
      <c r="AC825" s="24" t="n"/>
      <c r="AD825" s="24" t="n"/>
      <c r="AE825" s="24" t="n"/>
    </row>
    <row r="826">
      <c r="A826" s="114" t="n"/>
      <c r="B826" s="114" t="n"/>
      <c r="C826" s="114" t="n"/>
      <c r="D826" s="114" t="n"/>
      <c r="E826" s="114" t="n"/>
      <c r="F826" s="114" t="n"/>
      <c r="G826" s="24" t="n"/>
      <c r="V826" s="24" t="n"/>
      <c r="Y826" s="24" t="n"/>
      <c r="Z826" s="24" t="n"/>
      <c r="AA826" s="24" t="n"/>
      <c r="AB826" s="24" t="n"/>
      <c r="AC826" s="24" t="n"/>
      <c r="AD826" s="24" t="n"/>
      <c r="AE826" s="24" t="n"/>
    </row>
    <row r="827">
      <c r="A827" s="114" t="n"/>
      <c r="B827" s="114" t="n"/>
      <c r="C827" s="114" t="n"/>
      <c r="D827" s="114" t="n"/>
      <c r="E827" s="114" t="n"/>
      <c r="F827" s="114" t="n"/>
      <c r="G827" s="24" t="n"/>
      <c r="V827" s="24" t="n"/>
      <c r="Y827" s="24" t="n"/>
      <c r="Z827" s="24" t="n"/>
      <c r="AA827" s="24" t="n"/>
      <c r="AB827" s="24" t="n"/>
      <c r="AC827" s="24" t="n"/>
      <c r="AD827" s="24" t="n"/>
      <c r="AE827" s="24" t="n"/>
    </row>
    <row r="828">
      <c r="A828" s="114" t="n"/>
      <c r="B828" s="114" t="n"/>
      <c r="C828" s="114" t="n"/>
      <c r="D828" s="114" t="n"/>
      <c r="E828" s="114" t="n"/>
      <c r="F828" s="114" t="n"/>
      <c r="G828" s="24" t="n"/>
      <c r="V828" s="24" t="n"/>
      <c r="Y828" s="24" t="n"/>
      <c r="Z828" s="24" t="n"/>
      <c r="AA828" s="24" t="n"/>
      <c r="AB828" s="24" t="n"/>
      <c r="AC828" s="24" t="n"/>
      <c r="AD828" s="24" t="n"/>
      <c r="AE828" s="24" t="n"/>
    </row>
    <row r="829">
      <c r="A829" s="114" t="n"/>
      <c r="B829" s="114" t="n"/>
      <c r="C829" s="114" t="n"/>
      <c r="D829" s="114" t="n"/>
      <c r="E829" s="114" t="n"/>
      <c r="F829" s="114" t="n"/>
      <c r="G829" s="24" t="n"/>
      <c r="V829" s="24" t="n"/>
      <c r="Y829" s="24" t="n"/>
      <c r="Z829" s="24" t="n"/>
      <c r="AA829" s="24" t="n"/>
      <c r="AB829" s="24" t="n"/>
      <c r="AC829" s="24" t="n"/>
      <c r="AD829" s="24" t="n"/>
      <c r="AE829" s="24" t="n"/>
    </row>
    <row r="830">
      <c r="A830" s="114" t="n"/>
      <c r="B830" s="114" t="n"/>
      <c r="C830" s="114" t="n"/>
      <c r="D830" s="114" t="n"/>
      <c r="E830" s="114" t="n"/>
      <c r="F830" s="114" t="n"/>
      <c r="G830" s="24" t="n"/>
      <c r="V830" s="24" t="n"/>
      <c r="Y830" s="24" t="n"/>
      <c r="Z830" s="24" t="n"/>
      <c r="AA830" s="24" t="n"/>
      <c r="AB830" s="24" t="n"/>
      <c r="AC830" s="24" t="n"/>
      <c r="AD830" s="24" t="n"/>
      <c r="AE830" s="24" t="n"/>
    </row>
    <row r="831">
      <c r="A831" s="114" t="n"/>
      <c r="B831" s="114" t="n"/>
      <c r="C831" s="114" t="n"/>
      <c r="D831" s="114" t="n"/>
      <c r="E831" s="114" t="n"/>
      <c r="F831" s="114" t="n"/>
      <c r="G831" s="24" t="n"/>
      <c r="V831" s="24" t="n"/>
      <c r="Y831" s="24" t="n"/>
      <c r="Z831" s="24" t="n"/>
      <c r="AA831" s="24" t="n"/>
      <c r="AB831" s="24" t="n"/>
      <c r="AC831" s="24" t="n"/>
      <c r="AD831" s="24" t="n"/>
      <c r="AE831" s="24" t="n"/>
    </row>
    <row r="832">
      <c r="A832" s="114" t="n"/>
      <c r="B832" s="114" t="n"/>
      <c r="C832" s="114" t="n"/>
      <c r="D832" s="114" t="n"/>
      <c r="E832" s="114" t="n"/>
      <c r="F832" s="114" t="n"/>
      <c r="G832" s="24" t="n"/>
      <c r="V832" s="24" t="n"/>
      <c r="Y832" s="24" t="n"/>
      <c r="Z832" s="24" t="n"/>
      <c r="AA832" s="24" t="n"/>
      <c r="AB832" s="24" t="n"/>
      <c r="AC832" s="24" t="n"/>
      <c r="AD832" s="24" t="n"/>
      <c r="AE832" s="24" t="n"/>
    </row>
    <row r="833">
      <c r="A833" s="114" t="n"/>
      <c r="B833" s="114" t="n"/>
      <c r="C833" s="114" t="n"/>
      <c r="D833" s="114" t="n"/>
      <c r="E833" s="114" t="n"/>
      <c r="F833" s="114" t="n"/>
      <c r="G833" s="24" t="n"/>
      <c r="V833" s="24" t="n"/>
      <c r="Y833" s="24" t="n"/>
      <c r="Z833" s="24" t="n"/>
      <c r="AA833" s="24" t="n"/>
      <c r="AB833" s="24" t="n"/>
      <c r="AC833" s="24" t="n"/>
      <c r="AD833" s="24" t="n"/>
      <c r="AE833" s="24" t="n"/>
    </row>
    <row r="834">
      <c r="A834" s="114" t="n"/>
      <c r="B834" s="114" t="n"/>
      <c r="C834" s="114" t="n"/>
      <c r="D834" s="114" t="n"/>
      <c r="E834" s="114" t="n"/>
      <c r="F834" s="114" t="n"/>
      <c r="G834" s="24" t="n"/>
      <c r="V834" s="24" t="n"/>
      <c r="Y834" s="24" t="n"/>
      <c r="Z834" s="24" t="n"/>
      <c r="AA834" s="24" t="n"/>
      <c r="AB834" s="24" t="n"/>
      <c r="AC834" s="24" t="n"/>
      <c r="AD834" s="24" t="n"/>
      <c r="AE834" s="24" t="n"/>
    </row>
    <row r="835">
      <c r="A835" s="114" t="n"/>
      <c r="B835" s="114" t="n"/>
      <c r="C835" s="114" t="n"/>
      <c r="D835" s="114" t="n"/>
      <c r="E835" s="114" t="n"/>
      <c r="F835" s="114" t="n"/>
      <c r="G835" s="24" t="n"/>
      <c r="V835" s="24" t="n"/>
      <c r="Y835" s="24" t="n"/>
      <c r="Z835" s="24" t="n"/>
      <c r="AA835" s="24" t="n"/>
      <c r="AB835" s="24" t="n"/>
      <c r="AC835" s="24" t="n"/>
      <c r="AD835" s="24" t="n"/>
      <c r="AE835" s="24" t="n"/>
    </row>
    <row r="836">
      <c r="A836" s="114" t="n"/>
      <c r="B836" s="114" t="n"/>
      <c r="C836" s="114" t="n"/>
      <c r="D836" s="114" t="n"/>
      <c r="E836" s="114" t="n"/>
      <c r="F836" s="114" t="n"/>
      <c r="G836" s="24" t="n"/>
      <c r="V836" s="24" t="n"/>
      <c r="Y836" s="24" t="n"/>
      <c r="Z836" s="24" t="n"/>
      <c r="AA836" s="24" t="n"/>
      <c r="AB836" s="24" t="n"/>
      <c r="AC836" s="24" t="n"/>
      <c r="AD836" s="24" t="n"/>
      <c r="AE836" s="24" t="n"/>
    </row>
    <row r="837">
      <c r="A837" s="114" t="n"/>
      <c r="B837" s="114" t="n"/>
      <c r="C837" s="114" t="n"/>
      <c r="D837" s="114" t="n"/>
      <c r="E837" s="114" t="n"/>
      <c r="F837" s="114" t="n"/>
      <c r="G837" s="24" t="n"/>
      <c r="V837" s="24" t="n"/>
      <c r="Y837" s="24" t="n"/>
      <c r="Z837" s="24" t="n"/>
      <c r="AA837" s="24" t="n"/>
      <c r="AB837" s="24" t="n"/>
      <c r="AC837" s="24" t="n"/>
      <c r="AD837" s="24" t="n"/>
      <c r="AE837" s="24" t="n"/>
    </row>
    <row r="838">
      <c r="A838" s="114" t="n"/>
      <c r="B838" s="114" t="n"/>
      <c r="C838" s="114" t="n"/>
      <c r="D838" s="114" t="n"/>
      <c r="E838" s="114" t="n"/>
      <c r="F838" s="114" t="n"/>
      <c r="G838" s="24" t="n"/>
      <c r="V838" s="24" t="n"/>
      <c r="Y838" s="24" t="n"/>
      <c r="Z838" s="24" t="n"/>
      <c r="AA838" s="24" t="n"/>
      <c r="AB838" s="24" t="n"/>
      <c r="AC838" s="24" t="n"/>
      <c r="AD838" s="24" t="n"/>
      <c r="AE838" s="24" t="n"/>
    </row>
    <row r="839">
      <c r="A839" s="114" t="n"/>
      <c r="B839" s="114" t="n"/>
      <c r="C839" s="114" t="n"/>
      <c r="D839" s="114" t="n"/>
      <c r="E839" s="114" t="n"/>
      <c r="F839" s="114" t="n"/>
      <c r="G839" s="24" t="n"/>
      <c r="V839" s="24" t="n"/>
      <c r="Y839" s="24" t="n"/>
      <c r="Z839" s="24" t="n"/>
      <c r="AA839" s="24" t="n"/>
      <c r="AB839" s="24" t="n"/>
      <c r="AC839" s="24" t="n"/>
      <c r="AD839" s="24" t="n"/>
      <c r="AE839" s="24" t="n"/>
    </row>
    <row r="840">
      <c r="A840" s="114" t="n"/>
      <c r="B840" s="114" t="n"/>
      <c r="C840" s="114" t="n"/>
      <c r="D840" s="114" t="n"/>
      <c r="E840" s="114" t="n"/>
      <c r="F840" s="114" t="n"/>
      <c r="G840" s="24" t="n"/>
      <c r="V840" s="24" t="n"/>
      <c r="Y840" s="24" t="n"/>
      <c r="Z840" s="24" t="n"/>
      <c r="AA840" s="24" t="n"/>
      <c r="AB840" s="24" t="n"/>
      <c r="AC840" s="24" t="n"/>
      <c r="AD840" s="24" t="n"/>
      <c r="AE840" s="24" t="n"/>
    </row>
    <row r="841">
      <c r="A841" s="114" t="n"/>
      <c r="B841" s="114" t="n"/>
      <c r="C841" s="114" t="n"/>
      <c r="D841" s="114" t="n"/>
      <c r="E841" s="114" t="n"/>
      <c r="F841" s="114" t="n"/>
      <c r="G841" s="24" t="n"/>
      <c r="V841" s="24" t="n"/>
      <c r="Y841" s="24" t="n"/>
      <c r="Z841" s="24" t="n"/>
      <c r="AA841" s="24" t="n"/>
      <c r="AB841" s="24" t="n"/>
      <c r="AC841" s="24" t="n"/>
      <c r="AD841" s="24" t="n"/>
      <c r="AE841" s="24" t="n"/>
    </row>
    <row r="842">
      <c r="A842" s="114" t="n"/>
      <c r="B842" s="114" t="n"/>
      <c r="C842" s="114" t="n"/>
      <c r="D842" s="114" t="n"/>
      <c r="E842" s="114" t="n"/>
      <c r="F842" s="114" t="n"/>
      <c r="G842" s="24" t="n"/>
      <c r="V842" s="24" t="n"/>
      <c r="Y842" s="24" t="n"/>
      <c r="Z842" s="24" t="n"/>
      <c r="AA842" s="24" t="n"/>
      <c r="AB842" s="24" t="n"/>
      <c r="AC842" s="24" t="n"/>
      <c r="AD842" s="24" t="n"/>
      <c r="AE842" s="24" t="n"/>
    </row>
    <row r="843">
      <c r="A843" s="114" t="n"/>
      <c r="B843" s="114" t="n"/>
      <c r="C843" s="114" t="n"/>
      <c r="D843" s="114" t="n"/>
      <c r="E843" s="114" t="n"/>
      <c r="F843" s="114" t="n"/>
      <c r="G843" s="24" t="n"/>
      <c r="V843" s="24" t="n"/>
      <c r="Y843" s="24" t="n"/>
      <c r="Z843" s="24" t="n"/>
      <c r="AA843" s="24" t="n"/>
      <c r="AB843" s="24" t="n"/>
      <c r="AC843" s="24" t="n"/>
      <c r="AD843" s="24" t="n"/>
      <c r="AE843" s="24" t="n"/>
    </row>
    <row r="844">
      <c r="A844" s="114" t="n"/>
      <c r="B844" s="114" t="n"/>
      <c r="C844" s="114" t="n"/>
      <c r="D844" s="114" t="n"/>
      <c r="E844" s="114" t="n"/>
      <c r="F844" s="114" t="n"/>
      <c r="G844" s="24" t="n"/>
      <c r="V844" s="24" t="n"/>
      <c r="Y844" s="24" t="n"/>
      <c r="Z844" s="24" t="n"/>
      <c r="AA844" s="24" t="n"/>
      <c r="AB844" s="24" t="n"/>
      <c r="AC844" s="24" t="n"/>
      <c r="AD844" s="24" t="n"/>
      <c r="AE844" s="24" t="n"/>
    </row>
    <row r="845">
      <c r="A845" s="114" t="n"/>
      <c r="B845" s="114" t="n"/>
      <c r="C845" s="114" t="n"/>
      <c r="D845" s="114" t="n"/>
      <c r="E845" s="114" t="n"/>
      <c r="F845" s="114" t="n"/>
      <c r="G845" s="24" t="n"/>
      <c r="V845" s="24" t="n"/>
      <c r="Y845" s="24" t="n"/>
      <c r="Z845" s="24" t="n"/>
      <c r="AA845" s="24" t="n"/>
      <c r="AB845" s="24" t="n"/>
      <c r="AC845" s="24" t="n"/>
      <c r="AD845" s="24" t="n"/>
      <c r="AE845" s="24" t="n"/>
    </row>
    <row r="846">
      <c r="A846" s="114" t="n"/>
      <c r="B846" s="114" t="n"/>
      <c r="C846" s="114" t="n"/>
      <c r="D846" s="114" t="n"/>
      <c r="E846" s="114" t="n"/>
      <c r="F846" s="114" t="n"/>
      <c r="G846" s="24" t="n"/>
      <c r="V846" s="24" t="n"/>
      <c r="Y846" s="24" t="n"/>
      <c r="Z846" s="24" t="n"/>
      <c r="AA846" s="24" t="n"/>
      <c r="AB846" s="24" t="n"/>
      <c r="AC846" s="24" t="n"/>
      <c r="AD846" s="24" t="n"/>
      <c r="AE846" s="24" t="n"/>
    </row>
    <row r="847">
      <c r="A847" s="114" t="n"/>
      <c r="B847" s="114" t="n"/>
      <c r="C847" s="114" t="n"/>
      <c r="D847" s="114" t="n"/>
      <c r="E847" s="114" t="n"/>
      <c r="F847" s="114" t="n"/>
      <c r="G847" s="24" t="n"/>
      <c r="V847" s="24" t="n"/>
      <c r="Y847" s="24" t="n"/>
      <c r="Z847" s="24" t="n"/>
      <c r="AA847" s="24" t="n"/>
      <c r="AB847" s="24" t="n"/>
      <c r="AC847" s="24" t="n"/>
      <c r="AD847" s="24" t="n"/>
      <c r="AE847" s="24" t="n"/>
    </row>
    <row r="848">
      <c r="A848" s="114" t="n"/>
      <c r="B848" s="114" t="n"/>
      <c r="C848" s="114" t="n"/>
      <c r="D848" s="114" t="n"/>
      <c r="E848" s="114" t="n"/>
      <c r="F848" s="114" t="n"/>
      <c r="G848" s="24" t="n"/>
      <c r="V848" s="24" t="n"/>
      <c r="Y848" s="24" t="n"/>
      <c r="Z848" s="24" t="n"/>
      <c r="AA848" s="24" t="n"/>
      <c r="AB848" s="24" t="n"/>
      <c r="AC848" s="24" t="n"/>
      <c r="AD848" s="24" t="n"/>
      <c r="AE848" s="24" t="n"/>
    </row>
    <row r="849">
      <c r="A849" s="114" t="n"/>
      <c r="B849" s="114" t="n"/>
      <c r="C849" s="114" t="n"/>
      <c r="D849" s="114" t="n"/>
      <c r="E849" s="114" t="n"/>
      <c r="F849" s="114" t="n"/>
      <c r="G849" s="24" t="n"/>
      <c r="V849" s="24" t="n"/>
      <c r="Y849" s="24" t="n"/>
      <c r="Z849" s="24" t="n"/>
      <c r="AA849" s="24" t="n"/>
      <c r="AB849" s="24" t="n"/>
      <c r="AC849" s="24" t="n"/>
      <c r="AD849" s="24" t="n"/>
      <c r="AE849" s="24" t="n"/>
    </row>
    <row r="850">
      <c r="A850" s="114" t="n"/>
      <c r="B850" s="114" t="n"/>
      <c r="C850" s="114" t="n"/>
      <c r="D850" s="114" t="n"/>
      <c r="E850" s="114" t="n"/>
      <c r="F850" s="114" t="n"/>
      <c r="G850" s="24" t="n"/>
      <c r="V850" s="24" t="n"/>
      <c r="Y850" s="24" t="n"/>
      <c r="Z850" s="24" t="n"/>
      <c r="AA850" s="24" t="n"/>
      <c r="AB850" s="24" t="n"/>
      <c r="AC850" s="24" t="n"/>
      <c r="AD850" s="24" t="n"/>
      <c r="AE850" s="24" t="n"/>
    </row>
    <row r="851">
      <c r="A851" s="114" t="n"/>
      <c r="B851" s="114" t="n"/>
      <c r="C851" s="114" t="n"/>
      <c r="D851" s="114" t="n"/>
      <c r="E851" s="114" t="n"/>
      <c r="F851" s="114" t="n"/>
      <c r="G851" s="24" t="n"/>
      <c r="V851" s="24" t="n"/>
      <c r="Y851" s="24" t="n"/>
      <c r="Z851" s="24" t="n"/>
      <c r="AA851" s="24" t="n"/>
      <c r="AB851" s="24" t="n"/>
      <c r="AC851" s="24" t="n"/>
      <c r="AD851" s="24" t="n"/>
      <c r="AE851" s="24" t="n"/>
    </row>
    <row r="852">
      <c r="A852" s="114" t="n"/>
      <c r="B852" s="114" t="n"/>
      <c r="C852" s="114" t="n"/>
      <c r="D852" s="114" t="n"/>
      <c r="E852" s="114" t="n"/>
      <c r="F852" s="114" t="n"/>
      <c r="G852" s="24" t="n"/>
      <c r="V852" s="24" t="n"/>
      <c r="Y852" s="24" t="n"/>
      <c r="Z852" s="24" t="n"/>
      <c r="AA852" s="24" t="n"/>
      <c r="AB852" s="24" t="n"/>
      <c r="AC852" s="24" t="n"/>
      <c r="AD852" s="24" t="n"/>
      <c r="AE852" s="24" t="n"/>
    </row>
    <row r="853">
      <c r="A853" s="114" t="n"/>
      <c r="B853" s="114" t="n"/>
      <c r="C853" s="114" t="n"/>
      <c r="D853" s="114" t="n"/>
      <c r="E853" s="114" t="n"/>
      <c r="F853" s="114" t="n"/>
      <c r="G853" s="24" t="n"/>
      <c r="V853" s="24" t="n"/>
      <c r="Y853" s="24" t="n"/>
      <c r="Z853" s="24" t="n"/>
      <c r="AA853" s="24" t="n"/>
      <c r="AB853" s="24" t="n"/>
      <c r="AC853" s="24" t="n"/>
      <c r="AD853" s="24" t="n"/>
      <c r="AE853" s="24" t="n"/>
    </row>
    <row r="854">
      <c r="A854" s="114" t="n"/>
      <c r="B854" s="114" t="n"/>
      <c r="C854" s="114" t="n"/>
      <c r="D854" s="114" t="n"/>
      <c r="E854" s="114" t="n"/>
      <c r="F854" s="114" t="n"/>
      <c r="G854" s="24" t="n"/>
      <c r="V854" s="24" t="n"/>
      <c r="Y854" s="24" t="n"/>
      <c r="Z854" s="24" t="n"/>
      <c r="AA854" s="24" t="n"/>
      <c r="AB854" s="24" t="n"/>
      <c r="AC854" s="24" t="n"/>
      <c r="AD854" s="24" t="n"/>
      <c r="AE854" s="24" t="n"/>
    </row>
    <row r="855">
      <c r="A855" s="114" t="n"/>
      <c r="B855" s="114" t="n"/>
      <c r="C855" s="114" t="n"/>
      <c r="D855" s="114" t="n"/>
      <c r="E855" s="114" t="n"/>
      <c r="F855" s="114" t="n"/>
      <c r="G855" s="24" t="n"/>
      <c r="V855" s="24" t="n"/>
      <c r="Y855" s="24" t="n"/>
      <c r="Z855" s="24" t="n"/>
      <c r="AA855" s="24" t="n"/>
      <c r="AB855" s="24" t="n"/>
      <c r="AC855" s="24" t="n"/>
      <c r="AD855" s="24" t="n"/>
      <c r="AE855" s="24" t="n"/>
    </row>
    <row r="856">
      <c r="A856" s="114" t="n"/>
      <c r="B856" s="114" t="n"/>
      <c r="C856" s="114" t="n"/>
      <c r="D856" s="114" t="n"/>
      <c r="E856" s="114" t="n"/>
      <c r="F856" s="114" t="n"/>
      <c r="G856" s="24" t="n"/>
      <c r="V856" s="24" t="n"/>
      <c r="Y856" s="24" t="n"/>
      <c r="Z856" s="24" t="n"/>
      <c r="AA856" s="24" t="n"/>
      <c r="AB856" s="24" t="n"/>
      <c r="AC856" s="24" t="n"/>
      <c r="AD856" s="24" t="n"/>
      <c r="AE856" s="24" t="n"/>
    </row>
    <row r="857">
      <c r="A857" s="114" t="n"/>
      <c r="B857" s="114" t="n"/>
      <c r="C857" s="114" t="n"/>
      <c r="D857" s="114" t="n"/>
      <c r="E857" s="114" t="n"/>
      <c r="F857" s="114" t="n"/>
      <c r="G857" s="24" t="n"/>
      <c r="V857" s="24" t="n"/>
      <c r="Y857" s="24" t="n"/>
      <c r="Z857" s="24" t="n"/>
      <c r="AA857" s="24" t="n"/>
      <c r="AB857" s="24" t="n"/>
      <c r="AC857" s="24" t="n"/>
      <c r="AD857" s="24" t="n"/>
      <c r="AE857" s="24" t="n"/>
    </row>
    <row r="858">
      <c r="A858" s="114" t="n"/>
      <c r="B858" s="114" t="n"/>
      <c r="C858" s="114" t="n"/>
      <c r="D858" s="114" t="n"/>
      <c r="E858" s="114" t="n"/>
      <c r="F858" s="114" t="n"/>
      <c r="G858" s="24" t="n"/>
      <c r="V858" s="24" t="n"/>
      <c r="Y858" s="24" t="n"/>
      <c r="Z858" s="24" t="n"/>
      <c r="AA858" s="24" t="n"/>
      <c r="AB858" s="24" t="n"/>
      <c r="AC858" s="24" t="n"/>
      <c r="AD858" s="24" t="n"/>
      <c r="AE858" s="24" t="n"/>
    </row>
    <row r="859">
      <c r="A859" s="114" t="n"/>
      <c r="B859" s="114" t="n"/>
      <c r="C859" s="114" t="n"/>
      <c r="D859" s="114" t="n"/>
      <c r="E859" s="114" t="n"/>
      <c r="F859" s="114" t="n"/>
      <c r="G859" s="24" t="n"/>
      <c r="V859" s="24" t="n"/>
      <c r="Y859" s="24" t="n"/>
      <c r="Z859" s="24" t="n"/>
      <c r="AA859" s="24" t="n"/>
      <c r="AB859" s="24" t="n"/>
      <c r="AC859" s="24" t="n"/>
      <c r="AD859" s="24" t="n"/>
      <c r="AE859" s="24" t="n"/>
    </row>
    <row r="860">
      <c r="A860" s="114" t="n"/>
      <c r="B860" s="114" t="n"/>
      <c r="C860" s="114" t="n"/>
      <c r="D860" s="114" t="n"/>
      <c r="E860" s="114" t="n"/>
      <c r="F860" s="114" t="n"/>
      <c r="G860" s="24" t="n"/>
      <c r="V860" s="24" t="n"/>
      <c r="Y860" s="24" t="n"/>
      <c r="Z860" s="24" t="n"/>
      <c r="AA860" s="24" t="n"/>
      <c r="AB860" s="24" t="n"/>
      <c r="AC860" s="24" t="n"/>
      <c r="AD860" s="24" t="n"/>
      <c r="AE860" s="24" t="n"/>
    </row>
    <row r="861">
      <c r="A861" s="114" t="n"/>
      <c r="B861" s="114" t="n"/>
      <c r="C861" s="114" t="n"/>
      <c r="D861" s="114" t="n"/>
      <c r="E861" s="114" t="n"/>
      <c r="F861" s="114" t="n"/>
      <c r="G861" s="24" t="n"/>
      <c r="V861" s="24" t="n"/>
      <c r="Y861" s="24" t="n"/>
      <c r="Z861" s="24" t="n"/>
      <c r="AA861" s="24" t="n"/>
      <c r="AB861" s="24" t="n"/>
      <c r="AC861" s="24" t="n"/>
      <c r="AD861" s="24" t="n"/>
      <c r="AE861" s="24" t="n"/>
    </row>
    <row r="862">
      <c r="A862" s="114" t="n"/>
      <c r="B862" s="114" t="n"/>
      <c r="C862" s="114" t="n"/>
      <c r="D862" s="114" t="n"/>
      <c r="E862" s="114" t="n"/>
      <c r="F862" s="114" t="n"/>
      <c r="G862" s="24" t="n"/>
      <c r="V862" s="24" t="n"/>
      <c r="Y862" s="24" t="n"/>
      <c r="Z862" s="24" t="n"/>
      <c r="AA862" s="24" t="n"/>
      <c r="AB862" s="24" t="n"/>
      <c r="AC862" s="24" t="n"/>
      <c r="AD862" s="24" t="n"/>
      <c r="AE862" s="24" t="n"/>
    </row>
    <row r="863">
      <c r="A863" s="114" t="n"/>
      <c r="B863" s="114" t="n"/>
      <c r="C863" s="114" t="n"/>
      <c r="D863" s="114" t="n"/>
      <c r="E863" s="114" t="n"/>
      <c r="F863" s="114" t="n"/>
      <c r="G863" s="24" t="n"/>
      <c r="V863" s="24" t="n"/>
      <c r="Y863" s="24" t="n"/>
      <c r="Z863" s="24" t="n"/>
      <c r="AA863" s="24" t="n"/>
      <c r="AB863" s="24" t="n"/>
      <c r="AC863" s="24" t="n"/>
      <c r="AD863" s="24" t="n"/>
      <c r="AE863" s="24" t="n"/>
    </row>
    <row r="864">
      <c r="A864" s="114" t="n"/>
      <c r="B864" s="114" t="n"/>
      <c r="C864" s="114" t="n"/>
      <c r="D864" s="114" t="n"/>
      <c r="E864" s="114" t="n"/>
      <c r="F864" s="114" t="n"/>
      <c r="G864" s="24" t="n"/>
      <c r="V864" s="24" t="n"/>
      <c r="Y864" s="24" t="n"/>
      <c r="Z864" s="24" t="n"/>
      <c r="AA864" s="24" t="n"/>
      <c r="AB864" s="24" t="n"/>
      <c r="AC864" s="24" t="n"/>
      <c r="AD864" s="24" t="n"/>
      <c r="AE864" s="24" t="n"/>
    </row>
    <row r="865">
      <c r="A865" s="114" t="n"/>
      <c r="B865" s="114" t="n"/>
      <c r="C865" s="114" t="n"/>
      <c r="D865" s="114" t="n"/>
      <c r="E865" s="114" t="n"/>
      <c r="F865" s="114" t="n"/>
      <c r="G865" s="24" t="n"/>
      <c r="V865" s="24" t="n"/>
      <c r="Y865" s="24" t="n"/>
      <c r="Z865" s="24" t="n"/>
      <c r="AA865" s="24" t="n"/>
      <c r="AB865" s="24" t="n"/>
      <c r="AC865" s="24" t="n"/>
      <c r="AD865" s="24" t="n"/>
      <c r="AE865" s="24" t="n"/>
    </row>
    <row r="866">
      <c r="A866" s="114" t="n"/>
      <c r="B866" s="114" t="n"/>
      <c r="C866" s="114" t="n"/>
      <c r="D866" s="114" t="n"/>
      <c r="E866" s="114" t="n"/>
      <c r="F866" s="114" t="n"/>
      <c r="G866" s="24" t="n"/>
      <c r="V866" s="24" t="n"/>
      <c r="Y866" s="24" t="n"/>
      <c r="Z866" s="24" t="n"/>
      <c r="AA866" s="24" t="n"/>
      <c r="AB866" s="24" t="n"/>
      <c r="AC866" s="24" t="n"/>
      <c r="AD866" s="24" t="n"/>
      <c r="AE866" s="24" t="n"/>
    </row>
    <row r="867">
      <c r="A867" s="114" t="n"/>
      <c r="B867" s="114" t="n"/>
      <c r="C867" s="114" t="n"/>
      <c r="D867" s="114" t="n"/>
      <c r="E867" s="114" t="n"/>
      <c r="F867" s="114" t="n"/>
      <c r="G867" s="24" t="n"/>
      <c r="V867" s="24" t="n"/>
      <c r="Y867" s="24" t="n"/>
      <c r="Z867" s="24" t="n"/>
      <c r="AA867" s="24" t="n"/>
      <c r="AB867" s="24" t="n"/>
      <c r="AC867" s="24" t="n"/>
      <c r="AD867" s="24" t="n"/>
      <c r="AE867" s="24" t="n"/>
    </row>
    <row r="868">
      <c r="A868" s="114" t="n"/>
      <c r="B868" s="114" t="n"/>
      <c r="C868" s="114" t="n"/>
      <c r="D868" s="114" t="n"/>
      <c r="E868" s="114" t="n"/>
      <c r="F868" s="114" t="n"/>
      <c r="G868" s="24" t="n"/>
      <c r="V868" s="24" t="n"/>
      <c r="Y868" s="24" t="n"/>
      <c r="Z868" s="24" t="n"/>
      <c r="AA868" s="24" t="n"/>
      <c r="AB868" s="24" t="n"/>
      <c r="AC868" s="24" t="n"/>
      <c r="AD868" s="24" t="n"/>
      <c r="AE868" s="24" t="n"/>
    </row>
    <row r="869">
      <c r="A869" s="114" t="n"/>
      <c r="B869" s="114" t="n"/>
      <c r="C869" s="114" t="n"/>
      <c r="D869" s="114" t="n"/>
      <c r="E869" s="114" t="n"/>
      <c r="F869" s="114" t="n"/>
      <c r="G869" s="24" t="n"/>
      <c r="V869" s="24" t="n"/>
      <c r="Y869" s="24" t="n"/>
      <c r="Z869" s="24" t="n"/>
      <c r="AA869" s="24" t="n"/>
      <c r="AB869" s="24" t="n"/>
      <c r="AC869" s="24" t="n"/>
      <c r="AD869" s="24" t="n"/>
      <c r="AE869" s="24" t="n"/>
    </row>
    <row r="870">
      <c r="A870" s="114" t="n"/>
      <c r="B870" s="114" t="n"/>
      <c r="C870" s="114" t="n"/>
      <c r="D870" s="114" t="n"/>
      <c r="E870" s="114" t="n"/>
      <c r="F870" s="114" t="n"/>
      <c r="G870" s="24" t="n"/>
      <c r="V870" s="24" t="n"/>
      <c r="Y870" s="24" t="n"/>
      <c r="Z870" s="24" t="n"/>
      <c r="AA870" s="24" t="n"/>
      <c r="AB870" s="24" t="n"/>
      <c r="AC870" s="24" t="n"/>
      <c r="AD870" s="24" t="n"/>
      <c r="AE870" s="24" t="n"/>
    </row>
    <row r="871">
      <c r="A871" s="114" t="n"/>
      <c r="B871" s="114" t="n"/>
      <c r="C871" s="114" t="n"/>
      <c r="D871" s="114" t="n"/>
      <c r="E871" s="114" t="n"/>
      <c r="F871" s="114" t="n"/>
      <c r="G871" s="24" t="n"/>
      <c r="V871" s="24" t="n"/>
      <c r="Y871" s="24" t="n"/>
      <c r="Z871" s="24" t="n"/>
      <c r="AA871" s="24" t="n"/>
      <c r="AB871" s="24" t="n"/>
      <c r="AC871" s="24" t="n"/>
      <c r="AD871" s="24" t="n"/>
      <c r="AE871" s="24" t="n"/>
    </row>
    <row r="872">
      <c r="A872" s="114" t="n"/>
      <c r="B872" s="114" t="n"/>
      <c r="C872" s="114" t="n"/>
      <c r="D872" s="114" t="n"/>
      <c r="E872" s="114" t="n"/>
      <c r="F872" s="114" t="n"/>
      <c r="G872" s="24" t="n"/>
      <c r="V872" s="24" t="n"/>
      <c r="Y872" s="24" t="n"/>
      <c r="Z872" s="24" t="n"/>
      <c r="AA872" s="24" t="n"/>
      <c r="AB872" s="24" t="n"/>
      <c r="AC872" s="24" t="n"/>
      <c r="AD872" s="24" t="n"/>
      <c r="AE872" s="24" t="n"/>
    </row>
    <row r="873">
      <c r="A873" s="114" t="n"/>
      <c r="B873" s="114" t="n"/>
      <c r="C873" s="114" t="n"/>
      <c r="D873" s="114" t="n"/>
      <c r="E873" s="114" t="n"/>
      <c r="F873" s="114" t="n"/>
      <c r="G873" s="24" t="n"/>
      <c r="V873" s="24" t="n"/>
      <c r="Y873" s="24" t="n"/>
      <c r="Z873" s="24" t="n"/>
      <c r="AA873" s="24" t="n"/>
      <c r="AB873" s="24" t="n"/>
      <c r="AC873" s="24" t="n"/>
      <c r="AD873" s="24" t="n"/>
      <c r="AE873" s="24" t="n"/>
    </row>
    <row r="874">
      <c r="A874" s="114" t="n"/>
      <c r="B874" s="114" t="n"/>
      <c r="C874" s="114" t="n"/>
      <c r="D874" s="114" t="n"/>
      <c r="E874" s="114" t="n"/>
      <c r="F874" s="114" t="n"/>
      <c r="G874" s="24" t="n"/>
      <c r="V874" s="24" t="n"/>
      <c r="Y874" s="24" t="n"/>
      <c r="Z874" s="24" t="n"/>
      <c r="AA874" s="24" t="n"/>
      <c r="AB874" s="24" t="n"/>
      <c r="AC874" s="24" t="n"/>
      <c r="AD874" s="24" t="n"/>
      <c r="AE874" s="24" t="n"/>
    </row>
    <row r="875">
      <c r="A875" s="114" t="n"/>
      <c r="B875" s="114" t="n"/>
      <c r="C875" s="114" t="n"/>
      <c r="D875" s="114" t="n"/>
      <c r="E875" s="114" t="n"/>
      <c r="F875" s="114" t="n"/>
      <c r="G875" s="24" t="n"/>
      <c r="V875" s="24" t="n"/>
      <c r="Y875" s="24" t="n"/>
      <c r="Z875" s="24" t="n"/>
      <c r="AA875" s="24" t="n"/>
      <c r="AB875" s="24" t="n"/>
      <c r="AC875" s="24" t="n"/>
      <c r="AD875" s="24" t="n"/>
      <c r="AE875" s="24" t="n"/>
    </row>
    <row r="876">
      <c r="A876" s="114" t="n"/>
      <c r="B876" s="114" t="n"/>
      <c r="C876" s="114" t="n"/>
      <c r="D876" s="114" t="n"/>
      <c r="E876" s="114" t="n"/>
      <c r="F876" s="114" t="n"/>
      <c r="G876" s="24" t="n"/>
      <c r="V876" s="24" t="n"/>
      <c r="Y876" s="24" t="n"/>
      <c r="Z876" s="24" t="n"/>
      <c r="AA876" s="24" t="n"/>
      <c r="AB876" s="24" t="n"/>
      <c r="AC876" s="24" t="n"/>
      <c r="AD876" s="24" t="n"/>
      <c r="AE876" s="24" t="n"/>
    </row>
    <row r="877">
      <c r="A877" s="114" t="n"/>
      <c r="B877" s="114" t="n"/>
      <c r="C877" s="114" t="n"/>
      <c r="D877" s="114" t="n"/>
      <c r="E877" s="114" t="n"/>
      <c r="F877" s="114" t="n"/>
      <c r="G877" s="24" t="n"/>
      <c r="V877" s="24" t="n"/>
      <c r="Y877" s="24" t="n"/>
      <c r="Z877" s="24" t="n"/>
      <c r="AA877" s="24" t="n"/>
      <c r="AB877" s="24" t="n"/>
      <c r="AC877" s="24" t="n"/>
      <c r="AD877" s="24" t="n"/>
      <c r="AE877" s="24" t="n"/>
    </row>
    <row r="878">
      <c r="A878" s="114" t="n"/>
      <c r="B878" s="114" t="n"/>
      <c r="C878" s="114" t="n"/>
      <c r="D878" s="114" t="n"/>
      <c r="E878" s="114" t="n"/>
      <c r="F878" s="114" t="n"/>
      <c r="G878" s="24" t="n"/>
      <c r="V878" s="24" t="n"/>
      <c r="Y878" s="24" t="n"/>
      <c r="Z878" s="24" t="n"/>
      <c r="AA878" s="24" t="n"/>
      <c r="AB878" s="24" t="n"/>
      <c r="AC878" s="24" t="n"/>
      <c r="AD878" s="24" t="n"/>
      <c r="AE878" s="24" t="n"/>
    </row>
    <row r="879">
      <c r="A879" s="114" t="n"/>
      <c r="B879" s="114" t="n"/>
      <c r="C879" s="114" t="n"/>
      <c r="D879" s="114" t="n"/>
      <c r="E879" s="114" t="n"/>
      <c r="F879" s="114" t="n"/>
      <c r="G879" s="24" t="n"/>
      <c r="V879" s="24" t="n"/>
      <c r="Y879" s="24" t="n"/>
      <c r="Z879" s="24" t="n"/>
      <c r="AA879" s="24" t="n"/>
      <c r="AB879" s="24" t="n"/>
      <c r="AC879" s="24" t="n"/>
      <c r="AD879" s="24" t="n"/>
      <c r="AE879" s="24" t="n"/>
    </row>
    <row r="880">
      <c r="A880" s="114" t="n"/>
      <c r="B880" s="114" t="n"/>
      <c r="C880" s="114" t="n"/>
      <c r="D880" s="114" t="n"/>
      <c r="E880" s="114" t="n"/>
      <c r="F880" s="114" t="n"/>
      <c r="G880" s="24" t="n"/>
      <c r="V880" s="24" t="n"/>
      <c r="Y880" s="24" t="n"/>
      <c r="Z880" s="24" t="n"/>
      <c r="AA880" s="24" t="n"/>
      <c r="AB880" s="24" t="n"/>
      <c r="AC880" s="24" t="n"/>
      <c r="AD880" s="24" t="n"/>
      <c r="AE880" s="24" t="n"/>
    </row>
    <row r="881">
      <c r="A881" s="114" t="n"/>
      <c r="B881" s="114" t="n"/>
      <c r="C881" s="114" t="n"/>
      <c r="D881" s="114" t="n"/>
      <c r="E881" s="114" t="n"/>
      <c r="F881" s="114" t="n"/>
      <c r="G881" s="24" t="n"/>
      <c r="V881" s="24" t="n"/>
      <c r="Y881" s="24" t="n"/>
      <c r="Z881" s="24" t="n"/>
      <c r="AA881" s="24" t="n"/>
      <c r="AB881" s="24" t="n"/>
      <c r="AC881" s="24" t="n"/>
      <c r="AD881" s="24" t="n"/>
      <c r="AE881" s="24" t="n"/>
    </row>
    <row r="882">
      <c r="A882" s="114" t="n"/>
      <c r="B882" s="114" t="n"/>
      <c r="C882" s="114" t="n"/>
      <c r="D882" s="114" t="n"/>
      <c r="E882" s="114" t="n"/>
      <c r="F882" s="114" t="n"/>
      <c r="G882" s="24" t="n"/>
      <c r="V882" s="24" t="n"/>
      <c r="Y882" s="24" t="n"/>
      <c r="Z882" s="24" t="n"/>
      <c r="AA882" s="24" t="n"/>
      <c r="AB882" s="24" t="n"/>
      <c r="AC882" s="24" t="n"/>
      <c r="AD882" s="24" t="n"/>
      <c r="AE882" s="24" t="n"/>
    </row>
    <row r="883">
      <c r="A883" s="114" t="n"/>
      <c r="B883" s="114" t="n"/>
      <c r="C883" s="114" t="n"/>
      <c r="D883" s="114" t="n"/>
      <c r="E883" s="114" t="n"/>
      <c r="F883" s="114" t="n"/>
      <c r="G883" s="24" t="n"/>
      <c r="V883" s="24" t="n"/>
      <c r="Y883" s="24" t="n"/>
      <c r="Z883" s="24" t="n"/>
      <c r="AA883" s="24" t="n"/>
      <c r="AB883" s="24" t="n"/>
      <c r="AC883" s="24" t="n"/>
      <c r="AD883" s="24" t="n"/>
      <c r="AE883" s="24" t="n"/>
    </row>
    <row r="884">
      <c r="A884" s="114" t="n"/>
      <c r="B884" s="114" t="n"/>
      <c r="C884" s="114" t="n"/>
      <c r="D884" s="114" t="n"/>
      <c r="E884" s="114" t="n"/>
      <c r="F884" s="114" t="n"/>
      <c r="G884" s="24" t="n"/>
      <c r="V884" s="24" t="n"/>
      <c r="Y884" s="24" t="n"/>
      <c r="Z884" s="24" t="n"/>
      <c r="AA884" s="24" t="n"/>
      <c r="AB884" s="24" t="n"/>
      <c r="AC884" s="24" t="n"/>
      <c r="AD884" s="24" t="n"/>
      <c r="AE884" s="24" t="n"/>
    </row>
    <row r="885">
      <c r="A885" s="114" t="n"/>
      <c r="B885" s="114" t="n"/>
      <c r="C885" s="114" t="n"/>
      <c r="D885" s="114" t="n"/>
      <c r="E885" s="114" t="n"/>
      <c r="F885" s="114" t="n"/>
      <c r="G885" s="24" t="n"/>
      <c r="V885" s="24" t="n"/>
      <c r="Y885" s="24" t="n"/>
      <c r="Z885" s="24" t="n"/>
      <c r="AA885" s="24" t="n"/>
      <c r="AB885" s="24" t="n"/>
      <c r="AC885" s="24" t="n"/>
      <c r="AD885" s="24" t="n"/>
      <c r="AE885" s="24" t="n"/>
    </row>
    <row r="886">
      <c r="A886" s="114" t="n"/>
      <c r="B886" s="114" t="n"/>
      <c r="C886" s="114" t="n"/>
      <c r="D886" s="114" t="n"/>
      <c r="E886" s="114" t="n"/>
      <c r="F886" s="114" t="n"/>
      <c r="G886" s="24" t="n"/>
      <c r="V886" s="24" t="n"/>
      <c r="Y886" s="24" t="n"/>
      <c r="Z886" s="24" t="n"/>
      <c r="AA886" s="24" t="n"/>
      <c r="AB886" s="24" t="n"/>
      <c r="AC886" s="24" t="n"/>
      <c r="AD886" s="24" t="n"/>
      <c r="AE886" s="24" t="n"/>
    </row>
    <row r="887">
      <c r="A887" s="114" t="n"/>
      <c r="B887" s="114" t="n"/>
      <c r="C887" s="114" t="n"/>
      <c r="D887" s="114" t="n"/>
      <c r="E887" s="114" t="n"/>
      <c r="F887" s="114" t="n"/>
      <c r="G887" s="24" t="n"/>
      <c r="V887" s="24" t="n"/>
      <c r="Y887" s="24" t="n"/>
      <c r="Z887" s="24" t="n"/>
      <c r="AA887" s="24" t="n"/>
      <c r="AB887" s="24" t="n"/>
      <c r="AC887" s="24" t="n"/>
      <c r="AD887" s="24" t="n"/>
      <c r="AE887" s="24" t="n"/>
    </row>
    <row r="888">
      <c r="A888" s="114" t="n"/>
      <c r="B888" s="114" t="n"/>
      <c r="C888" s="114" t="n"/>
      <c r="D888" s="114" t="n"/>
      <c r="E888" s="114" t="n"/>
      <c r="F888" s="114" t="n"/>
      <c r="G888" s="24" t="n"/>
      <c r="V888" s="24" t="n"/>
      <c r="Y888" s="24" t="n"/>
      <c r="Z888" s="24" t="n"/>
      <c r="AA888" s="24" t="n"/>
      <c r="AB888" s="24" t="n"/>
      <c r="AC888" s="24" t="n"/>
      <c r="AD888" s="24" t="n"/>
      <c r="AE888" s="24" t="n"/>
    </row>
    <row r="889">
      <c r="A889" s="114" t="n"/>
      <c r="B889" s="114" t="n"/>
      <c r="C889" s="114" t="n"/>
      <c r="D889" s="114" t="n"/>
      <c r="E889" s="114" t="n"/>
      <c r="F889" s="114" t="n"/>
      <c r="G889" s="24" t="n"/>
      <c r="V889" s="24" t="n"/>
      <c r="Y889" s="24" t="n"/>
      <c r="Z889" s="24" t="n"/>
      <c r="AA889" s="24" t="n"/>
      <c r="AB889" s="24" t="n"/>
      <c r="AC889" s="24" t="n"/>
      <c r="AD889" s="24" t="n"/>
      <c r="AE889" s="24" t="n"/>
    </row>
    <row r="890">
      <c r="A890" s="114" t="n"/>
      <c r="B890" s="114" t="n"/>
      <c r="C890" s="114" t="n"/>
      <c r="D890" s="114" t="n"/>
      <c r="E890" s="114" t="n"/>
      <c r="F890" s="114" t="n"/>
      <c r="G890" s="24" t="n"/>
      <c r="V890" s="24" t="n"/>
      <c r="Y890" s="24" t="n"/>
      <c r="Z890" s="24" t="n"/>
      <c r="AA890" s="24" t="n"/>
      <c r="AB890" s="24" t="n"/>
      <c r="AC890" s="24" t="n"/>
      <c r="AD890" s="24" t="n"/>
      <c r="AE890" s="24" t="n"/>
    </row>
    <row r="891">
      <c r="A891" s="114" t="n"/>
      <c r="B891" s="114" t="n"/>
      <c r="C891" s="114" t="n"/>
      <c r="D891" s="114" t="n"/>
      <c r="E891" s="114" t="n"/>
      <c r="F891" s="114" t="n"/>
      <c r="G891" s="24" t="n"/>
      <c r="V891" s="24" t="n"/>
      <c r="Y891" s="24" t="n"/>
      <c r="Z891" s="24" t="n"/>
      <c r="AA891" s="24" t="n"/>
      <c r="AB891" s="24" t="n"/>
      <c r="AC891" s="24" t="n"/>
      <c r="AD891" s="24" t="n"/>
      <c r="AE891" s="24" t="n"/>
    </row>
    <row r="892">
      <c r="A892" s="114" t="n"/>
      <c r="B892" s="114" t="n"/>
      <c r="C892" s="114" t="n"/>
      <c r="D892" s="114" t="n"/>
      <c r="E892" s="114" t="n"/>
      <c r="F892" s="114" t="n"/>
      <c r="G892" s="24" t="n"/>
      <c r="V892" s="24" t="n"/>
      <c r="Y892" s="24" t="n"/>
      <c r="Z892" s="24" t="n"/>
      <c r="AA892" s="24" t="n"/>
      <c r="AB892" s="24" t="n"/>
      <c r="AC892" s="24" t="n"/>
      <c r="AD892" s="24" t="n"/>
      <c r="AE892" s="24" t="n"/>
    </row>
    <row r="893">
      <c r="A893" s="114" t="n"/>
      <c r="B893" s="114" t="n"/>
      <c r="C893" s="114" t="n"/>
      <c r="D893" s="114" t="n"/>
      <c r="E893" s="114" t="n"/>
      <c r="F893" s="114" t="n"/>
      <c r="G893" s="24" t="n"/>
      <c r="V893" s="24" t="n"/>
      <c r="Y893" s="24" t="n"/>
      <c r="Z893" s="24" t="n"/>
      <c r="AA893" s="24" t="n"/>
      <c r="AB893" s="24" t="n"/>
      <c r="AC893" s="24" t="n"/>
      <c r="AD893" s="24" t="n"/>
      <c r="AE893" s="24" t="n"/>
    </row>
    <row r="894">
      <c r="A894" s="114" t="n"/>
      <c r="B894" s="114" t="n"/>
      <c r="C894" s="114" t="n"/>
      <c r="D894" s="114" t="n"/>
      <c r="E894" s="114" t="n"/>
      <c r="F894" s="114" t="n"/>
      <c r="G894" s="24" t="n"/>
      <c r="V894" s="24" t="n"/>
      <c r="Y894" s="24" t="n"/>
      <c r="Z894" s="24" t="n"/>
      <c r="AA894" s="24" t="n"/>
      <c r="AB894" s="24" t="n"/>
      <c r="AC894" s="24" t="n"/>
      <c r="AD894" s="24" t="n"/>
      <c r="AE894" s="24" t="n"/>
    </row>
    <row r="895">
      <c r="A895" s="114" t="n"/>
      <c r="B895" s="114" t="n"/>
      <c r="C895" s="114" t="n"/>
      <c r="D895" s="114" t="n"/>
      <c r="E895" s="114" t="n"/>
      <c r="F895" s="114" t="n"/>
      <c r="G895" s="24" t="n"/>
      <c r="V895" s="24" t="n"/>
      <c r="Y895" s="24" t="n"/>
      <c r="Z895" s="24" t="n"/>
      <c r="AA895" s="24" t="n"/>
      <c r="AB895" s="24" t="n"/>
      <c r="AC895" s="24" t="n"/>
      <c r="AD895" s="24" t="n"/>
      <c r="AE895" s="24" t="n"/>
    </row>
    <row r="896">
      <c r="A896" s="114" t="n"/>
      <c r="B896" s="114" t="n"/>
      <c r="C896" s="114" t="n"/>
      <c r="D896" s="114" t="n"/>
      <c r="E896" s="114" t="n"/>
      <c r="F896" s="114" t="n"/>
      <c r="G896" s="24" t="n"/>
      <c r="V896" s="24" t="n"/>
      <c r="Y896" s="24" t="n"/>
      <c r="Z896" s="24" t="n"/>
      <c r="AA896" s="24" t="n"/>
      <c r="AB896" s="24" t="n"/>
      <c r="AC896" s="24" t="n"/>
      <c r="AD896" s="24" t="n"/>
      <c r="AE896" s="24" t="n"/>
    </row>
    <row r="897">
      <c r="A897" s="114" t="n"/>
      <c r="B897" s="114" t="n"/>
      <c r="C897" s="114" t="n"/>
      <c r="D897" s="114" t="n"/>
      <c r="E897" s="114" t="n"/>
      <c r="F897" s="114" t="n"/>
      <c r="G897" s="24" t="n"/>
      <c r="V897" s="24" t="n"/>
      <c r="Y897" s="24" t="n"/>
      <c r="Z897" s="24" t="n"/>
      <c r="AA897" s="24" t="n"/>
      <c r="AB897" s="24" t="n"/>
      <c r="AC897" s="24" t="n"/>
      <c r="AD897" s="24" t="n"/>
      <c r="AE897" s="24" t="n"/>
    </row>
    <row r="898">
      <c r="A898" s="114" t="n"/>
      <c r="B898" s="114" t="n"/>
      <c r="C898" s="114" t="n"/>
      <c r="D898" s="114" t="n"/>
      <c r="E898" s="114" t="n"/>
      <c r="F898" s="114" t="n"/>
      <c r="G898" s="24" t="n"/>
      <c r="V898" s="24" t="n"/>
      <c r="Y898" s="24" t="n"/>
      <c r="Z898" s="24" t="n"/>
      <c r="AA898" s="24" t="n"/>
      <c r="AB898" s="24" t="n"/>
      <c r="AC898" s="24" t="n"/>
      <c r="AD898" s="24" t="n"/>
      <c r="AE898" s="24" t="n"/>
    </row>
    <row r="899">
      <c r="A899" s="114" t="n"/>
      <c r="B899" s="114" t="n"/>
      <c r="C899" s="114" t="n"/>
      <c r="D899" s="114" t="n"/>
      <c r="E899" s="114" t="n"/>
      <c r="F899" s="114" t="n"/>
      <c r="G899" s="24" t="n"/>
      <c r="V899" s="24" t="n"/>
      <c r="Y899" s="24" t="n"/>
      <c r="Z899" s="24" t="n"/>
      <c r="AA899" s="24" t="n"/>
      <c r="AB899" s="24" t="n"/>
      <c r="AC899" s="24" t="n"/>
      <c r="AD899" s="24" t="n"/>
      <c r="AE899" s="24" t="n"/>
    </row>
    <row r="900">
      <c r="A900" s="114" t="n"/>
      <c r="B900" s="114" t="n"/>
      <c r="C900" s="114" t="n"/>
      <c r="D900" s="114" t="n"/>
      <c r="E900" s="114" t="n"/>
      <c r="F900" s="114" t="n"/>
      <c r="G900" s="24" t="n"/>
      <c r="V900" s="24" t="n"/>
      <c r="Y900" s="24" t="n"/>
      <c r="Z900" s="24" t="n"/>
      <c r="AA900" s="24" t="n"/>
      <c r="AB900" s="24" t="n"/>
      <c r="AC900" s="24" t="n"/>
      <c r="AD900" s="24" t="n"/>
      <c r="AE900" s="24" t="n"/>
    </row>
    <row r="901">
      <c r="A901" s="114" t="n"/>
      <c r="B901" s="114" t="n"/>
      <c r="C901" s="114" t="n"/>
      <c r="D901" s="114" t="n"/>
      <c r="E901" s="114" t="n"/>
      <c r="F901" s="114" t="n"/>
      <c r="G901" s="24" t="n"/>
      <c r="V901" s="24" t="n"/>
      <c r="Y901" s="24" t="n"/>
      <c r="Z901" s="24" t="n"/>
      <c r="AA901" s="24" t="n"/>
      <c r="AB901" s="24" t="n"/>
      <c r="AC901" s="24" t="n"/>
      <c r="AD901" s="24" t="n"/>
      <c r="AE901" s="24" t="n"/>
    </row>
    <row r="902">
      <c r="A902" s="114" t="n"/>
      <c r="B902" s="114" t="n"/>
      <c r="C902" s="114" t="n"/>
      <c r="D902" s="114" t="n"/>
      <c r="E902" s="114" t="n"/>
      <c r="F902" s="114" t="n"/>
      <c r="G902" s="24" t="n"/>
      <c r="V902" s="24" t="n"/>
      <c r="Y902" s="24" t="n"/>
      <c r="Z902" s="24" t="n"/>
      <c r="AA902" s="24" t="n"/>
      <c r="AB902" s="24" t="n"/>
      <c r="AC902" s="24" t="n"/>
      <c r="AD902" s="24" t="n"/>
      <c r="AE902" s="24" t="n"/>
    </row>
    <row r="903">
      <c r="A903" s="114" t="n"/>
      <c r="B903" s="114" t="n"/>
      <c r="C903" s="114" t="n"/>
      <c r="D903" s="114" t="n"/>
      <c r="E903" s="114" t="n"/>
      <c r="F903" s="114" t="n"/>
      <c r="G903" s="24" t="n"/>
      <c r="V903" s="24" t="n"/>
      <c r="Y903" s="24" t="n"/>
      <c r="Z903" s="24" t="n"/>
      <c r="AA903" s="24" t="n"/>
      <c r="AB903" s="24" t="n"/>
      <c r="AC903" s="24" t="n"/>
      <c r="AD903" s="24" t="n"/>
      <c r="AE903" s="24" t="n"/>
    </row>
    <row r="904">
      <c r="A904" s="114" t="n"/>
      <c r="B904" s="114" t="n"/>
      <c r="C904" s="114" t="n"/>
      <c r="D904" s="114" t="n"/>
      <c r="E904" s="114" t="n"/>
      <c r="F904" s="114" t="n"/>
      <c r="G904" s="24" t="n"/>
      <c r="V904" s="24" t="n"/>
      <c r="Y904" s="24" t="n"/>
      <c r="Z904" s="24" t="n"/>
      <c r="AA904" s="24" t="n"/>
      <c r="AB904" s="24" t="n"/>
      <c r="AC904" s="24" t="n"/>
      <c r="AD904" s="24" t="n"/>
      <c r="AE904" s="24" t="n"/>
    </row>
    <row r="905">
      <c r="A905" s="114" t="n"/>
      <c r="B905" s="114" t="n"/>
      <c r="C905" s="114" t="n"/>
      <c r="D905" s="114" t="n"/>
      <c r="E905" s="114" t="n"/>
      <c r="F905" s="114" t="n"/>
      <c r="G905" s="24" t="n"/>
      <c r="V905" s="24" t="n"/>
      <c r="Y905" s="24" t="n"/>
      <c r="Z905" s="24" t="n"/>
      <c r="AA905" s="24" t="n"/>
      <c r="AB905" s="24" t="n"/>
      <c r="AC905" s="24" t="n"/>
      <c r="AD905" s="24" t="n"/>
      <c r="AE905" s="24" t="n"/>
    </row>
    <row r="906">
      <c r="A906" s="114" t="n"/>
      <c r="B906" s="114" t="n"/>
      <c r="C906" s="114" t="n"/>
      <c r="D906" s="114" t="n"/>
      <c r="E906" s="114" t="n"/>
      <c r="F906" s="114" t="n"/>
      <c r="G906" s="24" t="n"/>
      <c r="V906" s="24" t="n"/>
      <c r="Y906" s="24" t="n"/>
      <c r="Z906" s="24" t="n"/>
      <c r="AA906" s="24" t="n"/>
      <c r="AB906" s="24" t="n"/>
      <c r="AC906" s="24" t="n"/>
      <c r="AD906" s="24" t="n"/>
      <c r="AE906" s="24" t="n"/>
    </row>
    <row r="907">
      <c r="A907" s="114" t="n"/>
      <c r="B907" s="114" t="n"/>
      <c r="C907" s="114" t="n"/>
      <c r="D907" s="114" t="n"/>
      <c r="E907" s="114" t="n"/>
      <c r="F907" s="114" t="n"/>
      <c r="G907" s="24" t="n"/>
      <c r="V907" s="24" t="n"/>
      <c r="Y907" s="24" t="n"/>
      <c r="Z907" s="24" t="n"/>
      <c r="AA907" s="24" t="n"/>
      <c r="AB907" s="24" t="n"/>
      <c r="AC907" s="24" t="n"/>
      <c r="AD907" s="24" t="n"/>
      <c r="AE907" s="24" t="n"/>
    </row>
    <row r="908">
      <c r="A908" s="114" t="n"/>
      <c r="B908" s="114" t="n"/>
      <c r="C908" s="114" t="n"/>
      <c r="D908" s="114" t="n"/>
      <c r="E908" s="114" t="n"/>
      <c r="F908" s="114" t="n"/>
      <c r="G908" s="24" t="n"/>
      <c r="V908" s="24" t="n"/>
      <c r="Y908" s="24" t="n"/>
      <c r="Z908" s="24" t="n"/>
      <c r="AA908" s="24" t="n"/>
      <c r="AB908" s="24" t="n"/>
      <c r="AC908" s="24" t="n"/>
      <c r="AD908" s="24" t="n"/>
      <c r="AE908" s="24" t="n"/>
    </row>
    <row r="909">
      <c r="A909" s="114" t="n"/>
      <c r="B909" s="114" t="n"/>
      <c r="C909" s="114" t="n"/>
      <c r="D909" s="114" t="n"/>
      <c r="E909" s="114" t="n"/>
      <c r="F909" s="114" t="n"/>
      <c r="G909" s="24" t="n"/>
      <c r="V909" s="24" t="n"/>
      <c r="Y909" s="24" t="n"/>
      <c r="Z909" s="24" t="n"/>
      <c r="AA909" s="24" t="n"/>
      <c r="AB909" s="24" t="n"/>
      <c r="AC909" s="24" t="n"/>
      <c r="AD909" s="24" t="n"/>
      <c r="AE909" s="24" t="n"/>
    </row>
    <row r="910">
      <c r="A910" s="114" t="n"/>
      <c r="B910" s="114" t="n"/>
      <c r="C910" s="114" t="n"/>
      <c r="D910" s="114" t="n"/>
      <c r="E910" s="114" t="n"/>
      <c r="F910" s="114" t="n"/>
      <c r="G910" s="24" t="n"/>
      <c r="V910" s="24" t="n"/>
      <c r="Y910" s="24" t="n"/>
      <c r="Z910" s="24" t="n"/>
      <c r="AA910" s="24" t="n"/>
      <c r="AB910" s="24" t="n"/>
      <c r="AC910" s="24" t="n"/>
      <c r="AD910" s="24" t="n"/>
      <c r="AE910" s="24" t="n"/>
    </row>
    <row r="911">
      <c r="A911" s="114" t="n"/>
      <c r="B911" s="114" t="n"/>
      <c r="C911" s="114" t="n"/>
      <c r="D911" s="114" t="n"/>
      <c r="E911" s="114" t="n"/>
      <c r="F911" s="114" t="n"/>
      <c r="G911" s="24" t="n"/>
      <c r="V911" s="24" t="n"/>
      <c r="Y911" s="24" t="n"/>
      <c r="Z911" s="24" t="n"/>
      <c r="AA911" s="24" t="n"/>
      <c r="AB911" s="24" t="n"/>
      <c r="AC911" s="24" t="n"/>
      <c r="AD911" s="24" t="n"/>
      <c r="AE911" s="24" t="n"/>
    </row>
    <row r="912">
      <c r="A912" s="114" t="n"/>
      <c r="B912" s="114" t="n"/>
      <c r="C912" s="114" t="n"/>
      <c r="D912" s="114" t="n"/>
      <c r="E912" s="114" t="n"/>
      <c r="F912" s="114" t="n"/>
      <c r="G912" s="24" t="n"/>
      <c r="V912" s="24" t="n"/>
      <c r="Y912" s="24" t="n"/>
      <c r="Z912" s="24" t="n"/>
      <c r="AA912" s="24" t="n"/>
      <c r="AB912" s="24" t="n"/>
      <c r="AC912" s="24" t="n"/>
      <c r="AD912" s="24" t="n"/>
      <c r="AE912" s="24" t="n"/>
    </row>
    <row r="913">
      <c r="A913" s="114" t="n"/>
      <c r="B913" s="114" t="n"/>
      <c r="C913" s="114" t="n"/>
      <c r="D913" s="114" t="n"/>
      <c r="E913" s="114" t="n"/>
      <c r="F913" s="114" t="n"/>
      <c r="G913" s="24" t="n"/>
      <c r="V913" s="24" t="n"/>
      <c r="Y913" s="24" t="n"/>
      <c r="Z913" s="24" t="n"/>
      <c r="AA913" s="24" t="n"/>
      <c r="AB913" s="24" t="n"/>
      <c r="AC913" s="24" t="n"/>
      <c r="AD913" s="24" t="n"/>
      <c r="AE913" s="24" t="n"/>
    </row>
    <row r="914">
      <c r="A914" s="114" t="n"/>
      <c r="B914" s="114" t="n"/>
      <c r="C914" s="114" t="n"/>
      <c r="D914" s="114" t="n"/>
      <c r="E914" s="114" t="n"/>
      <c r="F914" s="114" t="n"/>
      <c r="G914" s="24" t="n"/>
      <c r="V914" s="24" t="n"/>
      <c r="Y914" s="24" t="n"/>
      <c r="Z914" s="24" t="n"/>
      <c r="AA914" s="24" t="n"/>
      <c r="AB914" s="24" t="n"/>
      <c r="AC914" s="24" t="n"/>
      <c r="AD914" s="24" t="n"/>
      <c r="AE914" s="24" t="n"/>
    </row>
    <row r="915">
      <c r="A915" s="114" t="n"/>
      <c r="B915" s="114" t="n"/>
      <c r="C915" s="114" t="n"/>
      <c r="D915" s="114" t="n"/>
      <c r="E915" s="114" t="n"/>
      <c r="F915" s="114" t="n"/>
      <c r="G915" s="24" t="n"/>
      <c r="V915" s="24" t="n"/>
      <c r="Y915" s="24" t="n"/>
      <c r="Z915" s="24" t="n"/>
      <c r="AA915" s="24" t="n"/>
      <c r="AB915" s="24" t="n"/>
      <c r="AC915" s="24" t="n"/>
      <c r="AD915" s="24" t="n"/>
      <c r="AE915" s="24" t="n"/>
    </row>
    <row r="916">
      <c r="A916" s="114" t="n"/>
      <c r="B916" s="114" t="n"/>
      <c r="C916" s="114" t="n"/>
      <c r="D916" s="114" t="n"/>
      <c r="E916" s="114" t="n"/>
      <c r="F916" s="114" t="n"/>
      <c r="G916" s="24" t="n"/>
      <c r="V916" s="24" t="n"/>
      <c r="Y916" s="24" t="n"/>
      <c r="Z916" s="24" t="n"/>
      <c r="AA916" s="24" t="n"/>
      <c r="AB916" s="24" t="n"/>
      <c r="AC916" s="24" t="n"/>
      <c r="AD916" s="24" t="n"/>
      <c r="AE916" s="24" t="n"/>
    </row>
    <row r="917">
      <c r="A917" s="114" t="n"/>
      <c r="B917" s="114" t="n"/>
      <c r="C917" s="114" t="n"/>
      <c r="D917" s="114" t="n"/>
      <c r="E917" s="114" t="n"/>
      <c r="F917" s="114" t="n"/>
      <c r="G917" s="24" t="n"/>
      <c r="V917" s="24" t="n"/>
      <c r="Y917" s="24" t="n"/>
      <c r="Z917" s="24" t="n"/>
      <c r="AA917" s="24" t="n"/>
      <c r="AB917" s="24" t="n"/>
      <c r="AC917" s="24" t="n"/>
      <c r="AD917" s="24" t="n"/>
      <c r="AE917" s="24" t="n"/>
    </row>
    <row r="918">
      <c r="A918" s="114" t="n"/>
      <c r="B918" s="114" t="n"/>
      <c r="C918" s="114" t="n"/>
      <c r="D918" s="114" t="n"/>
      <c r="E918" s="114" t="n"/>
      <c r="F918" s="114" t="n"/>
      <c r="G918" s="24" t="n"/>
      <c r="V918" s="24" t="n"/>
      <c r="Y918" s="24" t="n"/>
      <c r="Z918" s="24" t="n"/>
      <c r="AA918" s="24" t="n"/>
      <c r="AB918" s="24" t="n"/>
      <c r="AC918" s="24" t="n"/>
      <c r="AD918" s="24" t="n"/>
      <c r="AE918" s="24" t="n"/>
    </row>
    <row r="919">
      <c r="A919" s="114" t="n"/>
      <c r="B919" s="114" t="n"/>
      <c r="C919" s="114" t="n"/>
      <c r="D919" s="114" t="n"/>
      <c r="E919" s="114" t="n"/>
      <c r="F919" s="114" t="n"/>
      <c r="G919" s="24" t="n"/>
      <c r="V919" s="24" t="n"/>
      <c r="Y919" s="24" t="n"/>
      <c r="Z919" s="24" t="n"/>
      <c r="AA919" s="24" t="n"/>
      <c r="AB919" s="24" t="n"/>
      <c r="AC919" s="24" t="n"/>
      <c r="AD919" s="24" t="n"/>
      <c r="AE919" s="24" t="n"/>
    </row>
    <row r="920">
      <c r="A920" s="114" t="n"/>
      <c r="B920" s="114" t="n"/>
      <c r="C920" s="114" t="n"/>
      <c r="D920" s="114" t="n"/>
      <c r="E920" s="114" t="n"/>
      <c r="F920" s="114" t="n"/>
      <c r="G920" s="24" t="n"/>
      <c r="V920" s="24" t="n"/>
      <c r="Y920" s="24" t="n"/>
      <c r="Z920" s="24" t="n"/>
      <c r="AA920" s="24" t="n"/>
      <c r="AB920" s="24" t="n"/>
      <c r="AC920" s="24" t="n"/>
      <c r="AD920" s="24" t="n"/>
      <c r="AE920" s="24" t="n"/>
    </row>
    <row r="921">
      <c r="A921" s="114" t="n"/>
      <c r="B921" s="114" t="n"/>
      <c r="C921" s="114" t="n"/>
      <c r="D921" s="114" t="n"/>
      <c r="E921" s="114" t="n"/>
      <c r="F921" s="114" t="n"/>
      <c r="G921" s="24" t="n"/>
      <c r="V921" s="24" t="n"/>
      <c r="Y921" s="24" t="n"/>
      <c r="Z921" s="24" t="n"/>
      <c r="AA921" s="24" t="n"/>
      <c r="AB921" s="24" t="n"/>
      <c r="AC921" s="24" t="n"/>
      <c r="AD921" s="24" t="n"/>
      <c r="AE921" s="24" t="n"/>
    </row>
    <row r="922">
      <c r="A922" s="114" t="n"/>
      <c r="B922" s="114" t="n"/>
      <c r="C922" s="114" t="n"/>
      <c r="D922" s="114" t="n"/>
      <c r="E922" s="114" t="n"/>
      <c r="F922" s="114" t="n"/>
      <c r="G922" s="24" t="n"/>
      <c r="V922" s="24" t="n"/>
      <c r="Y922" s="24" t="n"/>
      <c r="Z922" s="24" t="n"/>
      <c r="AA922" s="24" t="n"/>
      <c r="AB922" s="24" t="n"/>
      <c r="AC922" s="24" t="n"/>
      <c r="AD922" s="24" t="n"/>
      <c r="AE922" s="24" t="n"/>
    </row>
    <row r="923">
      <c r="A923" s="114" t="n"/>
      <c r="B923" s="114" t="n"/>
      <c r="C923" s="114" t="n"/>
      <c r="D923" s="114" t="n"/>
      <c r="E923" s="114" t="n"/>
      <c r="F923" s="114" t="n"/>
      <c r="G923" s="24" t="n"/>
      <c r="V923" s="24" t="n"/>
      <c r="Y923" s="24" t="n"/>
      <c r="Z923" s="24" t="n"/>
      <c r="AA923" s="24" t="n"/>
      <c r="AB923" s="24" t="n"/>
      <c r="AC923" s="24" t="n"/>
      <c r="AD923" s="24" t="n"/>
      <c r="AE923" s="24" t="n"/>
    </row>
    <row r="924">
      <c r="A924" s="114" t="n"/>
      <c r="B924" s="114" t="n"/>
      <c r="C924" s="114" t="n"/>
      <c r="D924" s="114" t="n"/>
      <c r="E924" s="114" t="n"/>
      <c r="F924" s="114" t="n"/>
      <c r="G924" s="24" t="n"/>
      <c r="V924" s="24" t="n"/>
      <c r="Y924" s="24" t="n"/>
      <c r="Z924" s="24" t="n"/>
      <c r="AA924" s="24" t="n"/>
      <c r="AB924" s="24" t="n"/>
      <c r="AC924" s="24" t="n"/>
      <c r="AD924" s="24" t="n"/>
      <c r="AE924" s="24" t="n"/>
    </row>
    <row r="925">
      <c r="A925" s="114" t="n"/>
      <c r="B925" s="114" t="n"/>
      <c r="C925" s="114" t="n"/>
      <c r="D925" s="114" t="n"/>
      <c r="E925" s="114" t="n"/>
      <c r="F925" s="114" t="n"/>
      <c r="G925" s="24" t="n"/>
      <c r="V925" s="24" t="n"/>
      <c r="Y925" s="24" t="n"/>
      <c r="Z925" s="24" t="n"/>
      <c r="AA925" s="24" t="n"/>
      <c r="AB925" s="24" t="n"/>
      <c r="AC925" s="24" t="n"/>
      <c r="AD925" s="24" t="n"/>
      <c r="AE925" s="24" t="n"/>
    </row>
    <row r="926">
      <c r="A926" s="114" t="n"/>
      <c r="B926" s="114" t="n"/>
      <c r="C926" s="114" t="n"/>
      <c r="D926" s="114" t="n"/>
      <c r="E926" s="114" t="n"/>
      <c r="F926" s="114" t="n"/>
      <c r="G926" s="24" t="n"/>
      <c r="V926" s="24" t="n"/>
      <c r="Y926" s="24" t="n"/>
      <c r="Z926" s="24" t="n"/>
      <c r="AA926" s="24" t="n"/>
      <c r="AB926" s="24" t="n"/>
      <c r="AC926" s="24" t="n"/>
      <c r="AD926" s="24" t="n"/>
      <c r="AE926" s="24" t="n"/>
    </row>
    <row r="927">
      <c r="A927" s="114" t="n"/>
      <c r="B927" s="114" t="n"/>
      <c r="C927" s="114" t="n"/>
      <c r="D927" s="114" t="n"/>
      <c r="E927" s="114" t="n"/>
      <c r="F927" s="114" t="n"/>
      <c r="G927" s="24" t="n"/>
      <c r="V927" s="24" t="n"/>
      <c r="Y927" s="24" t="n"/>
      <c r="Z927" s="24" t="n"/>
      <c r="AA927" s="24" t="n"/>
      <c r="AB927" s="24" t="n"/>
      <c r="AC927" s="24" t="n"/>
      <c r="AD927" s="24" t="n"/>
      <c r="AE927" s="24" t="n"/>
    </row>
    <row r="928">
      <c r="A928" s="114" t="n"/>
      <c r="B928" s="114" t="n"/>
      <c r="C928" s="114" t="n"/>
      <c r="D928" s="114" t="n"/>
      <c r="E928" s="114" t="n"/>
      <c r="F928" s="114" t="n"/>
      <c r="G928" s="24" t="n"/>
      <c r="V928" s="24" t="n"/>
      <c r="Y928" s="24" t="n"/>
      <c r="Z928" s="24" t="n"/>
      <c r="AA928" s="24" t="n"/>
      <c r="AB928" s="24" t="n"/>
      <c r="AC928" s="24" t="n"/>
      <c r="AD928" s="24" t="n"/>
      <c r="AE928" s="24" t="n"/>
    </row>
    <row r="929">
      <c r="A929" s="114" t="n"/>
      <c r="B929" s="114" t="n"/>
      <c r="C929" s="114" t="n"/>
      <c r="D929" s="114" t="n"/>
      <c r="E929" s="114" t="n"/>
      <c r="F929" s="114" t="n"/>
      <c r="G929" s="24" t="n"/>
      <c r="V929" s="24" t="n"/>
      <c r="Y929" s="24" t="n"/>
      <c r="Z929" s="24" t="n"/>
      <c r="AA929" s="24" t="n"/>
      <c r="AB929" s="24" t="n"/>
      <c r="AC929" s="24" t="n"/>
      <c r="AD929" s="24" t="n"/>
      <c r="AE929" s="24" t="n"/>
    </row>
    <row r="930">
      <c r="A930" s="114" t="n"/>
      <c r="B930" s="114" t="n"/>
      <c r="C930" s="114" t="n"/>
      <c r="D930" s="114" t="n"/>
      <c r="E930" s="114" t="n"/>
      <c r="F930" s="114" t="n"/>
      <c r="G930" s="24" t="n"/>
      <c r="V930" s="24" t="n"/>
      <c r="Y930" s="24" t="n"/>
      <c r="Z930" s="24" t="n"/>
      <c r="AA930" s="24" t="n"/>
      <c r="AB930" s="24" t="n"/>
      <c r="AC930" s="24" t="n"/>
      <c r="AD930" s="24" t="n"/>
      <c r="AE930" s="24" t="n"/>
    </row>
    <row r="931">
      <c r="A931" s="114" t="n"/>
      <c r="B931" s="114" t="n"/>
      <c r="C931" s="114" t="n"/>
      <c r="D931" s="114" t="n"/>
      <c r="E931" s="114" t="n"/>
      <c r="F931" s="114" t="n"/>
      <c r="G931" s="24" t="n"/>
      <c r="V931" s="24" t="n"/>
      <c r="Y931" s="24" t="n"/>
      <c r="Z931" s="24" t="n"/>
      <c r="AA931" s="24" t="n"/>
      <c r="AB931" s="24" t="n"/>
      <c r="AC931" s="24" t="n"/>
      <c r="AD931" s="24" t="n"/>
      <c r="AE931" s="24" t="n"/>
    </row>
    <row r="932">
      <c r="A932" s="114" t="n"/>
      <c r="B932" s="114" t="n"/>
      <c r="C932" s="114" t="n"/>
      <c r="D932" s="114" t="n"/>
      <c r="E932" s="114" t="n"/>
      <c r="F932" s="114" t="n"/>
      <c r="G932" s="24" t="n"/>
      <c r="V932" s="24" t="n"/>
      <c r="Y932" s="24" t="n"/>
      <c r="Z932" s="24" t="n"/>
      <c r="AA932" s="24" t="n"/>
      <c r="AB932" s="24" t="n"/>
      <c r="AC932" s="24" t="n"/>
      <c r="AD932" s="24" t="n"/>
      <c r="AE932" s="24" t="n"/>
    </row>
    <row r="933">
      <c r="A933" s="114" t="n"/>
      <c r="B933" s="114" t="n"/>
      <c r="C933" s="114" t="n"/>
      <c r="D933" s="114" t="n"/>
      <c r="E933" s="114" t="n"/>
      <c r="F933" s="114" t="n"/>
      <c r="G933" s="24" t="n"/>
      <c r="V933" s="24" t="n"/>
      <c r="Y933" s="24" t="n"/>
      <c r="Z933" s="24" t="n"/>
      <c r="AA933" s="24" t="n"/>
      <c r="AB933" s="24" t="n"/>
      <c r="AC933" s="24" t="n"/>
      <c r="AD933" s="24" t="n"/>
      <c r="AE933" s="24" t="n"/>
    </row>
    <row r="934">
      <c r="A934" s="114" t="n"/>
      <c r="B934" s="114" t="n"/>
      <c r="C934" s="114" t="n"/>
      <c r="D934" s="114" t="n"/>
      <c r="E934" s="114" t="n"/>
      <c r="F934" s="114" t="n"/>
      <c r="G934" s="24" t="n"/>
      <c r="V934" s="24" t="n"/>
      <c r="Y934" s="24" t="n"/>
      <c r="Z934" s="24" t="n"/>
      <c r="AA934" s="24" t="n"/>
      <c r="AB934" s="24" t="n"/>
      <c r="AC934" s="24" t="n"/>
      <c r="AD934" s="24" t="n"/>
      <c r="AE934" s="24" t="n"/>
    </row>
    <row r="935">
      <c r="A935" s="114" t="n"/>
      <c r="B935" s="114" t="n"/>
      <c r="C935" s="114" t="n"/>
      <c r="D935" s="114" t="n"/>
      <c r="E935" s="114" t="n"/>
      <c r="F935" s="114" t="n"/>
      <c r="G935" s="24" t="n"/>
      <c r="V935" s="24" t="n"/>
      <c r="Y935" s="24" t="n"/>
      <c r="Z935" s="24" t="n"/>
      <c r="AA935" s="24" t="n"/>
      <c r="AB935" s="24" t="n"/>
      <c r="AC935" s="24" t="n"/>
      <c r="AD935" s="24" t="n"/>
      <c r="AE935" s="24" t="n"/>
    </row>
    <row r="936">
      <c r="A936" s="114" t="n"/>
      <c r="B936" s="114" t="n"/>
      <c r="C936" s="114" t="n"/>
      <c r="D936" s="114" t="n"/>
      <c r="E936" s="114" t="n"/>
      <c r="F936" s="114" t="n"/>
      <c r="G936" s="24" t="n"/>
      <c r="V936" s="24" t="n"/>
      <c r="Y936" s="24" t="n"/>
      <c r="Z936" s="24" t="n"/>
      <c r="AA936" s="24" t="n"/>
      <c r="AB936" s="24" t="n"/>
      <c r="AC936" s="24" t="n"/>
      <c r="AD936" s="24" t="n"/>
      <c r="AE936" s="24" t="n"/>
    </row>
    <row r="937">
      <c r="A937" s="114" t="n"/>
      <c r="B937" s="114" t="n"/>
      <c r="C937" s="114" t="n"/>
      <c r="D937" s="114" t="n"/>
      <c r="E937" s="114" t="n"/>
      <c r="F937" s="114" t="n"/>
      <c r="G937" s="24" t="n"/>
      <c r="V937" s="24" t="n"/>
      <c r="Y937" s="24" t="n"/>
      <c r="Z937" s="24" t="n"/>
      <c r="AA937" s="24" t="n"/>
      <c r="AB937" s="24" t="n"/>
      <c r="AC937" s="24" t="n"/>
      <c r="AD937" s="24" t="n"/>
      <c r="AE937" s="24" t="n"/>
    </row>
    <row r="938">
      <c r="A938" s="114" t="n"/>
      <c r="B938" s="114" t="n"/>
      <c r="C938" s="114" t="n"/>
      <c r="D938" s="114" t="n"/>
      <c r="E938" s="114" t="n"/>
      <c r="F938" s="114" t="n"/>
      <c r="G938" s="24" t="n"/>
      <c r="V938" s="24" t="n"/>
      <c r="Y938" s="24" t="n"/>
      <c r="Z938" s="24" t="n"/>
      <c r="AA938" s="24" t="n"/>
      <c r="AB938" s="24" t="n"/>
      <c r="AC938" s="24" t="n"/>
      <c r="AD938" s="24" t="n"/>
      <c r="AE938" s="24" t="n"/>
    </row>
    <row r="939">
      <c r="A939" s="114" t="n"/>
      <c r="B939" s="114" t="n"/>
      <c r="C939" s="114" t="n"/>
      <c r="D939" s="114" t="n"/>
      <c r="E939" s="114" t="n"/>
      <c r="F939" s="114" t="n"/>
      <c r="G939" s="24" t="n"/>
      <c r="V939" s="24" t="n"/>
      <c r="Y939" s="24" t="n"/>
      <c r="Z939" s="24" t="n"/>
      <c r="AA939" s="24" t="n"/>
      <c r="AB939" s="24" t="n"/>
      <c r="AC939" s="24" t="n"/>
      <c r="AD939" s="24" t="n"/>
      <c r="AE939" s="24" t="n"/>
    </row>
    <row r="940">
      <c r="A940" s="114" t="n"/>
      <c r="B940" s="114" t="n"/>
      <c r="C940" s="114" t="n"/>
      <c r="D940" s="114" t="n"/>
      <c r="E940" s="114" t="n"/>
      <c r="F940" s="114" t="n"/>
      <c r="G940" s="24" t="n"/>
      <c r="V940" s="24" t="n"/>
      <c r="Y940" s="24" t="n"/>
      <c r="Z940" s="24" t="n"/>
      <c r="AA940" s="24" t="n"/>
      <c r="AB940" s="24" t="n"/>
      <c r="AC940" s="24" t="n"/>
      <c r="AD940" s="24" t="n"/>
      <c r="AE940" s="24" t="n"/>
    </row>
    <row r="941">
      <c r="A941" s="114" t="n"/>
      <c r="B941" s="114" t="n"/>
      <c r="C941" s="114" t="n"/>
      <c r="D941" s="114" t="n"/>
      <c r="E941" s="114" t="n"/>
      <c r="F941" s="114" t="n"/>
      <c r="G941" s="24" t="n"/>
      <c r="V941" s="24" t="n"/>
      <c r="Y941" s="24" t="n"/>
      <c r="Z941" s="24" t="n"/>
      <c r="AA941" s="24" t="n"/>
      <c r="AB941" s="24" t="n"/>
      <c r="AC941" s="24" t="n"/>
      <c r="AD941" s="24" t="n"/>
      <c r="AE941" s="24" t="n"/>
    </row>
    <row r="942">
      <c r="A942" s="114" t="n"/>
      <c r="B942" s="114" t="n"/>
      <c r="C942" s="114" t="n"/>
      <c r="D942" s="114" t="n"/>
      <c r="E942" s="114" t="n"/>
      <c r="F942" s="114" t="n"/>
      <c r="G942" s="24" t="n"/>
      <c r="V942" s="24" t="n"/>
      <c r="Y942" s="24" t="n"/>
      <c r="Z942" s="24" t="n"/>
      <c r="AA942" s="24" t="n"/>
      <c r="AB942" s="24" t="n"/>
      <c r="AC942" s="24" t="n"/>
      <c r="AD942" s="24" t="n"/>
      <c r="AE942" s="24" t="n"/>
    </row>
    <row r="943">
      <c r="A943" s="114" t="n"/>
      <c r="B943" s="114" t="n"/>
      <c r="C943" s="114" t="n"/>
      <c r="D943" s="114" t="n"/>
      <c r="E943" s="114" t="n"/>
      <c r="F943" s="114" t="n"/>
      <c r="G943" s="24" t="n"/>
      <c r="V943" s="24" t="n"/>
      <c r="Y943" s="24" t="n"/>
      <c r="Z943" s="24" t="n"/>
      <c r="AA943" s="24" t="n"/>
      <c r="AB943" s="24" t="n"/>
      <c r="AC943" s="24" t="n"/>
      <c r="AD943" s="24" t="n"/>
      <c r="AE943" s="24" t="n"/>
    </row>
    <row r="944">
      <c r="A944" s="114" t="n"/>
      <c r="B944" s="114" t="n"/>
      <c r="C944" s="114" t="n"/>
      <c r="D944" s="114" t="n"/>
      <c r="E944" s="114" t="n"/>
      <c r="F944" s="114" t="n"/>
      <c r="G944" s="24" t="n"/>
      <c r="V944" s="24" t="n"/>
      <c r="Y944" s="24" t="n"/>
      <c r="Z944" s="24" t="n"/>
      <c r="AA944" s="24" t="n"/>
      <c r="AB944" s="24" t="n"/>
      <c r="AC944" s="24" t="n"/>
      <c r="AD944" s="24" t="n"/>
      <c r="AE944" s="24" t="n"/>
    </row>
    <row r="945">
      <c r="A945" s="114" t="n"/>
      <c r="B945" s="114" t="n"/>
      <c r="C945" s="114" t="n"/>
      <c r="D945" s="114" t="n"/>
      <c r="E945" s="114" t="n"/>
      <c r="F945" s="114" t="n"/>
      <c r="G945" s="24" t="n"/>
      <c r="V945" s="24" t="n"/>
      <c r="Y945" s="24" t="n"/>
      <c r="Z945" s="24" t="n"/>
      <c r="AA945" s="24" t="n"/>
      <c r="AB945" s="24" t="n"/>
      <c r="AC945" s="24" t="n"/>
      <c r="AD945" s="24" t="n"/>
      <c r="AE945" s="24" t="n"/>
    </row>
    <row r="946">
      <c r="A946" s="114" t="n"/>
      <c r="B946" s="114" t="n"/>
      <c r="C946" s="114" t="n"/>
      <c r="D946" s="114" t="n"/>
      <c r="E946" s="114" t="n"/>
      <c r="F946" s="114" t="n"/>
      <c r="G946" s="24" t="n"/>
      <c r="V946" s="24" t="n"/>
      <c r="Y946" s="24" t="n"/>
      <c r="Z946" s="24" t="n"/>
      <c r="AA946" s="24" t="n"/>
      <c r="AB946" s="24" t="n"/>
      <c r="AC946" s="24" t="n"/>
      <c r="AD946" s="24" t="n"/>
      <c r="AE946" s="24" t="n"/>
    </row>
    <row r="947">
      <c r="A947" s="114" t="n"/>
      <c r="B947" s="114" t="n"/>
      <c r="C947" s="114" t="n"/>
      <c r="D947" s="114" t="n"/>
      <c r="E947" s="114" t="n"/>
      <c r="F947" s="114" t="n"/>
      <c r="G947" s="24" t="n"/>
      <c r="V947" s="24" t="n"/>
      <c r="Y947" s="24" t="n"/>
      <c r="Z947" s="24" t="n"/>
      <c r="AA947" s="24" t="n"/>
      <c r="AB947" s="24" t="n"/>
      <c r="AC947" s="24" t="n"/>
      <c r="AD947" s="24" t="n"/>
      <c r="AE947" s="24" t="n"/>
    </row>
    <row r="948">
      <c r="A948" s="114" t="n"/>
      <c r="B948" s="114" t="n"/>
      <c r="C948" s="114" t="n"/>
      <c r="D948" s="114" t="n"/>
      <c r="E948" s="114" t="n"/>
      <c r="F948" s="114" t="n"/>
      <c r="G948" s="24" t="n"/>
      <c r="V948" s="24" t="n"/>
      <c r="Y948" s="24" t="n"/>
      <c r="Z948" s="24" t="n"/>
      <c r="AA948" s="24" t="n"/>
      <c r="AB948" s="24" t="n"/>
      <c r="AC948" s="24" t="n"/>
      <c r="AD948" s="24" t="n"/>
      <c r="AE948" s="24" t="n"/>
    </row>
    <row r="949">
      <c r="A949" s="114" t="n"/>
      <c r="B949" s="114" t="n"/>
      <c r="C949" s="114" t="n"/>
      <c r="D949" s="114" t="n"/>
      <c r="E949" s="114" t="n"/>
      <c r="F949" s="114" t="n"/>
      <c r="G949" s="24" t="n"/>
      <c r="V949" s="24" t="n"/>
      <c r="Y949" s="24" t="n"/>
      <c r="Z949" s="24" t="n"/>
      <c r="AA949" s="24" t="n"/>
      <c r="AB949" s="24" t="n"/>
      <c r="AC949" s="24" t="n"/>
      <c r="AD949" s="24" t="n"/>
      <c r="AE949" s="24" t="n"/>
    </row>
    <row r="950">
      <c r="A950" s="114" t="n"/>
      <c r="B950" s="114" t="n"/>
      <c r="C950" s="114" t="n"/>
      <c r="D950" s="114" t="n"/>
      <c r="E950" s="114" t="n"/>
      <c r="F950" s="114" t="n"/>
      <c r="G950" s="24" t="n"/>
      <c r="V950" s="24" t="n"/>
      <c r="Y950" s="24" t="n"/>
      <c r="Z950" s="24" t="n"/>
      <c r="AA950" s="24" t="n"/>
      <c r="AB950" s="24" t="n"/>
      <c r="AC950" s="24" t="n"/>
      <c r="AD950" s="24" t="n"/>
      <c r="AE950" s="24" t="n"/>
    </row>
    <row r="951">
      <c r="A951" s="114" t="n"/>
      <c r="B951" s="114" t="n"/>
      <c r="C951" s="114" t="n"/>
      <c r="D951" s="114" t="n"/>
      <c r="E951" s="114" t="n"/>
      <c r="F951" s="114" t="n"/>
      <c r="G951" s="24" t="n"/>
      <c r="V951" s="24" t="n"/>
      <c r="Y951" s="24" t="n"/>
      <c r="Z951" s="24" t="n"/>
      <c r="AA951" s="24" t="n"/>
      <c r="AB951" s="24" t="n"/>
      <c r="AC951" s="24" t="n"/>
      <c r="AD951" s="24" t="n"/>
      <c r="AE951" s="24" t="n"/>
    </row>
    <row r="952">
      <c r="A952" s="114" t="n"/>
      <c r="B952" s="114" t="n"/>
      <c r="C952" s="114" t="n"/>
      <c r="D952" s="114" t="n"/>
      <c r="E952" s="114" t="n"/>
      <c r="F952" s="114" t="n"/>
      <c r="G952" s="24" t="n"/>
      <c r="V952" s="24" t="n"/>
      <c r="Y952" s="24" t="n"/>
      <c r="Z952" s="24" t="n"/>
      <c r="AA952" s="24" t="n"/>
      <c r="AB952" s="24" t="n"/>
      <c r="AC952" s="24" t="n"/>
      <c r="AD952" s="24" t="n"/>
      <c r="AE952" s="24" t="n"/>
    </row>
    <row r="953">
      <c r="A953" s="114" t="n"/>
      <c r="B953" s="114" t="n"/>
      <c r="C953" s="114" t="n"/>
      <c r="D953" s="114" t="n"/>
      <c r="E953" s="114" t="n"/>
      <c r="F953" s="114" t="n"/>
      <c r="G953" s="24" t="n"/>
      <c r="V953" s="24" t="n"/>
      <c r="Y953" s="24" t="n"/>
      <c r="Z953" s="24" t="n"/>
      <c r="AA953" s="24" t="n"/>
      <c r="AB953" s="24" t="n"/>
      <c r="AC953" s="24" t="n"/>
      <c r="AD953" s="24" t="n"/>
      <c r="AE953" s="24" t="n"/>
    </row>
    <row r="954">
      <c r="A954" s="114" t="n"/>
      <c r="B954" s="114" t="n"/>
      <c r="C954" s="114" t="n"/>
      <c r="D954" s="114" t="n"/>
      <c r="E954" s="114" t="n"/>
      <c r="F954" s="114" t="n"/>
      <c r="G954" s="24" t="n"/>
      <c r="V954" s="24" t="n"/>
      <c r="Y954" s="24" t="n"/>
      <c r="Z954" s="24" t="n"/>
      <c r="AA954" s="24" t="n"/>
      <c r="AB954" s="24" t="n"/>
      <c r="AC954" s="24" t="n"/>
      <c r="AD954" s="24" t="n"/>
      <c r="AE954" s="24" t="n"/>
    </row>
    <row r="955">
      <c r="A955" s="114" t="n"/>
      <c r="B955" s="114" t="n"/>
      <c r="C955" s="114" t="n"/>
      <c r="D955" s="114" t="n"/>
      <c r="E955" s="114" t="n"/>
      <c r="F955" s="114" t="n"/>
      <c r="G955" s="24" t="n"/>
      <c r="V955" s="24" t="n"/>
      <c r="Y955" s="24" t="n"/>
      <c r="Z955" s="24" t="n"/>
      <c r="AA955" s="24" t="n"/>
      <c r="AB955" s="24" t="n"/>
      <c r="AC955" s="24" t="n"/>
      <c r="AD955" s="24" t="n"/>
      <c r="AE955" s="24" t="n"/>
    </row>
    <row r="956">
      <c r="A956" s="114" t="n"/>
      <c r="B956" s="114" t="n"/>
      <c r="C956" s="114" t="n"/>
      <c r="D956" s="114" t="n"/>
      <c r="E956" s="114" t="n"/>
      <c r="F956" s="114" t="n"/>
      <c r="G956" s="24" t="n"/>
      <c r="V956" s="24" t="n"/>
      <c r="Y956" s="24" t="n"/>
      <c r="Z956" s="24" t="n"/>
      <c r="AA956" s="24" t="n"/>
      <c r="AB956" s="24" t="n"/>
      <c r="AC956" s="24" t="n"/>
      <c r="AD956" s="24" t="n"/>
      <c r="AE956" s="24" t="n"/>
    </row>
    <row r="957">
      <c r="A957" s="114" t="n"/>
      <c r="B957" s="114" t="n"/>
      <c r="C957" s="114" t="n"/>
      <c r="D957" s="114" t="n"/>
      <c r="E957" s="114" t="n"/>
      <c r="F957" s="114" t="n"/>
      <c r="G957" s="24" t="n"/>
      <c r="V957" s="24" t="n"/>
      <c r="Y957" s="24" t="n"/>
      <c r="Z957" s="24" t="n"/>
      <c r="AA957" s="24" t="n"/>
      <c r="AB957" s="24" t="n"/>
      <c r="AC957" s="24" t="n"/>
      <c r="AD957" s="24" t="n"/>
      <c r="AE957" s="24" t="n"/>
    </row>
    <row r="958">
      <c r="A958" s="114" t="n"/>
      <c r="B958" s="114" t="n"/>
      <c r="C958" s="114" t="n"/>
      <c r="D958" s="114" t="n"/>
      <c r="E958" s="114" t="n"/>
      <c r="F958" s="114" t="n"/>
      <c r="G958" s="24" t="n"/>
      <c r="V958" s="24" t="n"/>
      <c r="Y958" s="24" t="n"/>
      <c r="Z958" s="24" t="n"/>
      <c r="AA958" s="24" t="n"/>
      <c r="AB958" s="24" t="n"/>
      <c r="AC958" s="24" t="n"/>
      <c r="AD958" s="24" t="n"/>
      <c r="AE958" s="24" t="n"/>
    </row>
    <row r="959">
      <c r="A959" s="114" t="n"/>
      <c r="B959" s="114" t="n"/>
      <c r="C959" s="114" t="n"/>
      <c r="D959" s="114" t="n"/>
      <c r="E959" s="114" t="n"/>
      <c r="F959" s="114" t="n"/>
      <c r="G959" s="24" t="n"/>
      <c r="V959" s="24" t="n"/>
      <c r="Y959" s="24" t="n"/>
      <c r="Z959" s="24" t="n"/>
      <c r="AA959" s="24" t="n"/>
      <c r="AB959" s="24" t="n"/>
      <c r="AC959" s="24" t="n"/>
      <c r="AD959" s="24" t="n"/>
      <c r="AE959" s="24" t="n"/>
    </row>
    <row r="960">
      <c r="A960" s="114" t="n"/>
      <c r="B960" s="114" t="n"/>
      <c r="C960" s="114" t="n"/>
      <c r="D960" s="114" t="n"/>
      <c r="E960" s="114" t="n"/>
      <c r="F960" s="114" t="n"/>
      <c r="G960" s="24" t="n"/>
      <c r="V960" s="24" t="n"/>
      <c r="Y960" s="24" t="n"/>
      <c r="Z960" s="24" t="n"/>
      <c r="AA960" s="24" t="n"/>
      <c r="AB960" s="24" t="n"/>
      <c r="AC960" s="24" t="n"/>
      <c r="AD960" s="24" t="n"/>
      <c r="AE960" s="24" t="n"/>
    </row>
    <row r="961">
      <c r="A961" s="114" t="n"/>
      <c r="B961" s="114" t="n"/>
      <c r="C961" s="114" t="n"/>
      <c r="D961" s="114" t="n"/>
      <c r="E961" s="114" t="n"/>
      <c r="F961" s="114" t="n"/>
      <c r="G961" s="24" t="n"/>
      <c r="V961" s="24" t="n"/>
      <c r="Y961" s="24" t="n"/>
      <c r="Z961" s="24" t="n"/>
      <c r="AA961" s="24" t="n"/>
      <c r="AB961" s="24" t="n"/>
      <c r="AC961" s="24" t="n"/>
      <c r="AD961" s="24" t="n"/>
      <c r="AE961" s="24" t="n"/>
    </row>
    <row r="962">
      <c r="A962" s="114" t="n"/>
      <c r="B962" s="114" t="n"/>
      <c r="C962" s="114" t="n"/>
      <c r="D962" s="114" t="n"/>
      <c r="E962" s="114" t="n"/>
      <c r="F962" s="114" t="n"/>
      <c r="G962" s="24" t="n"/>
      <c r="V962" s="24" t="n"/>
      <c r="Y962" s="24" t="n"/>
      <c r="Z962" s="24" t="n"/>
      <c r="AA962" s="24" t="n"/>
      <c r="AB962" s="24" t="n"/>
      <c r="AC962" s="24" t="n"/>
      <c r="AD962" s="24" t="n"/>
      <c r="AE962" s="24" t="n"/>
    </row>
    <row r="963">
      <c r="A963" s="114" t="n"/>
      <c r="B963" s="114" t="n"/>
      <c r="C963" s="114" t="n"/>
      <c r="D963" s="114" t="n"/>
      <c r="E963" s="114" t="n"/>
      <c r="F963" s="114" t="n"/>
      <c r="G963" s="24" t="n"/>
      <c r="V963" s="24" t="n"/>
      <c r="Y963" s="24" t="n"/>
      <c r="Z963" s="24" t="n"/>
      <c r="AA963" s="24" t="n"/>
      <c r="AB963" s="24" t="n"/>
      <c r="AC963" s="24" t="n"/>
      <c r="AD963" s="24" t="n"/>
      <c r="AE963" s="24" t="n"/>
    </row>
    <row r="964">
      <c r="A964" s="114" t="n"/>
      <c r="B964" s="114" t="n"/>
      <c r="C964" s="114" t="n"/>
      <c r="D964" s="114" t="n"/>
      <c r="E964" s="114" t="n"/>
      <c r="F964" s="114" t="n"/>
      <c r="G964" s="24" t="n"/>
      <c r="V964" s="24" t="n"/>
      <c r="Y964" s="24" t="n"/>
      <c r="Z964" s="24" t="n"/>
      <c r="AA964" s="24" t="n"/>
      <c r="AB964" s="24" t="n"/>
      <c r="AC964" s="24" t="n"/>
      <c r="AD964" s="24" t="n"/>
      <c r="AE964" s="24" t="n"/>
    </row>
    <row r="965">
      <c r="A965" s="114" t="n"/>
      <c r="B965" s="114" t="n"/>
      <c r="C965" s="114" t="n"/>
      <c r="D965" s="114" t="n"/>
      <c r="E965" s="114" t="n"/>
      <c r="F965" s="114" t="n"/>
      <c r="G965" s="24" t="n"/>
      <c r="V965" s="24" t="n"/>
      <c r="Y965" s="24" t="n"/>
      <c r="Z965" s="24" t="n"/>
      <c r="AA965" s="24" t="n"/>
      <c r="AB965" s="24" t="n"/>
      <c r="AC965" s="24" t="n"/>
      <c r="AD965" s="24" t="n"/>
      <c r="AE965" s="24" t="n"/>
    </row>
    <row r="966">
      <c r="A966" s="114" t="n"/>
      <c r="B966" s="114" t="n"/>
      <c r="C966" s="114" t="n"/>
      <c r="D966" s="114" t="n"/>
      <c r="E966" s="114" t="n"/>
      <c r="F966" s="114" t="n"/>
      <c r="G966" s="24" t="n"/>
      <c r="V966" s="24" t="n"/>
      <c r="Y966" s="24" t="n"/>
      <c r="Z966" s="24" t="n"/>
      <c r="AA966" s="24" t="n"/>
      <c r="AB966" s="24" t="n"/>
      <c r="AC966" s="24" t="n"/>
      <c r="AD966" s="24" t="n"/>
      <c r="AE966" s="24" t="n"/>
    </row>
    <row r="967">
      <c r="A967" s="114" t="n"/>
      <c r="B967" s="114" t="n"/>
      <c r="C967" s="114" t="n"/>
      <c r="D967" s="114" t="n"/>
      <c r="E967" s="114" t="n"/>
      <c r="F967" s="114" t="n"/>
      <c r="G967" s="24" t="n"/>
      <c r="V967" s="24" t="n"/>
      <c r="Y967" s="24" t="n"/>
      <c r="Z967" s="24" t="n"/>
      <c r="AA967" s="24" t="n"/>
      <c r="AB967" s="24" t="n"/>
      <c r="AC967" s="24" t="n"/>
      <c r="AD967" s="24" t="n"/>
      <c r="AE967" s="24" t="n"/>
    </row>
    <row r="968">
      <c r="A968" s="114" t="n"/>
      <c r="B968" s="114" t="n"/>
      <c r="C968" s="114" t="n"/>
      <c r="D968" s="114" t="n"/>
      <c r="E968" s="114" t="n"/>
      <c r="F968" s="114" t="n"/>
      <c r="G968" s="24" t="n"/>
      <c r="V968" s="24" t="n"/>
      <c r="Y968" s="24" t="n"/>
      <c r="Z968" s="24" t="n"/>
      <c r="AA968" s="24" t="n"/>
      <c r="AB968" s="24" t="n"/>
      <c r="AC968" s="24" t="n"/>
      <c r="AD968" s="24" t="n"/>
      <c r="AE968" s="24" t="n"/>
    </row>
    <row r="969">
      <c r="A969" s="114" t="n"/>
      <c r="B969" s="114" t="n"/>
      <c r="C969" s="114" t="n"/>
      <c r="D969" s="114" t="n"/>
      <c r="E969" s="114" t="n"/>
      <c r="F969" s="114" t="n"/>
      <c r="G969" s="24" t="n"/>
      <c r="V969" s="24" t="n"/>
      <c r="Y969" s="24" t="n"/>
      <c r="Z969" s="24" t="n"/>
      <c r="AA969" s="24" t="n"/>
      <c r="AB969" s="24" t="n"/>
      <c r="AC969" s="24" t="n"/>
      <c r="AD969" s="24" t="n"/>
      <c r="AE969" s="24" t="n"/>
    </row>
    <row r="970">
      <c r="A970" s="114" t="n"/>
      <c r="B970" s="114" t="n"/>
      <c r="C970" s="114" t="n"/>
      <c r="D970" s="114" t="n"/>
      <c r="E970" s="114" t="n"/>
      <c r="F970" s="114" t="n"/>
      <c r="G970" s="24" t="n"/>
      <c r="V970" s="24" t="n"/>
      <c r="Y970" s="24" t="n"/>
      <c r="Z970" s="24" t="n"/>
      <c r="AA970" s="24" t="n"/>
      <c r="AB970" s="24" t="n"/>
      <c r="AC970" s="24" t="n"/>
      <c r="AD970" s="24" t="n"/>
      <c r="AE970" s="24" t="n"/>
    </row>
    <row r="971">
      <c r="A971" s="114" t="n"/>
      <c r="B971" s="114" t="n"/>
      <c r="C971" s="114" t="n"/>
      <c r="D971" s="114" t="n"/>
      <c r="E971" s="114" t="n"/>
      <c r="F971" s="114" t="n"/>
      <c r="G971" s="24" t="n"/>
      <c r="V971" s="24" t="n"/>
      <c r="Y971" s="24" t="n"/>
      <c r="Z971" s="24" t="n"/>
      <c r="AA971" s="24" t="n"/>
      <c r="AB971" s="24" t="n"/>
      <c r="AC971" s="24" t="n"/>
      <c r="AD971" s="24" t="n"/>
      <c r="AE971" s="24" t="n"/>
    </row>
    <row r="972">
      <c r="A972" s="114" t="n"/>
      <c r="B972" s="114" t="n"/>
      <c r="C972" s="114" t="n"/>
      <c r="D972" s="114" t="n"/>
      <c r="E972" s="114" t="n"/>
      <c r="F972" s="114" t="n"/>
      <c r="G972" s="24" t="n"/>
      <c r="V972" s="24" t="n"/>
      <c r="Y972" s="24" t="n"/>
      <c r="Z972" s="24" t="n"/>
      <c r="AA972" s="24" t="n"/>
      <c r="AB972" s="24" t="n"/>
      <c r="AC972" s="24" t="n"/>
      <c r="AD972" s="24" t="n"/>
      <c r="AE972" s="24" t="n"/>
    </row>
    <row r="973">
      <c r="A973" s="114" t="n"/>
      <c r="B973" s="114" t="n"/>
      <c r="C973" s="114" t="n"/>
      <c r="D973" s="114" t="n"/>
      <c r="E973" s="114" t="n"/>
      <c r="F973" s="114" t="n"/>
      <c r="G973" s="24" t="n"/>
      <c r="V973" s="24" t="n"/>
      <c r="Y973" s="24" t="n"/>
      <c r="Z973" s="24" t="n"/>
      <c r="AA973" s="24" t="n"/>
      <c r="AB973" s="24" t="n"/>
      <c r="AC973" s="24" t="n"/>
      <c r="AD973" s="24" t="n"/>
      <c r="AE973" s="24" t="n"/>
    </row>
    <row r="974">
      <c r="A974" s="114" t="n"/>
      <c r="B974" s="114" t="n"/>
      <c r="C974" s="114" t="n"/>
      <c r="D974" s="114" t="n"/>
      <c r="E974" s="114" t="n"/>
      <c r="F974" s="114" t="n"/>
      <c r="G974" s="24" t="n"/>
      <c r="V974" s="24" t="n"/>
      <c r="Y974" s="24" t="n"/>
      <c r="Z974" s="24" t="n"/>
      <c r="AA974" s="24" t="n"/>
      <c r="AB974" s="24" t="n"/>
      <c r="AC974" s="24" t="n"/>
      <c r="AD974" s="24" t="n"/>
      <c r="AE974" s="24" t="n"/>
    </row>
    <row r="975">
      <c r="A975" s="114" t="n"/>
      <c r="B975" s="114" t="n"/>
      <c r="C975" s="114" t="n"/>
      <c r="D975" s="114" t="n"/>
      <c r="E975" s="114" t="n"/>
      <c r="F975" s="114" t="n"/>
      <c r="G975" s="24" t="n"/>
      <c r="V975" s="24" t="n"/>
      <c r="Y975" s="24" t="n"/>
      <c r="Z975" s="24" t="n"/>
      <c r="AA975" s="24" t="n"/>
      <c r="AB975" s="24" t="n"/>
      <c r="AC975" s="24" t="n"/>
      <c r="AD975" s="24" t="n"/>
      <c r="AE975" s="24" t="n"/>
    </row>
    <row r="976">
      <c r="A976" s="114" t="n"/>
      <c r="B976" s="114" t="n"/>
      <c r="C976" s="114" t="n"/>
      <c r="D976" s="114" t="n"/>
      <c r="E976" s="114" t="n"/>
      <c r="F976" s="114" t="n"/>
      <c r="G976" s="24" t="n"/>
      <c r="V976" s="24" t="n"/>
      <c r="Y976" s="24" t="n"/>
      <c r="Z976" s="24" t="n"/>
      <c r="AA976" s="24" t="n"/>
      <c r="AB976" s="24" t="n"/>
      <c r="AC976" s="24" t="n"/>
      <c r="AD976" s="24" t="n"/>
      <c r="AE976" s="24" t="n"/>
    </row>
    <row r="977">
      <c r="A977" s="114" t="n"/>
      <c r="B977" s="114" t="n"/>
      <c r="C977" s="114" t="n"/>
      <c r="D977" s="114" t="n"/>
      <c r="E977" s="114" t="n"/>
      <c r="F977" s="114" t="n"/>
      <c r="G977" s="24" t="n"/>
      <c r="V977" s="24" t="n"/>
      <c r="Y977" s="24" t="n"/>
      <c r="Z977" s="24" t="n"/>
      <c r="AA977" s="24" t="n"/>
      <c r="AB977" s="24" t="n"/>
      <c r="AC977" s="24" t="n"/>
      <c r="AD977" s="24" t="n"/>
      <c r="AE977" s="24" t="n"/>
    </row>
    <row r="978">
      <c r="A978" s="114" t="n"/>
      <c r="B978" s="114" t="n"/>
      <c r="C978" s="114" t="n"/>
      <c r="D978" s="114" t="n"/>
      <c r="E978" s="114" t="n"/>
      <c r="F978" s="114" t="n"/>
      <c r="G978" s="24" t="n"/>
      <c r="V978" s="24" t="n"/>
      <c r="Y978" s="24" t="n"/>
      <c r="Z978" s="24" t="n"/>
      <c r="AA978" s="24" t="n"/>
      <c r="AB978" s="24" t="n"/>
      <c r="AC978" s="24" t="n"/>
      <c r="AD978" s="24" t="n"/>
      <c r="AE978" s="24" t="n"/>
    </row>
    <row r="979">
      <c r="A979" s="114" t="n"/>
      <c r="B979" s="114" t="n"/>
      <c r="C979" s="114" t="n"/>
      <c r="D979" s="114" t="n"/>
      <c r="E979" s="114" t="n"/>
      <c r="F979" s="114" t="n"/>
      <c r="G979" s="24" t="n"/>
      <c r="V979" s="24" t="n"/>
      <c r="Y979" s="24" t="n"/>
      <c r="Z979" s="24" t="n"/>
      <c r="AA979" s="24" t="n"/>
      <c r="AB979" s="24" t="n"/>
      <c r="AC979" s="24" t="n"/>
      <c r="AD979" s="24" t="n"/>
      <c r="AE979" s="24" t="n"/>
    </row>
    <row r="980">
      <c r="A980" s="114" t="n"/>
      <c r="B980" s="114" t="n"/>
      <c r="C980" s="114" t="n"/>
      <c r="D980" s="114" t="n"/>
      <c r="E980" s="114" t="n"/>
      <c r="F980" s="114" t="n"/>
      <c r="G980" s="24" t="n"/>
      <c r="V980" s="24" t="n"/>
      <c r="Y980" s="24" t="n"/>
      <c r="Z980" s="24" t="n"/>
      <c r="AA980" s="24" t="n"/>
      <c r="AB980" s="24" t="n"/>
      <c r="AC980" s="24" t="n"/>
      <c r="AD980" s="24" t="n"/>
      <c r="AE980" s="24" t="n"/>
    </row>
    <row r="981">
      <c r="A981" s="114" t="n"/>
      <c r="B981" s="114" t="n"/>
      <c r="C981" s="114" t="n"/>
      <c r="D981" s="114" t="n"/>
      <c r="E981" s="114" t="n"/>
      <c r="F981" s="114" t="n"/>
      <c r="G981" s="24" t="n"/>
      <c r="V981" s="24" t="n"/>
      <c r="Y981" s="24" t="n"/>
      <c r="Z981" s="24" t="n"/>
      <c r="AA981" s="24" t="n"/>
      <c r="AB981" s="24" t="n"/>
      <c r="AC981" s="24" t="n"/>
      <c r="AD981" s="24" t="n"/>
      <c r="AE981" s="24" t="n"/>
    </row>
    <row r="982">
      <c r="A982" s="114" t="n"/>
      <c r="B982" s="114" t="n"/>
      <c r="C982" s="114" t="n"/>
      <c r="D982" s="114" t="n"/>
      <c r="E982" s="114" t="n"/>
      <c r="F982" s="114" t="n"/>
      <c r="G982" s="24" t="n"/>
      <c r="V982" s="24" t="n"/>
      <c r="Y982" s="24" t="n"/>
      <c r="Z982" s="24" t="n"/>
      <c r="AA982" s="24" t="n"/>
      <c r="AB982" s="24" t="n"/>
      <c r="AC982" s="24" t="n"/>
      <c r="AD982" s="24" t="n"/>
      <c r="AE982" s="24" t="n"/>
    </row>
    <row r="983">
      <c r="A983" s="114" t="n"/>
      <c r="B983" s="114" t="n"/>
      <c r="C983" s="114" t="n"/>
      <c r="D983" s="114" t="n"/>
      <c r="E983" s="114" t="n"/>
      <c r="F983" s="114" t="n"/>
      <c r="G983" s="24" t="n"/>
      <c r="V983" s="24" t="n"/>
      <c r="Y983" s="24" t="n"/>
      <c r="Z983" s="24" t="n"/>
      <c r="AA983" s="24" t="n"/>
      <c r="AB983" s="24" t="n"/>
      <c r="AC983" s="24" t="n"/>
      <c r="AD983" s="24" t="n"/>
      <c r="AE983" s="24" t="n"/>
    </row>
    <row r="984">
      <c r="A984" s="114" t="n"/>
      <c r="B984" s="114" t="n"/>
      <c r="C984" s="114" t="n"/>
      <c r="D984" s="114" t="n"/>
      <c r="E984" s="114" t="n"/>
      <c r="F984" s="114" t="n"/>
      <c r="G984" s="24" t="n"/>
      <c r="V984" s="24" t="n"/>
      <c r="Y984" s="24" t="n"/>
      <c r="Z984" s="24" t="n"/>
      <c r="AA984" s="24" t="n"/>
      <c r="AB984" s="24" t="n"/>
      <c r="AC984" s="24" t="n"/>
      <c r="AD984" s="24" t="n"/>
      <c r="AE984" s="24" t="n"/>
    </row>
    <row r="985">
      <c r="A985" s="114" t="n"/>
      <c r="B985" s="114" t="n"/>
      <c r="C985" s="114" t="n"/>
      <c r="D985" s="114" t="n"/>
      <c r="E985" s="114" t="n"/>
      <c r="F985" s="114" t="n"/>
      <c r="G985" s="24" t="n"/>
      <c r="V985" s="24" t="n"/>
      <c r="Y985" s="24" t="n"/>
      <c r="Z985" s="24" t="n"/>
      <c r="AA985" s="24" t="n"/>
      <c r="AB985" s="24" t="n"/>
      <c r="AC985" s="24" t="n"/>
      <c r="AD985" s="24" t="n"/>
      <c r="AE985" s="24" t="n"/>
    </row>
    <row r="986">
      <c r="A986" s="114" t="n"/>
      <c r="B986" s="114" t="n"/>
      <c r="C986" s="114" t="n"/>
      <c r="D986" s="114" t="n"/>
      <c r="E986" s="114" t="n"/>
      <c r="F986" s="114" t="n"/>
      <c r="G986" s="24" t="n"/>
      <c r="V986" s="24" t="n"/>
      <c r="Y986" s="24" t="n"/>
      <c r="Z986" s="24" t="n"/>
      <c r="AA986" s="24" t="n"/>
      <c r="AB986" s="24" t="n"/>
      <c r="AC986" s="24" t="n"/>
      <c r="AD986" s="24" t="n"/>
      <c r="AE986" s="24" t="n"/>
    </row>
    <row r="987">
      <c r="A987" s="114" t="n"/>
      <c r="B987" s="114" t="n"/>
      <c r="C987" s="114" t="n"/>
      <c r="D987" s="114" t="n"/>
      <c r="E987" s="114" t="n"/>
      <c r="F987" s="114" t="n"/>
      <c r="G987" s="24" t="n"/>
      <c r="V987" s="24" t="n"/>
      <c r="Y987" s="24" t="n"/>
      <c r="Z987" s="24" t="n"/>
      <c r="AA987" s="24" t="n"/>
      <c r="AB987" s="24" t="n"/>
      <c r="AC987" s="24" t="n"/>
      <c r="AD987" s="24" t="n"/>
      <c r="AE987" s="24" t="n"/>
    </row>
    <row r="988">
      <c r="A988" s="114" t="n"/>
      <c r="B988" s="114" t="n"/>
      <c r="C988" s="114" t="n"/>
      <c r="D988" s="114" t="n"/>
      <c r="E988" s="114" t="n"/>
      <c r="F988" s="114" t="n"/>
      <c r="G988" s="24" t="n"/>
      <c r="V988" s="24" t="n"/>
      <c r="Y988" s="24" t="n"/>
      <c r="Z988" s="24" t="n"/>
      <c r="AA988" s="24" t="n"/>
      <c r="AB988" s="24" t="n"/>
      <c r="AC988" s="24" t="n"/>
      <c r="AD988" s="24" t="n"/>
      <c r="AE988" s="24" t="n"/>
    </row>
    <row r="989">
      <c r="A989" s="114" t="n"/>
      <c r="B989" s="114" t="n"/>
      <c r="C989" s="114" t="n"/>
      <c r="D989" s="114" t="n"/>
      <c r="E989" s="114" t="n"/>
      <c r="F989" s="114" t="n"/>
      <c r="G989" s="24" t="n"/>
      <c r="V989" s="24" t="n"/>
      <c r="Y989" s="24" t="n"/>
      <c r="Z989" s="24" t="n"/>
      <c r="AA989" s="24" t="n"/>
      <c r="AB989" s="24" t="n"/>
      <c r="AC989" s="24" t="n"/>
      <c r="AD989" s="24" t="n"/>
      <c r="AE989" s="24" t="n"/>
    </row>
    <row r="990">
      <c r="A990" s="114" t="n"/>
      <c r="B990" s="114" t="n"/>
      <c r="C990" s="114" t="n"/>
      <c r="D990" s="114" t="n"/>
      <c r="E990" s="114" t="n"/>
      <c r="F990" s="114" t="n"/>
      <c r="G990" s="24" t="n"/>
      <c r="V990" s="24" t="n"/>
      <c r="Y990" s="24" t="n"/>
      <c r="Z990" s="24" t="n"/>
      <c r="AA990" s="24" t="n"/>
      <c r="AB990" s="24" t="n"/>
      <c r="AC990" s="24" t="n"/>
      <c r="AD990" s="24" t="n"/>
      <c r="AE990" s="24" t="n"/>
    </row>
    <row r="991">
      <c r="A991" s="114" t="n"/>
      <c r="B991" s="114" t="n"/>
      <c r="C991" s="114" t="n"/>
      <c r="D991" s="114" t="n"/>
      <c r="E991" s="114" t="n"/>
      <c r="F991" s="114" t="n"/>
      <c r="G991" s="24" t="n"/>
      <c r="V991" s="24" t="n"/>
      <c r="Y991" s="24" t="n"/>
      <c r="Z991" s="24" t="n"/>
      <c r="AA991" s="24" t="n"/>
      <c r="AB991" s="24" t="n"/>
      <c r="AC991" s="24" t="n"/>
      <c r="AD991" s="24" t="n"/>
      <c r="AE991" s="24" t="n"/>
    </row>
    <row r="992">
      <c r="A992" s="114" t="n"/>
      <c r="B992" s="114" t="n"/>
      <c r="C992" s="114" t="n"/>
      <c r="D992" s="114" t="n"/>
      <c r="E992" s="114" t="n"/>
      <c r="F992" s="114" t="n"/>
      <c r="G992" s="24" t="n"/>
      <c r="V992" s="24" t="n"/>
      <c r="Y992" s="24" t="n"/>
      <c r="Z992" s="24" t="n"/>
      <c r="AA992" s="24" t="n"/>
      <c r="AB992" s="24" t="n"/>
      <c r="AC992" s="24" t="n"/>
      <c r="AD992" s="24" t="n"/>
      <c r="AE992" s="24" t="n"/>
    </row>
    <row r="993">
      <c r="A993" s="114" t="n"/>
      <c r="B993" s="114" t="n"/>
      <c r="C993" s="114" t="n"/>
      <c r="D993" s="114" t="n"/>
      <c r="E993" s="114" t="n"/>
      <c r="F993" s="114" t="n"/>
      <c r="G993" s="24" t="n"/>
      <c r="V993" s="24" t="n"/>
      <c r="Y993" s="24" t="n"/>
      <c r="Z993" s="24" t="n"/>
      <c r="AA993" s="24" t="n"/>
      <c r="AB993" s="24" t="n"/>
      <c r="AC993" s="24" t="n"/>
      <c r="AD993" s="24" t="n"/>
      <c r="AE993" s="24" t="n"/>
    </row>
    <row r="994">
      <c r="A994" s="114" t="n"/>
      <c r="B994" s="114" t="n"/>
      <c r="C994" s="114" t="n"/>
      <c r="D994" s="114" t="n"/>
      <c r="E994" s="114" t="n"/>
      <c r="F994" s="114" t="n"/>
      <c r="G994" s="24" t="n"/>
      <c r="V994" s="24" t="n"/>
      <c r="Y994" s="24" t="n"/>
      <c r="Z994" s="24" t="n"/>
      <c r="AA994" s="24" t="n"/>
      <c r="AB994" s="24" t="n"/>
      <c r="AC994" s="24" t="n"/>
      <c r="AD994" s="24" t="n"/>
      <c r="AE994" s="24" t="n"/>
    </row>
    <row r="995">
      <c r="A995" s="114" t="n"/>
      <c r="B995" s="114" t="n"/>
      <c r="C995" s="114" t="n"/>
      <c r="D995" s="114" t="n"/>
      <c r="E995" s="114" t="n"/>
      <c r="F995" s="114" t="n"/>
      <c r="G995" s="24" t="n"/>
      <c r="V995" s="24" t="n"/>
      <c r="Y995" s="24" t="n"/>
      <c r="Z995" s="24" t="n"/>
      <c r="AA995" s="24" t="n"/>
      <c r="AB995" s="24" t="n"/>
      <c r="AC995" s="24" t="n"/>
      <c r="AD995" s="24" t="n"/>
      <c r="AE995" s="24" t="n"/>
    </row>
    <row r="996">
      <c r="A996" s="114" t="n"/>
      <c r="B996" s="114" t="n"/>
      <c r="C996" s="114" t="n"/>
      <c r="D996" s="114" t="n"/>
      <c r="E996" s="114" t="n"/>
      <c r="F996" s="114" t="n"/>
      <c r="G996" s="24" t="n"/>
      <c r="V996" s="24" t="n"/>
      <c r="Y996" s="24" t="n"/>
      <c r="Z996" s="24" t="n"/>
      <c r="AA996" s="24" t="n"/>
      <c r="AB996" s="24" t="n"/>
      <c r="AC996" s="24" t="n"/>
      <c r="AD996" s="24" t="n"/>
      <c r="AE996" s="24" t="n"/>
    </row>
    <row r="997">
      <c r="A997" s="114" t="n"/>
      <c r="B997" s="114" t="n"/>
      <c r="C997" s="114" t="n"/>
      <c r="D997" s="114" t="n"/>
      <c r="E997" s="114" t="n"/>
      <c r="F997" s="114" t="n"/>
      <c r="G997" s="24" t="n"/>
      <c r="V997" s="24" t="n"/>
      <c r="Y997" s="24" t="n"/>
      <c r="Z997" s="24" t="n"/>
      <c r="AA997" s="24" t="n"/>
      <c r="AB997" s="24" t="n"/>
      <c r="AC997" s="24" t="n"/>
      <c r="AD997" s="24" t="n"/>
      <c r="AE997" s="24" t="n"/>
    </row>
    <row r="998">
      <c r="A998" s="114" t="n"/>
      <c r="B998" s="114" t="n"/>
      <c r="C998" s="114" t="n"/>
      <c r="D998" s="114" t="n"/>
      <c r="E998" s="114" t="n"/>
      <c r="F998" s="114" t="n"/>
      <c r="G998" s="24" t="n"/>
      <c r="V998" s="24" t="n"/>
      <c r="Y998" s="24" t="n"/>
      <c r="Z998" s="24" t="n"/>
      <c r="AA998" s="24" t="n"/>
      <c r="AB998" s="24" t="n"/>
      <c r="AC998" s="24" t="n"/>
      <c r="AD998" s="24" t="n"/>
      <c r="AE998" s="24" t="n"/>
    </row>
    <row r="999">
      <c r="A999" s="114" t="n"/>
      <c r="B999" s="114" t="n"/>
      <c r="C999" s="114" t="n"/>
      <c r="D999" s="114" t="n"/>
      <c r="E999" s="114" t="n"/>
      <c r="F999" s="114" t="n"/>
      <c r="G999" s="24" t="n"/>
      <c r="V999" s="24" t="n"/>
      <c r="Y999" s="24" t="n"/>
      <c r="Z999" s="24" t="n"/>
      <c r="AA999" s="24" t="n"/>
      <c r="AB999" s="24" t="n"/>
      <c r="AC999" s="24" t="n"/>
      <c r="AD999" s="24" t="n"/>
      <c r="AE999" s="24" t="n"/>
    </row>
    <row r="1000">
      <c r="A1000" s="114" t="n"/>
      <c r="B1000" s="114" t="n"/>
      <c r="C1000" s="114" t="n"/>
      <c r="D1000" s="114" t="n"/>
      <c r="E1000" s="114" t="n"/>
      <c r="F1000" s="114" t="n"/>
      <c r="G1000" s="24" t="n"/>
      <c r="V1000" s="24" t="n"/>
      <c r="Y1000" s="24" t="n"/>
      <c r="Z1000" s="24" t="n"/>
      <c r="AA1000" s="24" t="n"/>
      <c r="AB1000" s="24" t="n"/>
      <c r="AC1000" s="24" t="n"/>
      <c r="AD1000" s="24" t="n"/>
      <c r="AE1000" s="24" t="n"/>
    </row>
    <row r="1001">
      <c r="A1001" s="114" t="n"/>
      <c r="B1001" s="114" t="n"/>
      <c r="C1001" s="114" t="n"/>
      <c r="D1001" s="114" t="n"/>
      <c r="E1001" s="114" t="n"/>
      <c r="F1001" s="114" t="n"/>
      <c r="G1001" s="24" t="n"/>
      <c r="V1001" s="24" t="n"/>
      <c r="Y1001" s="24" t="n"/>
      <c r="Z1001" s="24" t="n"/>
      <c r="AA1001" s="24" t="n"/>
      <c r="AB1001" s="24" t="n"/>
      <c r="AC1001" s="24" t="n"/>
      <c r="AD1001" s="24" t="n"/>
      <c r="AE1001" s="24" t="n"/>
    </row>
    <row r="1002">
      <c r="A1002" s="114" t="n"/>
      <c r="B1002" s="114" t="n"/>
      <c r="C1002" s="114" t="n"/>
      <c r="D1002" s="114" t="n"/>
      <c r="E1002" s="114" t="n"/>
      <c r="F1002" s="114" t="n"/>
      <c r="G1002" s="24" t="n"/>
      <c r="V1002" s="24" t="n"/>
      <c r="Y1002" s="24" t="n"/>
      <c r="Z1002" s="24" t="n"/>
      <c r="AA1002" s="24" t="n"/>
      <c r="AB1002" s="24" t="n"/>
      <c r="AC1002" s="24" t="n"/>
      <c r="AD1002" s="24" t="n"/>
      <c r="AE1002" s="24" t="n"/>
    </row>
    <row r="1003">
      <c r="A1003" s="114" t="n"/>
      <c r="B1003" s="114" t="n"/>
      <c r="C1003" s="114" t="n"/>
      <c r="D1003" s="114" t="n"/>
      <c r="E1003" s="114" t="n"/>
      <c r="F1003" s="114" t="n"/>
      <c r="G1003" s="24" t="n"/>
      <c r="V1003" s="24" t="n"/>
      <c r="Y1003" s="24" t="n"/>
      <c r="Z1003" s="24" t="n"/>
      <c r="AA1003" s="24" t="n"/>
      <c r="AB1003" s="24" t="n"/>
      <c r="AC1003" s="24" t="n"/>
      <c r="AD1003" s="24" t="n"/>
      <c r="AE1003" s="24" t="n"/>
    </row>
    <row r="1004">
      <c r="A1004" s="114" t="n"/>
      <c r="B1004" s="114" t="n"/>
      <c r="C1004" s="114" t="n"/>
      <c r="D1004" s="114" t="n"/>
      <c r="E1004" s="114" t="n"/>
      <c r="F1004" s="114" t="n"/>
      <c r="G1004" s="24" t="n"/>
      <c r="V1004" s="24" t="n"/>
      <c r="Y1004" s="24" t="n"/>
      <c r="Z1004" s="24" t="n"/>
      <c r="AA1004" s="24" t="n"/>
      <c r="AB1004" s="24" t="n"/>
      <c r="AC1004" s="24" t="n"/>
      <c r="AD1004" s="24" t="n"/>
      <c r="AE1004" s="24" t="n"/>
    </row>
    <row r="1005">
      <c r="A1005" s="114" t="n"/>
      <c r="B1005" s="114" t="n"/>
      <c r="C1005" s="114" t="n"/>
      <c r="D1005" s="114" t="n"/>
      <c r="E1005" s="114" t="n"/>
      <c r="F1005" s="114" t="n"/>
      <c r="G1005" s="24" t="n"/>
      <c r="V1005" s="24" t="n"/>
      <c r="Y1005" s="24" t="n"/>
      <c r="Z1005" s="24" t="n"/>
      <c r="AA1005" s="24" t="n"/>
      <c r="AB1005" s="24" t="n"/>
      <c r="AC1005" s="24" t="n"/>
      <c r="AD1005" s="24" t="n"/>
      <c r="AE1005" s="24" t="n"/>
    </row>
    <row r="1006">
      <c r="A1006" s="114" t="n"/>
      <c r="B1006" s="114" t="n"/>
      <c r="C1006" s="114" t="n"/>
      <c r="D1006" s="114" t="n"/>
      <c r="E1006" s="114" t="n"/>
      <c r="F1006" s="114" t="n"/>
      <c r="G1006" s="24" t="n"/>
      <c r="V1006" s="24" t="n"/>
      <c r="Y1006" s="24" t="n"/>
      <c r="Z1006" s="24" t="n"/>
      <c r="AA1006" s="24" t="n"/>
      <c r="AB1006" s="24" t="n"/>
      <c r="AC1006" s="24" t="n"/>
      <c r="AD1006" s="24" t="n"/>
      <c r="AE1006" s="24" t="n"/>
    </row>
    <row r="1007">
      <c r="A1007" s="114" t="n"/>
      <c r="B1007" s="114" t="n"/>
      <c r="C1007" s="114" t="n"/>
      <c r="D1007" s="114" t="n"/>
      <c r="E1007" s="114" t="n"/>
      <c r="F1007" s="114" t="n"/>
      <c r="G1007" s="24" t="n"/>
      <c r="V1007" s="24" t="n"/>
      <c r="Y1007" s="24" t="n"/>
      <c r="Z1007" s="24" t="n"/>
      <c r="AA1007" s="24" t="n"/>
      <c r="AB1007" s="24" t="n"/>
      <c r="AC1007" s="24" t="n"/>
      <c r="AD1007" s="24" t="n"/>
      <c r="AE1007" s="24" t="n"/>
    </row>
  </sheetData>
  <mergeCells count="24">
    <mergeCell ref="I9:M9"/>
    <mergeCell ref="Q16:U16"/>
    <mergeCell ref="I1:O1"/>
    <mergeCell ref="K5:L5"/>
    <mergeCell ref="A6:E6"/>
    <mergeCell ref="T13:T15"/>
    <mergeCell ref="Q13:Q15"/>
    <mergeCell ref="AE14:AI14"/>
    <mergeCell ref="AE27:AI27"/>
    <mergeCell ref="A1:G1"/>
    <mergeCell ref="S13:S15"/>
    <mergeCell ref="K8:L8"/>
    <mergeCell ref="R13:R15"/>
    <mergeCell ref="W16:AA16"/>
    <mergeCell ref="K6:L6"/>
    <mergeCell ref="AE28:AI28"/>
    <mergeCell ref="V13:V15"/>
    <mergeCell ref="K7:L7"/>
    <mergeCell ref="AM1:AS1"/>
    <mergeCell ref="U13:U15"/>
    <mergeCell ref="Q1:AC1"/>
    <mergeCell ref="K4:L4"/>
    <mergeCell ref="AE1:AK1"/>
    <mergeCell ref="K3:L3"/>
  </mergeCells>
  <conditionalFormatting sqref="AG3:AH13 AG15:AH26">
    <cfRule type="containsText" priority="1" operator="containsText" dxfId="13" text="E v">
      <formula>NOT(ISERROR(SEARCH(("E v"),(AG3))))</formula>
    </cfRule>
    <cfRule type="containsText" priority="2" operator="containsText" dxfId="12" text="E m">
      <formula>NOT(ISERROR(SEARCH(("E m"),(AG3))))</formula>
    </cfRule>
    <cfRule type="containsText" priority="3" operator="containsText" dxfId="11" text="D m">
      <formula>NOT(ISERROR(SEARCH(("D m"),(AG3))))</formula>
    </cfRule>
    <cfRule type="containsText" priority="4" operator="containsText" dxfId="10" text="D v">
      <formula>NOT(ISERROR(SEARCH(("D v"),(AG3))))</formula>
    </cfRule>
    <cfRule type="containsText" priority="5" operator="containsText" dxfId="9" text="C v">
      <formula>NOT(ISERROR(SEARCH(("C v"),(AG3))))</formula>
    </cfRule>
    <cfRule type="containsText" priority="6" operator="containsText" dxfId="8" text="C m">
      <formula>NOT(ISERROR(SEARCH(("C m"),(AG3))))</formula>
    </cfRule>
    <cfRule type="containsText" priority="7" operator="containsText" dxfId="7" text="B2 v">
      <formula>NOT(ISERROR(SEARCH(("B2 v"),(AG3))))</formula>
    </cfRule>
    <cfRule type="containsText" priority="8" operator="containsText" dxfId="6" text="B2 m">
      <formula>NOT(ISERROR(SEARCH(("B2 m"),(AG3))))</formula>
    </cfRule>
    <cfRule type="containsText" priority="9" operator="containsText" dxfId="5" text="B1 v">
      <formula>NOT(ISERROR(SEARCH(("B1 v"),(AG3))))</formula>
    </cfRule>
    <cfRule type="containsText" priority="10" operator="containsText" dxfId="4" text="B1 m">
      <formula>NOT(ISERROR(SEARCH(("B1 m"),(AG3))))</formula>
    </cfRule>
    <cfRule type="containsText" priority="11" operator="containsText" dxfId="3" text="A v">
      <formula>NOT(ISERROR(SEARCH(("A v"),(AG3))))</formula>
    </cfRule>
    <cfRule type="containsText" priority="12" operator="containsText" dxfId="2" text="A m">
      <formula>NOT(ISERROR(SEARCH(("A m"),(AG3))))</formula>
    </cfRule>
  </conditionalFormatting>
  <conditionalFormatting sqref="AG22:AH26">
    <cfRule type="cellIs" priority="13" operator="equal" dxfId="14">
      <formula>"GR"</formula>
    </cfRule>
  </conditionalFormatting>
  <conditionalFormatting sqref="C3:D5 C16:D19 D22:E22 K26:L32 S3:T13 S17:T28 Y3:Z15 Y17:Z26">
    <cfRule type="cellIs" priority="14" operator="equal" dxfId="14">
      <formula>"GR"</formula>
    </cfRule>
  </conditionalFormatting>
  <conditionalFormatting sqref="C3:D5 C7:D19 D22:E22 K3:L8 K10:L32 S3:T13 S17:T28 Y3:Z15 Y17:Z26">
    <cfRule type="containsText" priority="15" operator="containsText" dxfId="2" text="A m">
      <formula>NOT(ISERROR(SEARCH(("A m"),(C3))))</formula>
    </cfRule>
    <cfRule type="containsText" priority="16" operator="containsText" dxfId="3" text="A v">
      <formula>NOT(ISERROR(SEARCH(("A v"),(C3))))</formula>
    </cfRule>
    <cfRule type="containsText" priority="17" operator="containsText" dxfId="4" text="B1 m">
      <formula>NOT(ISERROR(SEARCH(("B1 m"),(C3))))</formula>
    </cfRule>
    <cfRule type="containsText" priority="18" operator="containsText" dxfId="5" text="B1 v">
      <formula>NOT(ISERROR(SEARCH(("B1 v"),(C3))))</formula>
    </cfRule>
    <cfRule type="containsText" priority="19" operator="containsText" dxfId="6" text="B2 m">
      <formula>NOT(ISERROR(SEARCH(("B2 m"),(C3))))</formula>
    </cfRule>
    <cfRule type="containsText" priority="20" operator="containsText" dxfId="7" text="B2 v">
      <formula>NOT(ISERROR(SEARCH(("B2 v"),(C3))))</formula>
    </cfRule>
    <cfRule type="containsText" priority="21" operator="containsText" dxfId="8" text="C m">
      <formula>NOT(ISERROR(SEARCH(("C m"),(C3))))</formula>
    </cfRule>
    <cfRule type="containsText" priority="22" operator="containsText" dxfId="9" text="C v">
      <formula>NOT(ISERROR(SEARCH(("C v"),(C3))))</formula>
    </cfRule>
    <cfRule type="containsText" priority="23" operator="containsText" dxfId="10" text="D v">
      <formula>NOT(ISERROR(SEARCH(("D v"),(C3))))</formula>
    </cfRule>
    <cfRule type="containsText" priority="24" operator="containsText" dxfId="11" text="D m">
      <formula>NOT(ISERROR(SEARCH(("D m"),(C3))))</formula>
    </cfRule>
    <cfRule type="containsText" priority="25" operator="containsText" dxfId="12" text="E m">
      <formula>NOT(ISERROR(SEARCH(("E m"),(C3))))</formula>
    </cfRule>
    <cfRule type="containsText" priority="26" operator="containsText" dxfId="13" text="E v">
      <formula>NOT(ISERROR(SEARCH(("E v"),(C3))))</formula>
    </cfRule>
  </conditionalFormatting>
  <printOptions gridLines="1"/>
  <pageMargins left="0.7" right="0.7" top="0.75" bottom="0.75" header="0" footer="0"/>
  <pageSetup orientation="landscape" paperSize="9" pageOrder="overThenDown" cellComments="atEnd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25" customWidth="1" style="128" min="2" max="2"/>
  </cols>
  <sheetData>
    <row r="1" ht="22.5" customHeight="1" s="128">
      <c r="A1" s="116" t="inlineStr">
        <is>
          <t>Turmas</t>
        </is>
      </c>
      <c r="B1" s="117" t="inlineStr">
        <is>
          <t>Jurado 1</t>
        </is>
      </c>
      <c r="C1" s="117" t="inlineStr">
        <is>
          <t>Jurado 2</t>
        </is>
      </c>
      <c r="D1" s="117" t="inlineStr">
        <is>
          <t>Jurado 3</t>
        </is>
      </c>
      <c r="E1" s="117" t="inlineStr">
        <is>
          <t>Jurado 4</t>
        </is>
      </c>
      <c r="F1" s="117" t="inlineStr">
        <is>
          <t>Total</t>
        </is>
      </c>
    </row>
    <row r="2" ht="22.5" customHeight="1" s="128">
      <c r="A2" s="118" t="inlineStr">
        <is>
          <t>A v</t>
        </is>
      </c>
      <c r="B2" s="121" t="n">
        <v>200</v>
      </c>
      <c r="C2" s="121" t="n">
        <v>230</v>
      </c>
      <c r="D2" s="121" t="n">
        <v>273</v>
      </c>
      <c r="E2" s="121" t="n">
        <v>260</v>
      </c>
      <c r="F2" s="121">
        <f>SUM(B2:E2)</f>
        <v/>
      </c>
    </row>
    <row r="3" ht="22.5" customHeight="1" s="128">
      <c r="A3" s="118" t="inlineStr">
        <is>
          <t>A m</t>
        </is>
      </c>
      <c r="B3" s="121" t="n">
        <v>230</v>
      </c>
      <c r="C3" s="121" t="n">
        <v>240</v>
      </c>
      <c r="D3" s="121" t="n">
        <v>258</v>
      </c>
      <c r="E3" s="121" t="n">
        <v>245</v>
      </c>
      <c r="F3" s="121">
        <f>SUM(B3:E3)</f>
        <v/>
      </c>
    </row>
    <row r="4" ht="22.5" customHeight="1" s="128">
      <c r="A4" s="118" t="inlineStr">
        <is>
          <t>B2 m</t>
        </is>
      </c>
      <c r="B4" s="121" t="n">
        <v>210</v>
      </c>
      <c r="C4" s="121" t="n">
        <v>235</v>
      </c>
      <c r="D4" s="121" t="n">
        <v>275</v>
      </c>
      <c r="E4" s="121" t="n">
        <v>260</v>
      </c>
      <c r="F4" s="121">
        <f>SUM(B4:E4)</f>
        <v/>
      </c>
    </row>
    <row r="5" ht="22.5" customHeight="1" s="128">
      <c r="A5" s="118" t="inlineStr">
        <is>
          <t>B1 v</t>
        </is>
      </c>
      <c r="B5" s="121" t="n">
        <v>230</v>
      </c>
      <c r="C5" s="121" t="n">
        <v>230</v>
      </c>
      <c r="D5" s="121" t="n">
        <v>273</v>
      </c>
      <c r="E5" s="121" t="n">
        <v>265</v>
      </c>
      <c r="F5" s="121">
        <f>SUM(B5:E5)</f>
        <v/>
      </c>
    </row>
    <row r="6" ht="22.5" customHeight="1" s="128">
      <c r="A6" s="118" t="inlineStr">
        <is>
          <t>B2 v</t>
        </is>
      </c>
      <c r="B6" s="124" t="n">
        <v>240</v>
      </c>
      <c r="C6" s="124" t="n">
        <v>235</v>
      </c>
      <c r="D6" s="124" t="n">
        <v>271</v>
      </c>
      <c r="E6" s="124" t="n">
        <v>265</v>
      </c>
      <c r="F6" s="124">
        <f>SUM(B6:E6)</f>
        <v/>
      </c>
    </row>
    <row r="7" ht="22.5" customHeight="1" s="128">
      <c r="A7" s="118" t="inlineStr">
        <is>
          <t>B1 m</t>
        </is>
      </c>
      <c r="B7" s="121" t="n">
        <v>210</v>
      </c>
      <c r="C7" s="121" t="n">
        <v>260</v>
      </c>
      <c r="D7" s="121" t="n">
        <v>269</v>
      </c>
      <c r="E7" s="121" t="n">
        <v>275</v>
      </c>
      <c r="F7" s="121">
        <f>SUM(B7:E7)</f>
        <v/>
      </c>
    </row>
    <row r="8" ht="22.5" customHeight="1" s="128">
      <c r="A8" s="118" t="inlineStr">
        <is>
          <t>C m</t>
        </is>
      </c>
      <c r="B8" s="124" t="n">
        <v>210</v>
      </c>
      <c r="C8" s="124" t="n">
        <v>255</v>
      </c>
      <c r="D8" s="124" t="n">
        <v>278</v>
      </c>
      <c r="E8" s="124" t="n">
        <v>285</v>
      </c>
      <c r="F8" s="124">
        <f>SUM(B8:E8)</f>
        <v/>
      </c>
    </row>
    <row r="9" ht="22.5" customHeight="1" s="128">
      <c r="A9" s="118" t="inlineStr">
        <is>
          <t>D m</t>
        </is>
      </c>
      <c r="B9" s="124" t="n">
        <v>230</v>
      </c>
      <c r="C9" s="124" t="n">
        <v>265</v>
      </c>
      <c r="D9" s="124" t="n">
        <v>278</v>
      </c>
      <c r="E9" s="124" t="n">
        <v>280</v>
      </c>
      <c r="F9" s="124">
        <f>SUM(B9:E9)</f>
        <v/>
      </c>
    </row>
    <row r="10" ht="22.5" customHeight="1" s="128">
      <c r="A10" s="116" t="inlineStr">
        <is>
          <t>D v</t>
        </is>
      </c>
      <c r="B10" s="124" t="n">
        <v>250</v>
      </c>
      <c r="C10" s="124" t="n">
        <v>260</v>
      </c>
      <c r="D10" s="124" t="n">
        <v>273</v>
      </c>
      <c r="E10" s="124" t="n">
        <v>280</v>
      </c>
      <c r="F10" s="124">
        <f>SUM(B10:E10)</f>
        <v/>
      </c>
    </row>
    <row r="11" ht="22.5" customHeight="1" s="128">
      <c r="A11" s="116" t="inlineStr">
        <is>
          <t>C v</t>
        </is>
      </c>
      <c r="B11" s="124" t="n">
        <v>260</v>
      </c>
      <c r="C11" s="124" t="n">
        <v>255</v>
      </c>
      <c r="D11" s="124" t="n">
        <v>291</v>
      </c>
      <c r="E11" s="124" t="n">
        <v>280</v>
      </c>
      <c r="F11" s="124">
        <f>SUM(B11:E11)</f>
        <v/>
      </c>
    </row>
    <row r="12" ht="22.5" customHeight="1" s="128">
      <c r="A12" s="118" t="inlineStr">
        <is>
          <t>E m</t>
        </is>
      </c>
      <c r="B12" s="127" t="n">
        <v>290</v>
      </c>
      <c r="C12" s="127" t="n">
        <v>270</v>
      </c>
      <c r="D12" s="127" t="n">
        <v>275</v>
      </c>
      <c r="E12" s="127" t="n">
        <v>290</v>
      </c>
      <c r="F12" s="127">
        <f>SUM(B12:E12)</f>
        <v/>
      </c>
    </row>
    <row r="13" ht="22.5" customHeight="1" s="128">
      <c r="A13" s="118" t="inlineStr">
        <is>
          <t>E v</t>
        </is>
      </c>
      <c r="B13" s="127" t="n">
        <v>300</v>
      </c>
      <c r="C13" s="127" t="n">
        <v>270</v>
      </c>
      <c r="D13" s="127" t="n">
        <v>284</v>
      </c>
      <c r="E13" s="127" t="n">
        <v>280</v>
      </c>
      <c r="F13" s="127">
        <f>SUM(B13:E13)</f>
        <v/>
      </c>
    </row>
    <row r="14" ht="22.5" customHeight="1" s="128">
      <c r="A14" s="118" t="inlineStr">
        <is>
          <t>GR</t>
        </is>
      </c>
      <c r="B14" s="127" t="n">
        <v>300</v>
      </c>
      <c r="C14" s="127" t="n">
        <v>300</v>
      </c>
      <c r="D14" s="127" t="n">
        <v>293</v>
      </c>
      <c r="E14" s="127" t="n">
        <v>295</v>
      </c>
      <c r="F14" s="127">
        <f>SUM(B14:E14)</f>
        <v/>
      </c>
    </row>
    <row r="17">
      <c r="A17" s="114" t="n"/>
    </row>
    <row r="18">
      <c r="A18" s="114" t="n"/>
    </row>
    <row r="19">
      <c r="A19" s="114" t="n"/>
    </row>
    <row r="20">
      <c r="A20" s="114" t="n"/>
    </row>
    <row r="21">
      <c r="A21" s="114" t="n"/>
    </row>
    <row r="22">
      <c r="A22" s="114" t="n"/>
    </row>
    <row r="23">
      <c r="A23" s="114" t="n"/>
    </row>
    <row r="24">
      <c r="A24" s="114" t="n"/>
    </row>
    <row r="25">
      <c r="A25" s="114" t="n"/>
    </row>
    <row r="26">
      <c r="A26" s="114" t="n"/>
    </row>
    <row r="27">
      <c r="A27" s="114" t="n"/>
    </row>
    <row r="28">
      <c r="A28" s="114" t="n"/>
    </row>
    <row r="29">
      <c r="A29" s="114" t="n"/>
    </row>
    <row r="30">
      <c r="A30" s="114" t="n"/>
    </row>
    <row r="31">
      <c r="A31" s="114" t="n"/>
    </row>
    <row r="32">
      <c r="A32" s="24" t="n"/>
    </row>
    <row r="33">
      <c r="A33" s="24" t="n"/>
    </row>
    <row r="34">
      <c r="A34" s="24" t="n"/>
    </row>
    <row r="35">
      <c r="A35" s="24" t="n"/>
    </row>
    <row r="36">
      <c r="A36" s="24" t="n"/>
    </row>
    <row r="37">
      <c r="A37" s="114" t="n"/>
    </row>
    <row r="38">
      <c r="A38" s="114" t="n"/>
    </row>
    <row r="39">
      <c r="A39" s="114" t="n"/>
    </row>
  </sheetData>
  <conditionalFormatting sqref="A1:A14 A17:A40">
    <cfRule type="containsText" priority="1" operator="containsText" dxfId="2" text="A m">
      <formula>NOT(ISERROR(SEARCH(("A m"),(A1))))</formula>
    </cfRule>
    <cfRule type="containsText" priority="2" operator="containsText" dxfId="3" text="A v">
      <formula>NOT(ISERROR(SEARCH(("A v"),(A1))))</formula>
    </cfRule>
    <cfRule type="containsText" priority="3" operator="containsText" dxfId="4" text="B1 m">
      <formula>NOT(ISERROR(SEARCH(("B1 m"),(A1))))</formula>
    </cfRule>
    <cfRule type="containsText" priority="4" operator="containsText" dxfId="5" text="B1 v">
      <formula>NOT(ISERROR(SEARCH(("B1 v"),(A1))))</formula>
    </cfRule>
    <cfRule type="containsText" priority="5" operator="containsText" dxfId="6" text="B2 m">
      <formula>NOT(ISERROR(SEARCH(("B2 m"),(A1))))</formula>
    </cfRule>
    <cfRule type="containsText" priority="6" operator="containsText" dxfId="7" text="B2 v">
      <formula>NOT(ISERROR(SEARCH(("B2 v"),(A1))))</formula>
    </cfRule>
    <cfRule type="containsText" priority="7" operator="containsText" dxfId="8" text="C m">
      <formula>NOT(ISERROR(SEARCH(("C m"),(A1))))</formula>
    </cfRule>
    <cfRule type="containsText" priority="8" operator="containsText" dxfId="9" text="C v">
      <formula>NOT(ISERROR(SEARCH(("C v"),(A1))))</formula>
    </cfRule>
    <cfRule type="containsText" priority="9" operator="containsText" dxfId="10" text="D v">
      <formula>NOT(ISERROR(SEARCH(("D v"),(A1))))</formula>
    </cfRule>
    <cfRule type="containsText" priority="10" operator="containsText" dxfId="11" text="D m">
      <formula>NOT(ISERROR(SEARCH(("D m"),(A1))))</formula>
    </cfRule>
    <cfRule type="containsText" priority="11" operator="containsText" dxfId="12" text="E m">
      <formula>NOT(ISERROR(SEARCH(("E m"),(A1))))</formula>
    </cfRule>
    <cfRule type="containsText" priority="12" operator="containsText" dxfId="13" text="E v">
      <formula>NOT(ISERROR(SEARCH(("E v"),(A1))))</formula>
    </cfRule>
    <cfRule type="cellIs" priority="13" operator="equal" dxfId="14">
      <formula>"GR"</formula>
    </cfRule>
  </conditionalFormatting>
  <dataValidations count="1">
    <dataValidation sqref="B2:B14" showDropDown="1" showInputMessage="0" showErrorMessage="0" allowBlank="1" type="custom">
      <formula1>AND(ISNUMBER(B2),(NOT(OR(NOT(ISERROR(DATEVALUE(B2))), AND(ISNUMBER(B2), LEFT(CELL("format", B2))="D")))))</formula1>
    </dataValidation>
  </dataValidations>
  <printOptions gridLines="1"/>
  <pageMargins left="0.7" right="0.7" top="0.75" bottom="0.75" header="0" footer="0"/>
  <pageSetup orientation="landscape" paperSize="9" pageOrder="overThenDown" cellComments="atEn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2026-05-22T12:24:28Z</dcterms:created>
  <dcterms:modified xmlns:dcterms="http://purl.org/dc/terms/" xmlns:xsi="http://www.w3.org/2001/XMLSchema-instance" xsi:type="dcterms:W3CDTF">2026-05-22T12:24:29Z</dcterms:modified>
</cp:coreProperties>
</file>